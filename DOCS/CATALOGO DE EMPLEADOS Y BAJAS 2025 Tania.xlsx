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C:\_DESARROLLO\DESARROLLO_O\DOCS\"/>
    </mc:Choice>
  </mc:AlternateContent>
  <xr:revisionPtr revIDLastSave="0" documentId="13_ncr:1_{FBF67E84-44BF-4B42-A932-0FB340C1D82A}" xr6:coauthVersionLast="47" xr6:coauthVersionMax="47" xr10:uidLastSave="{00000000-0000-0000-0000-000000000000}"/>
  <bookViews>
    <workbookView xWindow="-120" yWindow="-120" windowWidth="29040" windowHeight="15720" tabRatio="513" xr2:uid="{BAD2124A-5CD0-4F73-9DAE-632003EBA2C0}"/>
  </bookViews>
  <sheets>
    <sheet name="ACTIVOS" sheetId="2" r:id="rId1"/>
    <sheet name="BAJAS" sheetId="1" state="hidden" r:id="rId2"/>
  </sheets>
  <definedNames>
    <definedName name="_xlnm._FilterDatabase" localSheetId="0" hidden="1">ACTIVOS!$A$1:$CC$602</definedName>
    <definedName name="_xlnm._FilterDatabase" localSheetId="1" hidden="1">BAJAS!$A$1:$CN$86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02" i="2" l="1"/>
  <c r="S602" i="2"/>
  <c r="T602" i="2"/>
  <c r="U602" i="2"/>
  <c r="M602" i="2"/>
  <c r="H602" i="2"/>
  <c r="R601" i="2"/>
  <c r="S601" i="2"/>
  <c r="T601" i="2"/>
  <c r="U601" i="2"/>
  <c r="M601" i="2"/>
  <c r="H601" i="2"/>
  <c r="R600" i="2"/>
  <c r="S600" i="2"/>
  <c r="T600" i="2"/>
  <c r="U600" i="2"/>
  <c r="M600" i="2"/>
  <c r="H600" i="2"/>
  <c r="R599" i="2"/>
  <c r="S599" i="2"/>
  <c r="T599" i="2"/>
  <c r="U599" i="2"/>
  <c r="M599" i="2"/>
  <c r="H599" i="2"/>
  <c r="H598" i="2"/>
  <c r="R598" i="2"/>
  <c r="S598" i="2"/>
  <c r="T598" i="2"/>
  <c r="U598" i="2"/>
  <c r="M598" i="2"/>
  <c r="R597" i="2" l="1"/>
  <c r="S597" i="2"/>
  <c r="T597" i="2"/>
  <c r="U597" i="2"/>
  <c r="M597" i="2"/>
  <c r="H597" i="2"/>
  <c r="R596" i="2" l="1"/>
  <c r="S596" i="2"/>
  <c r="T596" i="2"/>
  <c r="U596" i="2"/>
  <c r="M596" i="2"/>
  <c r="H596" i="2"/>
  <c r="R595" i="2"/>
  <c r="S595" i="2"/>
  <c r="T595" i="2"/>
  <c r="U595" i="2"/>
  <c r="M595" i="2"/>
  <c r="H595" i="2"/>
  <c r="R594" i="2"/>
  <c r="S594" i="2"/>
  <c r="T594" i="2"/>
  <c r="U594" i="2"/>
  <c r="M594" i="2"/>
  <c r="H594" i="2"/>
  <c r="R593" i="2"/>
  <c r="S593" i="2"/>
  <c r="T593" i="2"/>
  <c r="U593" i="2"/>
  <c r="M593" i="2"/>
  <c r="H593" i="2"/>
  <c r="R592" i="2" l="1"/>
  <c r="S592" i="2"/>
  <c r="T592" i="2"/>
  <c r="U592" i="2"/>
  <c r="M592" i="2"/>
  <c r="H592" i="2"/>
  <c r="R591" i="2"/>
  <c r="S591" i="2"/>
  <c r="T591" i="2"/>
  <c r="U591" i="2"/>
  <c r="M591" i="2"/>
  <c r="H591" i="2"/>
  <c r="R590" i="2" l="1"/>
  <c r="S590" i="2"/>
  <c r="T590" i="2"/>
  <c r="U590" i="2"/>
  <c r="M590" i="2"/>
  <c r="H590" i="2"/>
  <c r="R589" i="2" l="1"/>
  <c r="S589" i="2"/>
  <c r="T589" i="2"/>
  <c r="U589" i="2"/>
  <c r="M589" i="2"/>
  <c r="H589" i="2"/>
  <c r="R588" i="2"/>
  <c r="S588" i="2"/>
  <c r="T588" i="2"/>
  <c r="U588" i="2"/>
  <c r="M588" i="2"/>
  <c r="H588" i="2"/>
  <c r="R587" i="2"/>
  <c r="S587" i="2"/>
  <c r="T587" i="2"/>
  <c r="U587" i="2"/>
  <c r="M587" i="2"/>
  <c r="H587" i="2"/>
  <c r="U583" i="2"/>
  <c r="U584" i="2"/>
  <c r="U585" i="2"/>
  <c r="U586" i="2"/>
  <c r="R586" i="2"/>
  <c r="S586" i="2"/>
  <c r="T586" i="2"/>
  <c r="M586" i="2"/>
  <c r="H586" i="2"/>
  <c r="T585" i="2" l="1"/>
  <c r="S585" i="2"/>
  <c r="R585" i="2"/>
  <c r="M585" i="2"/>
  <c r="H585" i="2"/>
  <c r="R584" i="2"/>
  <c r="S584" i="2"/>
  <c r="T584" i="2"/>
  <c r="M584" i="2"/>
  <c r="H584" i="2"/>
  <c r="R583" i="2" l="1"/>
  <c r="S583" i="2"/>
  <c r="T583" i="2"/>
  <c r="M583" i="2"/>
  <c r="H583" i="2"/>
  <c r="R582" i="2" l="1"/>
  <c r="S582" i="2"/>
  <c r="T582" i="2"/>
  <c r="U582" i="2"/>
  <c r="M582" i="2"/>
  <c r="H582" i="2"/>
  <c r="R581" i="2" l="1"/>
  <c r="S581" i="2"/>
  <c r="T581" i="2"/>
  <c r="U581" i="2"/>
  <c r="M581" i="2"/>
  <c r="H581" i="2"/>
  <c r="R580" i="2"/>
  <c r="S580" i="2"/>
  <c r="T580" i="2"/>
  <c r="U580" i="2"/>
  <c r="M580" i="2"/>
  <c r="H580" i="2"/>
  <c r="R579" i="2"/>
  <c r="S579" i="2"/>
  <c r="T579" i="2"/>
  <c r="U579" i="2"/>
  <c r="M579" i="2"/>
  <c r="H579" i="2"/>
  <c r="R578" i="2"/>
  <c r="S578" i="2"/>
  <c r="T578" i="2"/>
  <c r="U578" i="2"/>
  <c r="M578" i="2"/>
  <c r="H578" i="2"/>
  <c r="R577" i="2"/>
  <c r="S577" i="2"/>
  <c r="T577" i="2"/>
  <c r="U577" i="2"/>
  <c r="M577" i="2"/>
  <c r="H577" i="2"/>
  <c r="R576" i="2" l="1"/>
  <c r="S576" i="2"/>
  <c r="T576" i="2"/>
  <c r="U576" i="2"/>
  <c r="M576" i="2"/>
  <c r="H576" i="2"/>
  <c r="R575" i="2"/>
  <c r="S575" i="2"/>
  <c r="T575" i="2"/>
  <c r="U575" i="2"/>
  <c r="M575" i="2"/>
  <c r="H575" i="2"/>
  <c r="R574" i="2"/>
  <c r="S574" i="2"/>
  <c r="T574" i="2"/>
  <c r="U574" i="2"/>
  <c r="M574" i="2"/>
  <c r="H574" i="2"/>
  <c r="R572" i="2"/>
  <c r="S572" i="2"/>
  <c r="T572" i="2"/>
  <c r="U572" i="2"/>
  <c r="M572" i="2"/>
  <c r="H572" i="2"/>
  <c r="R573" i="2" l="1"/>
  <c r="S573" i="2"/>
  <c r="T573" i="2"/>
  <c r="U573" i="2"/>
  <c r="M573" i="2"/>
  <c r="H573" i="2"/>
  <c r="R571" i="2" l="1"/>
  <c r="S571" i="2"/>
  <c r="T571" i="2"/>
  <c r="U571" i="2"/>
  <c r="M571" i="2"/>
  <c r="H571" i="2"/>
  <c r="R570" i="2" l="1"/>
  <c r="S570" i="2"/>
  <c r="T570" i="2"/>
  <c r="U570" i="2"/>
  <c r="M570" i="2"/>
  <c r="H570" i="2"/>
  <c r="H569" i="2"/>
  <c r="R569" i="2"/>
  <c r="S569" i="2"/>
  <c r="T569" i="2"/>
  <c r="U569" i="2"/>
  <c r="M569" i="2"/>
  <c r="H568" i="2"/>
  <c r="R568" i="2"/>
  <c r="S568" i="2"/>
  <c r="T568" i="2"/>
  <c r="U568" i="2"/>
  <c r="M568" i="2"/>
  <c r="R567" i="2"/>
  <c r="S567" i="2"/>
  <c r="T567" i="2"/>
  <c r="U567" i="2"/>
  <c r="M567" i="2"/>
  <c r="H567" i="2"/>
  <c r="R566" i="2" l="1"/>
  <c r="S566" i="2"/>
  <c r="T566" i="2"/>
  <c r="U566" i="2"/>
  <c r="M566" i="2"/>
  <c r="H566" i="2"/>
  <c r="R565" i="2"/>
  <c r="S565" i="2"/>
  <c r="T565" i="2"/>
  <c r="U565" i="2"/>
  <c r="M565" i="2"/>
  <c r="H565" i="2"/>
  <c r="R564" i="2"/>
  <c r="S564" i="2"/>
  <c r="T564" i="2"/>
  <c r="U564" i="2"/>
  <c r="M564" i="2"/>
  <c r="H564" i="2"/>
  <c r="R563" i="2"/>
  <c r="S563" i="2"/>
  <c r="T563" i="2"/>
  <c r="U563" i="2"/>
  <c r="M563" i="2"/>
  <c r="H563" i="2"/>
  <c r="R562" i="2"/>
  <c r="S562" i="2"/>
  <c r="T562" i="2"/>
  <c r="U562" i="2"/>
  <c r="M562" i="2"/>
  <c r="H562" i="2"/>
  <c r="R561" i="2" l="1"/>
  <c r="S561" i="2"/>
  <c r="T561" i="2"/>
  <c r="U561" i="2"/>
  <c r="M561" i="2"/>
  <c r="H561" i="2"/>
  <c r="R560" i="2"/>
  <c r="S560" i="2"/>
  <c r="T560" i="2"/>
  <c r="U560" i="2"/>
  <c r="M560" i="2"/>
  <c r="H560" i="2"/>
  <c r="R558" i="2"/>
  <c r="S558" i="2"/>
  <c r="T558" i="2"/>
  <c r="U558" i="2"/>
  <c r="M558" i="2"/>
  <c r="H558" i="2"/>
  <c r="R559" i="2"/>
  <c r="S559" i="2"/>
  <c r="T559" i="2"/>
  <c r="U559" i="2"/>
  <c r="M559" i="2"/>
  <c r="H559" i="2"/>
  <c r="R557" i="2"/>
  <c r="S557" i="2"/>
  <c r="T557" i="2"/>
  <c r="U557" i="2"/>
  <c r="M557" i="2"/>
  <c r="H557" i="2"/>
  <c r="R556" i="2"/>
  <c r="S556" i="2"/>
  <c r="T556" i="2"/>
  <c r="U556" i="2"/>
  <c r="M556" i="2"/>
  <c r="H556" i="2"/>
  <c r="R555" i="2"/>
  <c r="S555" i="2"/>
  <c r="T555" i="2"/>
  <c r="U555" i="2"/>
  <c r="M555" i="2"/>
  <c r="H555" i="2"/>
  <c r="R554" i="2"/>
  <c r="S554" i="2"/>
  <c r="T554" i="2"/>
  <c r="U554" i="2"/>
  <c r="M554" i="2"/>
  <c r="H554" i="2"/>
  <c r="R553" i="2"/>
  <c r="S553" i="2"/>
  <c r="T553" i="2"/>
  <c r="U553" i="2"/>
  <c r="M553" i="2"/>
  <c r="H553" i="2"/>
  <c r="R552" i="2"/>
  <c r="S552" i="2"/>
  <c r="T552" i="2"/>
  <c r="U552" i="2"/>
  <c r="M552" i="2"/>
  <c r="H552" i="2"/>
  <c r="U551" i="2"/>
  <c r="R551" i="2"/>
  <c r="S551" i="2"/>
  <c r="T551" i="2"/>
  <c r="M551" i="2"/>
  <c r="H551" i="2"/>
  <c r="R550" i="2"/>
  <c r="S550" i="2"/>
  <c r="T550" i="2"/>
  <c r="U550" i="2"/>
  <c r="M550" i="2"/>
  <c r="H550" i="2"/>
  <c r="R549" i="2"/>
  <c r="S549" i="2"/>
  <c r="T549" i="2"/>
  <c r="U549" i="2"/>
  <c r="M549" i="2"/>
  <c r="H549" i="2"/>
  <c r="R548" i="2"/>
  <c r="S548" i="2"/>
  <c r="T548" i="2"/>
  <c r="U548" i="2"/>
  <c r="M548" i="2"/>
  <c r="H548" i="2"/>
  <c r="R547" i="2"/>
  <c r="S547" i="2"/>
  <c r="T547" i="2"/>
  <c r="U547" i="2"/>
  <c r="M547" i="2"/>
  <c r="H547" i="2"/>
  <c r="R546" i="2"/>
  <c r="S546" i="2"/>
  <c r="T546" i="2"/>
  <c r="U546" i="2"/>
  <c r="M546" i="2"/>
  <c r="H546" i="2"/>
  <c r="R545" i="2"/>
  <c r="S545" i="2"/>
  <c r="T545" i="2"/>
  <c r="U545" i="2"/>
  <c r="M545" i="2"/>
  <c r="H545" i="2"/>
  <c r="R544" i="2"/>
  <c r="S544" i="2"/>
  <c r="T544" i="2"/>
  <c r="U544" i="2"/>
  <c r="M544" i="2"/>
  <c r="H544" i="2"/>
  <c r="R543" i="2"/>
  <c r="S543" i="2"/>
  <c r="T543" i="2"/>
  <c r="U543" i="2"/>
  <c r="M543" i="2"/>
  <c r="H543" i="2"/>
  <c r="R542" i="2"/>
  <c r="S542" i="2"/>
  <c r="T542" i="2"/>
  <c r="U542" i="2"/>
  <c r="M542" i="2"/>
  <c r="H542" i="2"/>
  <c r="R541" i="2"/>
  <c r="S541" i="2"/>
  <c r="T541" i="2"/>
  <c r="U541" i="2"/>
  <c r="M541" i="2"/>
  <c r="H541" i="2"/>
  <c r="R540" i="2"/>
  <c r="S540" i="2"/>
  <c r="T540" i="2"/>
  <c r="U540" i="2"/>
  <c r="M540" i="2"/>
  <c r="H540" i="2"/>
  <c r="R539" i="2"/>
  <c r="S539" i="2"/>
  <c r="T539" i="2"/>
  <c r="U539" i="2"/>
  <c r="M539" i="2"/>
  <c r="H539" i="2"/>
  <c r="R538" i="2"/>
  <c r="S538" i="2"/>
  <c r="T538" i="2"/>
  <c r="U538" i="2"/>
  <c r="M538" i="2"/>
  <c r="H538" i="2"/>
  <c r="R537" i="2"/>
  <c r="S537" i="2"/>
  <c r="T537" i="2"/>
  <c r="U537" i="2"/>
  <c r="M537" i="2"/>
  <c r="H537" i="2"/>
  <c r="R536" i="2"/>
  <c r="S536" i="2"/>
  <c r="T536" i="2"/>
  <c r="U536" i="2"/>
  <c r="M536" i="2"/>
  <c r="H536" i="2"/>
  <c r="R535" i="2"/>
  <c r="S535" i="2"/>
  <c r="T535" i="2"/>
  <c r="U535" i="2"/>
  <c r="M535" i="2"/>
  <c r="H535" i="2"/>
  <c r="R534" i="2"/>
  <c r="S534" i="2"/>
  <c r="T534" i="2"/>
  <c r="U534" i="2"/>
  <c r="M534" i="2"/>
  <c r="H534" i="2"/>
  <c r="R533" i="2"/>
  <c r="S533" i="2"/>
  <c r="T533" i="2"/>
  <c r="U533" i="2"/>
  <c r="H533" i="2"/>
  <c r="M533" i="2"/>
  <c r="R532" i="2"/>
  <c r="S532" i="2"/>
  <c r="T532" i="2"/>
  <c r="U532" i="2"/>
  <c r="M532" i="2"/>
  <c r="H532" i="2"/>
  <c r="R531" i="2"/>
  <c r="S531" i="2"/>
  <c r="T531" i="2"/>
  <c r="U531" i="2"/>
  <c r="M531" i="2"/>
  <c r="H531" i="2"/>
  <c r="R530" i="2"/>
  <c r="S530" i="2"/>
  <c r="T530" i="2"/>
  <c r="U530" i="2"/>
  <c r="M530" i="2"/>
  <c r="H530" i="2"/>
  <c r="R529" i="2"/>
  <c r="S529" i="2"/>
  <c r="T529" i="2"/>
  <c r="U529" i="2"/>
  <c r="M529" i="2"/>
  <c r="H529" i="2"/>
  <c r="R527" i="2"/>
  <c r="S527" i="2"/>
  <c r="T527" i="2"/>
  <c r="U527" i="2"/>
  <c r="M527" i="2"/>
  <c r="H527" i="2"/>
  <c r="H528" i="2"/>
  <c r="U528" i="2"/>
  <c r="T528" i="2"/>
  <c r="S528" i="2"/>
  <c r="R528" i="2"/>
  <c r="M528" i="2"/>
  <c r="R526" i="2"/>
  <c r="S526" i="2"/>
  <c r="T526" i="2"/>
  <c r="U526" i="2"/>
  <c r="M526" i="2"/>
  <c r="H526" i="2"/>
  <c r="R525" i="2"/>
  <c r="S525" i="2"/>
  <c r="T525" i="2"/>
  <c r="U525" i="2"/>
  <c r="M525" i="2"/>
  <c r="H525" i="2"/>
  <c r="R524" i="2" l="1"/>
  <c r="S524" i="2"/>
  <c r="T524" i="2"/>
  <c r="U524" i="2"/>
  <c r="M524" i="2"/>
  <c r="H524" i="2"/>
  <c r="R523" i="2"/>
  <c r="S523" i="2"/>
  <c r="T523" i="2"/>
  <c r="U523" i="2"/>
  <c r="M523" i="2"/>
  <c r="H523" i="2"/>
  <c r="R522" i="2"/>
  <c r="S522" i="2"/>
  <c r="T522" i="2"/>
  <c r="U522" i="2"/>
  <c r="M522" i="2"/>
  <c r="H522" i="2"/>
  <c r="R521" i="2" l="1"/>
  <c r="S521" i="2"/>
  <c r="T521" i="2"/>
  <c r="U521" i="2"/>
  <c r="M521" i="2"/>
  <c r="H521" i="2"/>
  <c r="R520" i="2"/>
  <c r="S520" i="2"/>
  <c r="T520" i="2"/>
  <c r="U520" i="2"/>
  <c r="M520" i="2"/>
  <c r="H520" i="2"/>
  <c r="R519" i="2"/>
  <c r="S519" i="2"/>
  <c r="T519" i="2"/>
  <c r="U519" i="2"/>
  <c r="M519" i="2"/>
  <c r="H519" i="2"/>
  <c r="R518" i="2" l="1"/>
  <c r="S518" i="2"/>
  <c r="T518" i="2"/>
  <c r="U518" i="2"/>
  <c r="M518" i="2"/>
  <c r="H518" i="2"/>
  <c r="R517" i="2" l="1"/>
  <c r="S517" i="2"/>
  <c r="T517" i="2"/>
  <c r="U517" i="2"/>
  <c r="M517" i="2"/>
  <c r="H517" i="2"/>
  <c r="R516" i="2" l="1"/>
  <c r="S516" i="2"/>
  <c r="T516" i="2"/>
  <c r="U516" i="2"/>
  <c r="M516" i="2"/>
  <c r="H516" i="2"/>
  <c r="R515" i="2"/>
  <c r="S515" i="2"/>
  <c r="T515" i="2"/>
  <c r="U515" i="2"/>
  <c r="M515" i="2"/>
  <c r="H515" i="2"/>
  <c r="R514" i="2"/>
  <c r="S514" i="2"/>
  <c r="T514" i="2"/>
  <c r="U514" i="2"/>
  <c r="M514" i="2"/>
  <c r="H514" i="2"/>
  <c r="R513" i="2"/>
  <c r="S513" i="2"/>
  <c r="T513" i="2"/>
  <c r="U513" i="2"/>
  <c r="M513" i="2"/>
  <c r="H513" i="2"/>
  <c r="R512" i="2"/>
  <c r="S512" i="2"/>
  <c r="T512" i="2"/>
  <c r="U512" i="2"/>
  <c r="M512" i="2"/>
  <c r="H512" i="2"/>
  <c r="U511" i="2"/>
  <c r="T511" i="2"/>
  <c r="S511" i="2"/>
  <c r="R511" i="2"/>
  <c r="M511" i="2"/>
  <c r="H511" i="2"/>
  <c r="R510" i="2" l="1"/>
  <c r="S510" i="2"/>
  <c r="T510" i="2"/>
  <c r="U510" i="2"/>
  <c r="M510" i="2"/>
  <c r="H510" i="2"/>
  <c r="R509" i="2"/>
  <c r="S509" i="2"/>
  <c r="T509" i="2"/>
  <c r="U509" i="2"/>
  <c r="M509" i="2"/>
  <c r="H509" i="2"/>
  <c r="R508" i="2"/>
  <c r="S508" i="2"/>
  <c r="T508" i="2"/>
  <c r="U508" i="2"/>
  <c r="M508" i="2"/>
  <c r="H508" i="2"/>
  <c r="R507" i="2"/>
  <c r="S507" i="2"/>
  <c r="T507" i="2"/>
  <c r="U507" i="2"/>
  <c r="M507" i="2"/>
  <c r="H507" i="2"/>
  <c r="R506" i="2"/>
  <c r="S506" i="2"/>
  <c r="T506" i="2"/>
  <c r="U506" i="2"/>
  <c r="M506" i="2"/>
  <c r="H506" i="2"/>
  <c r="R505" i="2"/>
  <c r="S505" i="2"/>
  <c r="T505" i="2"/>
  <c r="U505" i="2"/>
  <c r="M505" i="2"/>
  <c r="H505" i="2"/>
  <c r="R504" i="2"/>
  <c r="S504" i="2"/>
  <c r="T504" i="2"/>
  <c r="U504" i="2"/>
  <c r="M504" i="2"/>
  <c r="H504" i="2"/>
  <c r="R3" i="2"/>
  <c r="S3" i="2"/>
  <c r="T3" i="2"/>
  <c r="U3" i="2"/>
  <c r="R4" i="2"/>
  <c r="S4" i="2"/>
  <c r="T4" i="2"/>
  <c r="U4" i="2"/>
  <c r="R5" i="2"/>
  <c r="S5" i="2"/>
  <c r="T5" i="2"/>
  <c r="U5" i="2"/>
  <c r="R6" i="2"/>
  <c r="S6" i="2"/>
  <c r="T6" i="2"/>
  <c r="U6" i="2"/>
  <c r="R7" i="2"/>
  <c r="S7" i="2"/>
  <c r="T7" i="2"/>
  <c r="U7" i="2"/>
  <c r="R8" i="2"/>
  <c r="S8" i="2"/>
  <c r="T8" i="2"/>
  <c r="U8" i="2"/>
  <c r="R9" i="2"/>
  <c r="S9" i="2"/>
  <c r="T9" i="2"/>
  <c r="U9" i="2"/>
  <c r="R10" i="2"/>
  <c r="S10" i="2"/>
  <c r="T10" i="2"/>
  <c r="U10" i="2"/>
  <c r="R11" i="2"/>
  <c r="S11" i="2"/>
  <c r="T11" i="2"/>
  <c r="U11" i="2"/>
  <c r="R12" i="2"/>
  <c r="S12" i="2"/>
  <c r="T12" i="2"/>
  <c r="U12" i="2"/>
  <c r="R13" i="2"/>
  <c r="S13" i="2"/>
  <c r="T13" i="2"/>
  <c r="U13" i="2"/>
  <c r="R14" i="2"/>
  <c r="S14" i="2"/>
  <c r="T14" i="2"/>
  <c r="U14" i="2"/>
  <c r="R15" i="2"/>
  <c r="S15" i="2"/>
  <c r="T15" i="2"/>
  <c r="U15" i="2"/>
  <c r="R16" i="2"/>
  <c r="S16" i="2"/>
  <c r="T16" i="2"/>
  <c r="U16" i="2"/>
  <c r="R17" i="2"/>
  <c r="S17" i="2"/>
  <c r="T17" i="2"/>
  <c r="U17" i="2"/>
  <c r="R18" i="2"/>
  <c r="S18" i="2"/>
  <c r="T18" i="2"/>
  <c r="U18" i="2"/>
  <c r="R19" i="2"/>
  <c r="S19" i="2"/>
  <c r="T19" i="2"/>
  <c r="U19" i="2"/>
  <c r="R20" i="2"/>
  <c r="S20" i="2"/>
  <c r="T20" i="2"/>
  <c r="U20" i="2"/>
  <c r="R21" i="2"/>
  <c r="S21" i="2"/>
  <c r="T21" i="2"/>
  <c r="U21" i="2"/>
  <c r="R22" i="2"/>
  <c r="S22" i="2"/>
  <c r="T22" i="2"/>
  <c r="U22" i="2"/>
  <c r="R23" i="2"/>
  <c r="S23" i="2"/>
  <c r="T23" i="2"/>
  <c r="U23" i="2"/>
  <c r="R24" i="2"/>
  <c r="S24" i="2"/>
  <c r="T24" i="2"/>
  <c r="U24" i="2"/>
  <c r="R25" i="2"/>
  <c r="S25" i="2"/>
  <c r="T25" i="2"/>
  <c r="U25" i="2"/>
  <c r="R26" i="2"/>
  <c r="S26" i="2"/>
  <c r="T26" i="2"/>
  <c r="U26" i="2"/>
  <c r="R27" i="2"/>
  <c r="S27" i="2"/>
  <c r="T27" i="2"/>
  <c r="U27" i="2"/>
  <c r="R28" i="2"/>
  <c r="S28" i="2"/>
  <c r="T28" i="2"/>
  <c r="U28" i="2"/>
  <c r="R29" i="2"/>
  <c r="S29" i="2"/>
  <c r="T29" i="2"/>
  <c r="U29" i="2"/>
  <c r="R30" i="2"/>
  <c r="S30" i="2"/>
  <c r="T30" i="2"/>
  <c r="U30" i="2"/>
  <c r="R31" i="2"/>
  <c r="S31" i="2"/>
  <c r="T31" i="2"/>
  <c r="U31" i="2"/>
  <c r="R32" i="2"/>
  <c r="S32" i="2"/>
  <c r="T32" i="2"/>
  <c r="U32" i="2"/>
  <c r="R33" i="2"/>
  <c r="S33" i="2"/>
  <c r="T33" i="2"/>
  <c r="U33" i="2"/>
  <c r="R34" i="2"/>
  <c r="S34" i="2"/>
  <c r="T34" i="2"/>
  <c r="U34" i="2"/>
  <c r="R35" i="2"/>
  <c r="S35" i="2"/>
  <c r="T35" i="2"/>
  <c r="U35" i="2"/>
  <c r="R36" i="2"/>
  <c r="S36" i="2"/>
  <c r="T36" i="2"/>
  <c r="U36" i="2"/>
  <c r="R37" i="2"/>
  <c r="S37" i="2"/>
  <c r="T37" i="2"/>
  <c r="U37" i="2"/>
  <c r="R38" i="2"/>
  <c r="S38" i="2"/>
  <c r="T38" i="2"/>
  <c r="U38" i="2"/>
  <c r="R39" i="2"/>
  <c r="S39" i="2"/>
  <c r="T39" i="2"/>
  <c r="U39" i="2"/>
  <c r="R40" i="2"/>
  <c r="S40" i="2"/>
  <c r="T40" i="2"/>
  <c r="U40" i="2"/>
  <c r="R41" i="2"/>
  <c r="S41" i="2"/>
  <c r="T41" i="2"/>
  <c r="U41" i="2"/>
  <c r="R42" i="2"/>
  <c r="S42" i="2"/>
  <c r="T42" i="2"/>
  <c r="U42" i="2"/>
  <c r="R43" i="2"/>
  <c r="S43" i="2"/>
  <c r="T43" i="2"/>
  <c r="U43" i="2"/>
  <c r="R44" i="2"/>
  <c r="S44" i="2"/>
  <c r="T44" i="2"/>
  <c r="U44" i="2"/>
  <c r="R45" i="2"/>
  <c r="S45" i="2"/>
  <c r="T45" i="2"/>
  <c r="U45" i="2"/>
  <c r="R46" i="2"/>
  <c r="S46" i="2"/>
  <c r="T46" i="2"/>
  <c r="U46" i="2"/>
  <c r="R47" i="2"/>
  <c r="S47" i="2"/>
  <c r="T47" i="2"/>
  <c r="U47" i="2"/>
  <c r="R48" i="2"/>
  <c r="S48" i="2"/>
  <c r="T48" i="2"/>
  <c r="U48" i="2"/>
  <c r="R49" i="2"/>
  <c r="S49" i="2"/>
  <c r="T49" i="2"/>
  <c r="U49" i="2"/>
  <c r="R50" i="2"/>
  <c r="S50" i="2"/>
  <c r="T50" i="2"/>
  <c r="U50" i="2"/>
  <c r="R51" i="2"/>
  <c r="S51" i="2"/>
  <c r="T51" i="2"/>
  <c r="U51" i="2"/>
  <c r="R52" i="2"/>
  <c r="S52" i="2"/>
  <c r="T52" i="2"/>
  <c r="U52" i="2"/>
  <c r="R53" i="2"/>
  <c r="S53" i="2"/>
  <c r="T53" i="2"/>
  <c r="U53" i="2"/>
  <c r="R54" i="2"/>
  <c r="S54" i="2"/>
  <c r="T54" i="2"/>
  <c r="U54" i="2"/>
  <c r="R55" i="2"/>
  <c r="S55" i="2"/>
  <c r="T55" i="2"/>
  <c r="U55" i="2"/>
  <c r="R56" i="2"/>
  <c r="S56" i="2"/>
  <c r="T56" i="2"/>
  <c r="U56" i="2"/>
  <c r="R57" i="2"/>
  <c r="S57" i="2"/>
  <c r="T57" i="2"/>
  <c r="U57" i="2"/>
  <c r="R58" i="2"/>
  <c r="S58" i="2"/>
  <c r="T58" i="2"/>
  <c r="U58" i="2"/>
  <c r="R59" i="2"/>
  <c r="S59" i="2"/>
  <c r="T59" i="2"/>
  <c r="U59" i="2"/>
  <c r="R60" i="2"/>
  <c r="S60" i="2"/>
  <c r="T60" i="2"/>
  <c r="U60" i="2"/>
  <c r="R61" i="2"/>
  <c r="S61" i="2"/>
  <c r="T61" i="2"/>
  <c r="U61" i="2"/>
  <c r="R62" i="2"/>
  <c r="S62" i="2"/>
  <c r="T62" i="2"/>
  <c r="U62" i="2"/>
  <c r="R63" i="2"/>
  <c r="S63" i="2"/>
  <c r="T63" i="2"/>
  <c r="U63" i="2"/>
  <c r="R64" i="2"/>
  <c r="S64" i="2"/>
  <c r="T64" i="2"/>
  <c r="U64" i="2"/>
  <c r="R65" i="2"/>
  <c r="S65" i="2"/>
  <c r="T65" i="2"/>
  <c r="U65" i="2"/>
  <c r="R66" i="2"/>
  <c r="S66" i="2"/>
  <c r="T66" i="2"/>
  <c r="U66" i="2"/>
  <c r="R67" i="2"/>
  <c r="S67" i="2"/>
  <c r="T67" i="2"/>
  <c r="U67" i="2"/>
  <c r="R68" i="2"/>
  <c r="S68" i="2"/>
  <c r="T68" i="2"/>
  <c r="U68" i="2"/>
  <c r="R69" i="2"/>
  <c r="S69" i="2"/>
  <c r="T69" i="2"/>
  <c r="U69" i="2"/>
  <c r="R70" i="2"/>
  <c r="S70" i="2"/>
  <c r="T70" i="2"/>
  <c r="U70" i="2"/>
  <c r="R71" i="2"/>
  <c r="S71" i="2"/>
  <c r="T71" i="2"/>
  <c r="U71" i="2"/>
  <c r="R72" i="2"/>
  <c r="S72" i="2"/>
  <c r="T72" i="2"/>
  <c r="U72" i="2"/>
  <c r="R73" i="2"/>
  <c r="S73" i="2"/>
  <c r="T73" i="2"/>
  <c r="U73" i="2"/>
  <c r="R74" i="2"/>
  <c r="S74" i="2"/>
  <c r="T74" i="2"/>
  <c r="U74" i="2"/>
  <c r="R75" i="2"/>
  <c r="S75" i="2"/>
  <c r="T75" i="2"/>
  <c r="U75" i="2"/>
  <c r="R76" i="2"/>
  <c r="S76" i="2"/>
  <c r="T76" i="2"/>
  <c r="U76" i="2"/>
  <c r="R77" i="2"/>
  <c r="S77" i="2"/>
  <c r="T77" i="2"/>
  <c r="U77" i="2"/>
  <c r="R78" i="2"/>
  <c r="S78" i="2"/>
  <c r="T78" i="2"/>
  <c r="U78" i="2"/>
  <c r="R79" i="2"/>
  <c r="S79" i="2"/>
  <c r="T79" i="2"/>
  <c r="U79" i="2"/>
  <c r="R80" i="2"/>
  <c r="S80" i="2"/>
  <c r="T80" i="2"/>
  <c r="U80" i="2"/>
  <c r="R81" i="2"/>
  <c r="S81" i="2"/>
  <c r="T81" i="2"/>
  <c r="U81" i="2"/>
  <c r="R82" i="2"/>
  <c r="S82" i="2"/>
  <c r="T82" i="2"/>
  <c r="U82" i="2"/>
  <c r="R83" i="2"/>
  <c r="S83" i="2"/>
  <c r="T83" i="2"/>
  <c r="U83" i="2"/>
  <c r="R84" i="2"/>
  <c r="S84" i="2"/>
  <c r="T84" i="2"/>
  <c r="U84" i="2"/>
  <c r="R85" i="2"/>
  <c r="S85" i="2"/>
  <c r="T85" i="2"/>
  <c r="U85" i="2"/>
  <c r="R86" i="2"/>
  <c r="S86" i="2"/>
  <c r="T86" i="2"/>
  <c r="U86" i="2"/>
  <c r="R87" i="2"/>
  <c r="S87" i="2"/>
  <c r="T87" i="2"/>
  <c r="U87" i="2"/>
  <c r="R88" i="2"/>
  <c r="S88" i="2"/>
  <c r="T88" i="2"/>
  <c r="U88" i="2"/>
  <c r="R89" i="2"/>
  <c r="S89" i="2"/>
  <c r="T89" i="2"/>
  <c r="U89" i="2"/>
  <c r="R90" i="2"/>
  <c r="S90" i="2"/>
  <c r="T90" i="2"/>
  <c r="U90" i="2"/>
  <c r="R91" i="2"/>
  <c r="S91" i="2"/>
  <c r="T91" i="2"/>
  <c r="U91" i="2"/>
  <c r="R92" i="2"/>
  <c r="S92" i="2"/>
  <c r="T92" i="2"/>
  <c r="U92" i="2"/>
  <c r="R93" i="2"/>
  <c r="S93" i="2"/>
  <c r="T93" i="2"/>
  <c r="U93" i="2"/>
  <c r="R94" i="2"/>
  <c r="S94" i="2"/>
  <c r="T94" i="2"/>
  <c r="U94" i="2"/>
  <c r="R95" i="2"/>
  <c r="S95" i="2"/>
  <c r="T95" i="2"/>
  <c r="U95" i="2"/>
  <c r="R96" i="2"/>
  <c r="S96" i="2"/>
  <c r="T96" i="2"/>
  <c r="U96" i="2"/>
  <c r="R97" i="2"/>
  <c r="S97" i="2"/>
  <c r="T97" i="2"/>
  <c r="U97" i="2"/>
  <c r="R98" i="2"/>
  <c r="S98" i="2"/>
  <c r="T98" i="2"/>
  <c r="U98" i="2"/>
  <c r="R99" i="2"/>
  <c r="S99" i="2"/>
  <c r="T99" i="2"/>
  <c r="U99" i="2"/>
  <c r="R100" i="2"/>
  <c r="S100" i="2"/>
  <c r="T100" i="2"/>
  <c r="U100" i="2"/>
  <c r="R101" i="2"/>
  <c r="S101" i="2"/>
  <c r="T101" i="2"/>
  <c r="U101" i="2"/>
  <c r="R102" i="2"/>
  <c r="S102" i="2"/>
  <c r="T102" i="2"/>
  <c r="U102" i="2"/>
  <c r="R103" i="2"/>
  <c r="S103" i="2"/>
  <c r="T103" i="2"/>
  <c r="U103" i="2"/>
  <c r="R104" i="2"/>
  <c r="S104" i="2"/>
  <c r="T104" i="2"/>
  <c r="U104" i="2"/>
  <c r="R105" i="2"/>
  <c r="S105" i="2"/>
  <c r="T105" i="2"/>
  <c r="U105" i="2"/>
  <c r="R106" i="2"/>
  <c r="S106" i="2"/>
  <c r="T106" i="2"/>
  <c r="U106" i="2"/>
  <c r="R107" i="2"/>
  <c r="S107" i="2"/>
  <c r="T107" i="2"/>
  <c r="U107" i="2"/>
  <c r="R108" i="2"/>
  <c r="S108" i="2"/>
  <c r="T108" i="2"/>
  <c r="U108" i="2"/>
  <c r="R109" i="2"/>
  <c r="S109" i="2"/>
  <c r="T109" i="2"/>
  <c r="U109" i="2"/>
  <c r="R110" i="2"/>
  <c r="S110" i="2"/>
  <c r="T110" i="2"/>
  <c r="U110" i="2"/>
  <c r="R111" i="2"/>
  <c r="S111" i="2"/>
  <c r="T111" i="2"/>
  <c r="U111" i="2"/>
  <c r="R112" i="2"/>
  <c r="S112" i="2"/>
  <c r="T112" i="2"/>
  <c r="U112" i="2"/>
  <c r="R113" i="2"/>
  <c r="S113" i="2"/>
  <c r="T113" i="2"/>
  <c r="U113" i="2"/>
  <c r="R114" i="2"/>
  <c r="S114" i="2"/>
  <c r="T114" i="2"/>
  <c r="U114" i="2"/>
  <c r="R115" i="2"/>
  <c r="S115" i="2"/>
  <c r="T115" i="2"/>
  <c r="U115" i="2"/>
  <c r="R116" i="2"/>
  <c r="S116" i="2"/>
  <c r="T116" i="2"/>
  <c r="U116" i="2"/>
  <c r="R117" i="2"/>
  <c r="S117" i="2"/>
  <c r="T117" i="2"/>
  <c r="U117" i="2"/>
  <c r="R118" i="2"/>
  <c r="S118" i="2"/>
  <c r="T118" i="2"/>
  <c r="U118" i="2"/>
  <c r="R119" i="2"/>
  <c r="S119" i="2"/>
  <c r="T119" i="2"/>
  <c r="U119" i="2"/>
  <c r="R120" i="2"/>
  <c r="S120" i="2"/>
  <c r="T120" i="2"/>
  <c r="U120" i="2"/>
  <c r="R121" i="2"/>
  <c r="S121" i="2"/>
  <c r="T121" i="2"/>
  <c r="U121" i="2"/>
  <c r="R122" i="2"/>
  <c r="S122" i="2"/>
  <c r="T122" i="2"/>
  <c r="U122" i="2"/>
  <c r="R123" i="2"/>
  <c r="S123" i="2"/>
  <c r="T123" i="2"/>
  <c r="U123" i="2"/>
  <c r="R124" i="2"/>
  <c r="S124" i="2"/>
  <c r="T124" i="2"/>
  <c r="U124" i="2"/>
  <c r="R125" i="2"/>
  <c r="S125" i="2"/>
  <c r="T125" i="2"/>
  <c r="U125" i="2"/>
  <c r="R126" i="2"/>
  <c r="S126" i="2"/>
  <c r="T126" i="2"/>
  <c r="U126" i="2"/>
  <c r="R127" i="2"/>
  <c r="S127" i="2"/>
  <c r="T127" i="2"/>
  <c r="U127" i="2"/>
  <c r="R128" i="2"/>
  <c r="S128" i="2"/>
  <c r="T128" i="2"/>
  <c r="U128" i="2"/>
  <c r="R129" i="2"/>
  <c r="S129" i="2"/>
  <c r="T129" i="2"/>
  <c r="U129" i="2"/>
  <c r="R130" i="2"/>
  <c r="S130" i="2"/>
  <c r="T130" i="2"/>
  <c r="U130" i="2"/>
  <c r="R131" i="2"/>
  <c r="S131" i="2"/>
  <c r="T131" i="2"/>
  <c r="U131" i="2"/>
  <c r="R132" i="2"/>
  <c r="S132" i="2"/>
  <c r="T132" i="2"/>
  <c r="U132" i="2"/>
  <c r="R133" i="2"/>
  <c r="S133" i="2"/>
  <c r="T133" i="2"/>
  <c r="U133" i="2"/>
  <c r="R134" i="2"/>
  <c r="S134" i="2"/>
  <c r="T134" i="2"/>
  <c r="U134" i="2"/>
  <c r="R135" i="2"/>
  <c r="S135" i="2"/>
  <c r="T135" i="2"/>
  <c r="U135" i="2"/>
  <c r="R136" i="2"/>
  <c r="S136" i="2"/>
  <c r="T136" i="2"/>
  <c r="U136" i="2"/>
  <c r="R137" i="2"/>
  <c r="S137" i="2"/>
  <c r="T137" i="2"/>
  <c r="U137" i="2"/>
  <c r="R138" i="2"/>
  <c r="S138" i="2"/>
  <c r="T138" i="2"/>
  <c r="U138" i="2"/>
  <c r="R139" i="2"/>
  <c r="S139" i="2"/>
  <c r="T139" i="2"/>
  <c r="U139" i="2"/>
  <c r="R140" i="2"/>
  <c r="S140" i="2"/>
  <c r="T140" i="2"/>
  <c r="U140" i="2"/>
  <c r="R141" i="2"/>
  <c r="S141" i="2"/>
  <c r="T141" i="2"/>
  <c r="U141" i="2"/>
  <c r="R142" i="2"/>
  <c r="S142" i="2"/>
  <c r="T142" i="2"/>
  <c r="U142" i="2"/>
  <c r="R143" i="2"/>
  <c r="S143" i="2"/>
  <c r="T143" i="2"/>
  <c r="U143" i="2"/>
  <c r="R144" i="2"/>
  <c r="S144" i="2"/>
  <c r="T144" i="2"/>
  <c r="U144" i="2"/>
  <c r="R145" i="2"/>
  <c r="S145" i="2"/>
  <c r="T145" i="2"/>
  <c r="U145" i="2"/>
  <c r="R146" i="2"/>
  <c r="S146" i="2"/>
  <c r="T146" i="2"/>
  <c r="U146" i="2"/>
  <c r="R147" i="2"/>
  <c r="S147" i="2"/>
  <c r="T147" i="2"/>
  <c r="U147" i="2"/>
  <c r="R148" i="2"/>
  <c r="S148" i="2"/>
  <c r="T148" i="2"/>
  <c r="U148" i="2"/>
  <c r="R149" i="2"/>
  <c r="S149" i="2"/>
  <c r="T149" i="2"/>
  <c r="U149" i="2"/>
  <c r="R150" i="2"/>
  <c r="S150" i="2"/>
  <c r="T150" i="2"/>
  <c r="U150" i="2"/>
  <c r="R151" i="2"/>
  <c r="S151" i="2"/>
  <c r="T151" i="2"/>
  <c r="U151" i="2"/>
  <c r="R152" i="2"/>
  <c r="S152" i="2"/>
  <c r="T152" i="2"/>
  <c r="U152" i="2"/>
  <c r="R153" i="2"/>
  <c r="S153" i="2"/>
  <c r="T153" i="2"/>
  <c r="U153" i="2"/>
  <c r="R154" i="2"/>
  <c r="S154" i="2"/>
  <c r="T154" i="2"/>
  <c r="U154" i="2"/>
  <c r="R155" i="2"/>
  <c r="S155" i="2"/>
  <c r="T155" i="2"/>
  <c r="U155" i="2"/>
  <c r="R156" i="2"/>
  <c r="S156" i="2"/>
  <c r="T156" i="2"/>
  <c r="U156" i="2"/>
  <c r="R157" i="2"/>
  <c r="S157" i="2"/>
  <c r="T157" i="2"/>
  <c r="U157" i="2"/>
  <c r="R158" i="2"/>
  <c r="S158" i="2"/>
  <c r="T158" i="2"/>
  <c r="U158" i="2"/>
  <c r="R159" i="2"/>
  <c r="S159" i="2"/>
  <c r="T159" i="2"/>
  <c r="U159" i="2"/>
  <c r="R160" i="2"/>
  <c r="S160" i="2"/>
  <c r="T160" i="2"/>
  <c r="U160" i="2"/>
  <c r="R161" i="2"/>
  <c r="S161" i="2"/>
  <c r="T161" i="2"/>
  <c r="U161" i="2"/>
  <c r="R162" i="2"/>
  <c r="S162" i="2"/>
  <c r="T162" i="2"/>
  <c r="U162" i="2"/>
  <c r="R163" i="2"/>
  <c r="S163" i="2"/>
  <c r="T163" i="2"/>
  <c r="U163" i="2"/>
  <c r="R164" i="2"/>
  <c r="S164" i="2"/>
  <c r="T164" i="2"/>
  <c r="U164" i="2"/>
  <c r="R165" i="2"/>
  <c r="S165" i="2"/>
  <c r="T165" i="2"/>
  <c r="U165" i="2"/>
  <c r="R166" i="2"/>
  <c r="S166" i="2"/>
  <c r="T166" i="2"/>
  <c r="U166" i="2"/>
  <c r="R167" i="2"/>
  <c r="S167" i="2"/>
  <c r="T167" i="2"/>
  <c r="U167" i="2"/>
  <c r="R168" i="2"/>
  <c r="S168" i="2"/>
  <c r="T168" i="2"/>
  <c r="U168" i="2"/>
  <c r="R169" i="2"/>
  <c r="S169" i="2"/>
  <c r="T169" i="2"/>
  <c r="U169" i="2"/>
  <c r="R170" i="2"/>
  <c r="S170" i="2"/>
  <c r="T170" i="2"/>
  <c r="U170" i="2"/>
  <c r="R171" i="2"/>
  <c r="S171" i="2"/>
  <c r="T171" i="2"/>
  <c r="U171" i="2"/>
  <c r="R172" i="2"/>
  <c r="S172" i="2"/>
  <c r="T172" i="2"/>
  <c r="U172" i="2"/>
  <c r="R173" i="2"/>
  <c r="S173" i="2"/>
  <c r="T173" i="2"/>
  <c r="U173" i="2"/>
  <c r="R174" i="2"/>
  <c r="S174" i="2"/>
  <c r="T174" i="2"/>
  <c r="U174" i="2"/>
  <c r="R175" i="2"/>
  <c r="S175" i="2"/>
  <c r="T175" i="2"/>
  <c r="U175" i="2"/>
  <c r="R176" i="2"/>
  <c r="S176" i="2"/>
  <c r="T176" i="2"/>
  <c r="U176" i="2"/>
  <c r="R177" i="2"/>
  <c r="S177" i="2"/>
  <c r="T177" i="2"/>
  <c r="U177" i="2"/>
  <c r="R178" i="2"/>
  <c r="S178" i="2"/>
  <c r="T178" i="2"/>
  <c r="U178" i="2"/>
  <c r="R179" i="2"/>
  <c r="S179" i="2"/>
  <c r="T179" i="2"/>
  <c r="U179" i="2"/>
  <c r="R180" i="2"/>
  <c r="S180" i="2"/>
  <c r="T180" i="2"/>
  <c r="U180" i="2"/>
  <c r="R181" i="2"/>
  <c r="S181" i="2"/>
  <c r="T181" i="2"/>
  <c r="U181" i="2"/>
  <c r="R182" i="2"/>
  <c r="S182" i="2"/>
  <c r="T182" i="2"/>
  <c r="U182" i="2"/>
  <c r="R183" i="2"/>
  <c r="S183" i="2"/>
  <c r="T183" i="2"/>
  <c r="U183" i="2"/>
  <c r="R184" i="2"/>
  <c r="S184" i="2"/>
  <c r="T184" i="2"/>
  <c r="U184" i="2"/>
  <c r="R185" i="2"/>
  <c r="S185" i="2"/>
  <c r="T185" i="2"/>
  <c r="U185" i="2"/>
  <c r="R186" i="2"/>
  <c r="S186" i="2"/>
  <c r="T186" i="2"/>
  <c r="U186" i="2"/>
  <c r="R187" i="2"/>
  <c r="S187" i="2"/>
  <c r="T187" i="2"/>
  <c r="U187" i="2"/>
  <c r="R188" i="2"/>
  <c r="S188" i="2"/>
  <c r="T188" i="2"/>
  <c r="U188" i="2"/>
  <c r="R189" i="2"/>
  <c r="S189" i="2"/>
  <c r="T189" i="2"/>
  <c r="U189" i="2"/>
  <c r="R190" i="2"/>
  <c r="S190" i="2"/>
  <c r="T190" i="2"/>
  <c r="U190" i="2"/>
  <c r="R191" i="2"/>
  <c r="S191" i="2"/>
  <c r="T191" i="2"/>
  <c r="U191" i="2"/>
  <c r="R192" i="2"/>
  <c r="S192" i="2"/>
  <c r="T192" i="2"/>
  <c r="U192" i="2"/>
  <c r="R193" i="2"/>
  <c r="S193" i="2"/>
  <c r="T193" i="2"/>
  <c r="U193" i="2"/>
  <c r="R194" i="2"/>
  <c r="S194" i="2"/>
  <c r="T194" i="2"/>
  <c r="U194" i="2"/>
  <c r="R195" i="2"/>
  <c r="S195" i="2"/>
  <c r="T195" i="2"/>
  <c r="U195" i="2"/>
  <c r="R196" i="2"/>
  <c r="S196" i="2"/>
  <c r="T196" i="2"/>
  <c r="U196" i="2"/>
  <c r="R197" i="2"/>
  <c r="S197" i="2"/>
  <c r="T197" i="2"/>
  <c r="U197" i="2"/>
  <c r="R198" i="2"/>
  <c r="S198" i="2"/>
  <c r="T198" i="2"/>
  <c r="U198" i="2"/>
  <c r="R199" i="2"/>
  <c r="S199" i="2"/>
  <c r="T199" i="2"/>
  <c r="U199" i="2"/>
  <c r="R200" i="2"/>
  <c r="S200" i="2"/>
  <c r="T200" i="2"/>
  <c r="U200" i="2"/>
  <c r="R201" i="2"/>
  <c r="S201" i="2"/>
  <c r="T201" i="2"/>
  <c r="U201" i="2"/>
  <c r="R202" i="2"/>
  <c r="S202" i="2"/>
  <c r="T202" i="2"/>
  <c r="U202" i="2"/>
  <c r="R203" i="2"/>
  <c r="S203" i="2"/>
  <c r="T203" i="2"/>
  <c r="U203" i="2"/>
  <c r="R204" i="2"/>
  <c r="S204" i="2"/>
  <c r="T204" i="2"/>
  <c r="U204" i="2"/>
  <c r="R205" i="2"/>
  <c r="S205" i="2"/>
  <c r="T205" i="2"/>
  <c r="U205" i="2"/>
  <c r="R206" i="2"/>
  <c r="S206" i="2"/>
  <c r="T206" i="2"/>
  <c r="U206" i="2"/>
  <c r="R207" i="2"/>
  <c r="S207" i="2"/>
  <c r="T207" i="2"/>
  <c r="U207" i="2"/>
  <c r="R208" i="2"/>
  <c r="S208" i="2"/>
  <c r="T208" i="2"/>
  <c r="U208" i="2"/>
  <c r="R209" i="2"/>
  <c r="S209" i="2"/>
  <c r="T209" i="2"/>
  <c r="U209" i="2"/>
  <c r="R210" i="2"/>
  <c r="S210" i="2"/>
  <c r="T210" i="2"/>
  <c r="U210" i="2"/>
  <c r="R211" i="2"/>
  <c r="S211" i="2"/>
  <c r="T211" i="2"/>
  <c r="U211" i="2"/>
  <c r="R212" i="2"/>
  <c r="S212" i="2"/>
  <c r="T212" i="2"/>
  <c r="U212" i="2"/>
  <c r="R213" i="2"/>
  <c r="S213" i="2"/>
  <c r="T213" i="2"/>
  <c r="U213" i="2"/>
  <c r="R214" i="2"/>
  <c r="S214" i="2"/>
  <c r="T214" i="2"/>
  <c r="U214" i="2"/>
  <c r="R215" i="2"/>
  <c r="S215" i="2"/>
  <c r="T215" i="2"/>
  <c r="U215" i="2"/>
  <c r="R216" i="2"/>
  <c r="S216" i="2"/>
  <c r="T216" i="2"/>
  <c r="U216" i="2"/>
  <c r="R217" i="2"/>
  <c r="S217" i="2"/>
  <c r="T217" i="2"/>
  <c r="U217" i="2"/>
  <c r="R218" i="2"/>
  <c r="S218" i="2"/>
  <c r="T218" i="2"/>
  <c r="U218" i="2"/>
  <c r="R219" i="2"/>
  <c r="S219" i="2"/>
  <c r="T219" i="2"/>
  <c r="U219" i="2"/>
  <c r="R220" i="2"/>
  <c r="S220" i="2"/>
  <c r="T220" i="2"/>
  <c r="U220" i="2"/>
  <c r="R221" i="2"/>
  <c r="S221" i="2"/>
  <c r="T221" i="2"/>
  <c r="U221" i="2"/>
  <c r="R222" i="2"/>
  <c r="S222" i="2"/>
  <c r="T222" i="2"/>
  <c r="U222" i="2"/>
  <c r="R223" i="2"/>
  <c r="S223" i="2"/>
  <c r="T223" i="2"/>
  <c r="U223" i="2"/>
  <c r="R224" i="2"/>
  <c r="S224" i="2"/>
  <c r="T224" i="2"/>
  <c r="U224" i="2"/>
  <c r="R225" i="2"/>
  <c r="S225" i="2"/>
  <c r="T225" i="2"/>
  <c r="U225" i="2"/>
  <c r="R226" i="2"/>
  <c r="S226" i="2"/>
  <c r="T226" i="2"/>
  <c r="U226" i="2"/>
  <c r="R227" i="2"/>
  <c r="S227" i="2"/>
  <c r="T227" i="2"/>
  <c r="U227" i="2"/>
  <c r="R228" i="2"/>
  <c r="S228" i="2"/>
  <c r="T228" i="2"/>
  <c r="U228" i="2"/>
  <c r="R229" i="2"/>
  <c r="S229" i="2"/>
  <c r="T229" i="2"/>
  <c r="U229" i="2"/>
  <c r="R230" i="2"/>
  <c r="S230" i="2"/>
  <c r="T230" i="2"/>
  <c r="U230" i="2"/>
  <c r="R231" i="2"/>
  <c r="S231" i="2"/>
  <c r="T231" i="2"/>
  <c r="U231" i="2"/>
  <c r="R232" i="2"/>
  <c r="S232" i="2"/>
  <c r="T232" i="2"/>
  <c r="U232" i="2"/>
  <c r="R233" i="2"/>
  <c r="S233" i="2"/>
  <c r="T233" i="2"/>
  <c r="U233" i="2"/>
  <c r="R234" i="2"/>
  <c r="S234" i="2"/>
  <c r="T234" i="2"/>
  <c r="U234" i="2"/>
  <c r="R235" i="2"/>
  <c r="S235" i="2"/>
  <c r="T235" i="2"/>
  <c r="U235" i="2"/>
  <c r="R236" i="2"/>
  <c r="S236" i="2"/>
  <c r="T236" i="2"/>
  <c r="U236" i="2"/>
  <c r="R237" i="2"/>
  <c r="S237" i="2"/>
  <c r="T237" i="2"/>
  <c r="U237" i="2"/>
  <c r="R238" i="2"/>
  <c r="S238" i="2"/>
  <c r="T238" i="2"/>
  <c r="U238" i="2"/>
  <c r="R239" i="2"/>
  <c r="S239" i="2"/>
  <c r="T239" i="2"/>
  <c r="U239" i="2"/>
  <c r="R240" i="2"/>
  <c r="S240" i="2"/>
  <c r="T240" i="2"/>
  <c r="U240" i="2"/>
  <c r="R241" i="2"/>
  <c r="S241" i="2"/>
  <c r="T241" i="2"/>
  <c r="U241" i="2"/>
  <c r="R242" i="2"/>
  <c r="S242" i="2"/>
  <c r="T242" i="2"/>
  <c r="U242" i="2"/>
  <c r="R243" i="2"/>
  <c r="S243" i="2"/>
  <c r="T243" i="2"/>
  <c r="U243" i="2"/>
  <c r="R244" i="2"/>
  <c r="S244" i="2"/>
  <c r="T244" i="2"/>
  <c r="U244" i="2"/>
  <c r="R245" i="2"/>
  <c r="S245" i="2"/>
  <c r="T245" i="2"/>
  <c r="U245" i="2"/>
  <c r="R246" i="2"/>
  <c r="S246" i="2"/>
  <c r="T246" i="2"/>
  <c r="U246" i="2"/>
  <c r="R247" i="2"/>
  <c r="S247" i="2"/>
  <c r="T247" i="2"/>
  <c r="U247" i="2"/>
  <c r="R248" i="2"/>
  <c r="S248" i="2"/>
  <c r="T248" i="2"/>
  <c r="U248" i="2"/>
  <c r="R249" i="2"/>
  <c r="S249" i="2"/>
  <c r="T249" i="2"/>
  <c r="U249" i="2"/>
  <c r="R250" i="2"/>
  <c r="S250" i="2"/>
  <c r="T250" i="2"/>
  <c r="U250" i="2"/>
  <c r="R251" i="2"/>
  <c r="S251" i="2"/>
  <c r="T251" i="2"/>
  <c r="U251" i="2"/>
  <c r="R252" i="2"/>
  <c r="S252" i="2"/>
  <c r="T252" i="2"/>
  <c r="U252" i="2"/>
  <c r="R253" i="2"/>
  <c r="S253" i="2"/>
  <c r="T253" i="2"/>
  <c r="U253" i="2"/>
  <c r="R254" i="2"/>
  <c r="S254" i="2"/>
  <c r="T254" i="2"/>
  <c r="U254" i="2"/>
  <c r="R255" i="2"/>
  <c r="S255" i="2"/>
  <c r="T255" i="2"/>
  <c r="U255" i="2"/>
  <c r="R256" i="2"/>
  <c r="S256" i="2"/>
  <c r="T256" i="2"/>
  <c r="U256" i="2"/>
  <c r="R257" i="2"/>
  <c r="S257" i="2"/>
  <c r="T257" i="2"/>
  <c r="U257" i="2"/>
  <c r="R258" i="2"/>
  <c r="S258" i="2"/>
  <c r="T258" i="2"/>
  <c r="U258" i="2"/>
  <c r="R259" i="2"/>
  <c r="S259" i="2"/>
  <c r="T259" i="2"/>
  <c r="U259" i="2"/>
  <c r="R260" i="2"/>
  <c r="S260" i="2"/>
  <c r="T260" i="2"/>
  <c r="U260" i="2"/>
  <c r="R261" i="2"/>
  <c r="S261" i="2"/>
  <c r="T261" i="2"/>
  <c r="U261" i="2"/>
  <c r="R262" i="2"/>
  <c r="S262" i="2"/>
  <c r="T262" i="2"/>
  <c r="U262" i="2"/>
  <c r="R263" i="2"/>
  <c r="S263" i="2"/>
  <c r="T263" i="2"/>
  <c r="U263" i="2"/>
  <c r="R264" i="2"/>
  <c r="S264" i="2"/>
  <c r="T264" i="2"/>
  <c r="U264" i="2"/>
  <c r="R265" i="2"/>
  <c r="S265" i="2"/>
  <c r="T265" i="2"/>
  <c r="U265" i="2"/>
  <c r="R266" i="2"/>
  <c r="S266" i="2"/>
  <c r="T266" i="2"/>
  <c r="U266" i="2"/>
  <c r="R267" i="2"/>
  <c r="S267" i="2"/>
  <c r="T267" i="2"/>
  <c r="U267" i="2"/>
  <c r="R268" i="2"/>
  <c r="S268" i="2"/>
  <c r="T268" i="2"/>
  <c r="U268" i="2"/>
  <c r="R269" i="2"/>
  <c r="S269" i="2"/>
  <c r="T269" i="2"/>
  <c r="U269" i="2"/>
  <c r="R270" i="2"/>
  <c r="S270" i="2"/>
  <c r="T270" i="2"/>
  <c r="U270" i="2"/>
  <c r="R271" i="2"/>
  <c r="S271" i="2"/>
  <c r="T271" i="2"/>
  <c r="U271" i="2"/>
  <c r="R272" i="2"/>
  <c r="S272" i="2"/>
  <c r="T272" i="2"/>
  <c r="U272" i="2"/>
  <c r="R273" i="2"/>
  <c r="S273" i="2"/>
  <c r="T273" i="2"/>
  <c r="U273" i="2"/>
  <c r="R274" i="2"/>
  <c r="S274" i="2"/>
  <c r="T274" i="2"/>
  <c r="U274" i="2"/>
  <c r="R275" i="2"/>
  <c r="S275" i="2"/>
  <c r="T275" i="2"/>
  <c r="U275" i="2"/>
  <c r="R276" i="2"/>
  <c r="S276" i="2"/>
  <c r="T276" i="2"/>
  <c r="U276" i="2"/>
  <c r="R277" i="2"/>
  <c r="S277" i="2"/>
  <c r="T277" i="2"/>
  <c r="U277" i="2"/>
  <c r="R278" i="2"/>
  <c r="S278" i="2"/>
  <c r="T278" i="2"/>
  <c r="U278" i="2"/>
  <c r="R279" i="2"/>
  <c r="S279" i="2"/>
  <c r="T279" i="2"/>
  <c r="U279" i="2"/>
  <c r="R280" i="2"/>
  <c r="S280" i="2"/>
  <c r="T280" i="2"/>
  <c r="U280" i="2"/>
  <c r="R281" i="2"/>
  <c r="S281" i="2"/>
  <c r="T281" i="2"/>
  <c r="U281" i="2"/>
  <c r="R282" i="2"/>
  <c r="S282" i="2"/>
  <c r="T282" i="2"/>
  <c r="U282" i="2"/>
  <c r="R283" i="2"/>
  <c r="S283" i="2"/>
  <c r="T283" i="2"/>
  <c r="U283" i="2"/>
  <c r="R284" i="2"/>
  <c r="S284" i="2"/>
  <c r="T284" i="2"/>
  <c r="U284" i="2"/>
  <c r="R285" i="2"/>
  <c r="S285" i="2"/>
  <c r="T285" i="2"/>
  <c r="U285" i="2"/>
  <c r="R286" i="2"/>
  <c r="S286" i="2"/>
  <c r="T286" i="2"/>
  <c r="U286" i="2"/>
  <c r="R287" i="2"/>
  <c r="S287" i="2"/>
  <c r="T287" i="2"/>
  <c r="U287" i="2"/>
  <c r="R288" i="2"/>
  <c r="S288" i="2"/>
  <c r="T288" i="2"/>
  <c r="U288" i="2"/>
  <c r="R289" i="2"/>
  <c r="S289" i="2"/>
  <c r="T289" i="2"/>
  <c r="U289" i="2"/>
  <c r="R290" i="2"/>
  <c r="S290" i="2"/>
  <c r="T290" i="2"/>
  <c r="U290" i="2"/>
  <c r="R291" i="2"/>
  <c r="S291" i="2"/>
  <c r="T291" i="2"/>
  <c r="U291" i="2"/>
  <c r="R292" i="2"/>
  <c r="S292" i="2"/>
  <c r="T292" i="2"/>
  <c r="U292" i="2"/>
  <c r="R293" i="2"/>
  <c r="S293" i="2"/>
  <c r="T293" i="2"/>
  <c r="U293" i="2"/>
  <c r="R294" i="2"/>
  <c r="S294" i="2"/>
  <c r="T294" i="2"/>
  <c r="U294" i="2"/>
  <c r="R295" i="2"/>
  <c r="S295" i="2"/>
  <c r="T295" i="2"/>
  <c r="U295" i="2"/>
  <c r="R296" i="2"/>
  <c r="S296" i="2"/>
  <c r="T296" i="2"/>
  <c r="U296" i="2"/>
  <c r="R297" i="2"/>
  <c r="S297" i="2"/>
  <c r="T297" i="2"/>
  <c r="U297" i="2"/>
  <c r="R298" i="2"/>
  <c r="S298" i="2"/>
  <c r="T298" i="2"/>
  <c r="U298" i="2"/>
  <c r="R299" i="2"/>
  <c r="S299" i="2"/>
  <c r="T299" i="2"/>
  <c r="U299" i="2"/>
  <c r="R300" i="2"/>
  <c r="S300" i="2"/>
  <c r="T300" i="2"/>
  <c r="U300" i="2"/>
  <c r="R301" i="2"/>
  <c r="S301" i="2"/>
  <c r="T301" i="2"/>
  <c r="U301" i="2"/>
  <c r="R302" i="2"/>
  <c r="S302" i="2"/>
  <c r="T302" i="2"/>
  <c r="U302" i="2"/>
  <c r="R303" i="2"/>
  <c r="S303" i="2"/>
  <c r="T303" i="2"/>
  <c r="U303" i="2"/>
  <c r="R304" i="2"/>
  <c r="S304" i="2"/>
  <c r="T304" i="2"/>
  <c r="U304" i="2"/>
  <c r="R305" i="2"/>
  <c r="S305" i="2"/>
  <c r="T305" i="2"/>
  <c r="U305" i="2"/>
  <c r="R306" i="2"/>
  <c r="S306" i="2"/>
  <c r="T306" i="2"/>
  <c r="U306" i="2"/>
  <c r="R307" i="2"/>
  <c r="S307" i="2"/>
  <c r="T307" i="2"/>
  <c r="U307" i="2"/>
  <c r="R308" i="2"/>
  <c r="S308" i="2"/>
  <c r="T308" i="2"/>
  <c r="U308" i="2"/>
  <c r="R309" i="2"/>
  <c r="S309" i="2"/>
  <c r="T309" i="2"/>
  <c r="U309" i="2"/>
  <c r="R310" i="2"/>
  <c r="S310" i="2"/>
  <c r="T310" i="2"/>
  <c r="U310" i="2"/>
  <c r="R311" i="2"/>
  <c r="S311" i="2"/>
  <c r="T311" i="2"/>
  <c r="U311" i="2"/>
  <c r="R312" i="2"/>
  <c r="S312" i="2"/>
  <c r="T312" i="2"/>
  <c r="U312" i="2"/>
  <c r="R313" i="2"/>
  <c r="S313" i="2"/>
  <c r="T313" i="2"/>
  <c r="U313" i="2"/>
  <c r="R314" i="2"/>
  <c r="S314" i="2"/>
  <c r="T314" i="2"/>
  <c r="U314" i="2"/>
  <c r="R315" i="2"/>
  <c r="S315" i="2"/>
  <c r="T315" i="2"/>
  <c r="U315" i="2"/>
  <c r="R316" i="2"/>
  <c r="S316" i="2"/>
  <c r="T316" i="2"/>
  <c r="U316" i="2"/>
  <c r="R317" i="2"/>
  <c r="S317" i="2"/>
  <c r="T317" i="2"/>
  <c r="U317" i="2"/>
  <c r="R318" i="2"/>
  <c r="S318" i="2"/>
  <c r="T318" i="2"/>
  <c r="U318" i="2"/>
  <c r="R319" i="2"/>
  <c r="S319" i="2"/>
  <c r="T319" i="2"/>
  <c r="U319" i="2"/>
  <c r="R320" i="2"/>
  <c r="S320" i="2"/>
  <c r="T320" i="2"/>
  <c r="U320" i="2"/>
  <c r="R321" i="2"/>
  <c r="S321" i="2"/>
  <c r="T321" i="2"/>
  <c r="U321" i="2"/>
  <c r="R322" i="2"/>
  <c r="S322" i="2"/>
  <c r="T322" i="2"/>
  <c r="U322" i="2"/>
  <c r="R323" i="2"/>
  <c r="S323" i="2"/>
  <c r="T323" i="2"/>
  <c r="U323" i="2"/>
  <c r="R324" i="2"/>
  <c r="S324" i="2"/>
  <c r="T324" i="2"/>
  <c r="U324" i="2"/>
  <c r="R325" i="2"/>
  <c r="S325" i="2"/>
  <c r="T325" i="2"/>
  <c r="U325" i="2"/>
  <c r="R326" i="2"/>
  <c r="S326" i="2"/>
  <c r="T326" i="2"/>
  <c r="U326" i="2"/>
  <c r="R327" i="2"/>
  <c r="S327" i="2"/>
  <c r="T327" i="2"/>
  <c r="U327" i="2"/>
  <c r="R328" i="2"/>
  <c r="S328" i="2"/>
  <c r="T328" i="2"/>
  <c r="U328" i="2"/>
  <c r="R329" i="2"/>
  <c r="S329" i="2"/>
  <c r="T329" i="2"/>
  <c r="U329" i="2"/>
  <c r="R330" i="2"/>
  <c r="S330" i="2"/>
  <c r="T330" i="2"/>
  <c r="U330" i="2"/>
  <c r="R331" i="2"/>
  <c r="S331" i="2"/>
  <c r="T331" i="2"/>
  <c r="U331" i="2"/>
  <c r="R332" i="2"/>
  <c r="S332" i="2"/>
  <c r="T332" i="2"/>
  <c r="U332" i="2"/>
  <c r="R333" i="2"/>
  <c r="S333" i="2"/>
  <c r="T333" i="2"/>
  <c r="U333" i="2"/>
  <c r="R334" i="2"/>
  <c r="S334" i="2"/>
  <c r="T334" i="2"/>
  <c r="U334" i="2"/>
  <c r="R335" i="2"/>
  <c r="S335" i="2"/>
  <c r="T335" i="2"/>
  <c r="U335" i="2"/>
  <c r="R336" i="2"/>
  <c r="S336" i="2"/>
  <c r="T336" i="2"/>
  <c r="U336" i="2"/>
  <c r="R337" i="2"/>
  <c r="S337" i="2"/>
  <c r="T337" i="2"/>
  <c r="U337" i="2"/>
  <c r="R338" i="2"/>
  <c r="S338" i="2"/>
  <c r="T338" i="2"/>
  <c r="U338" i="2"/>
  <c r="R339" i="2"/>
  <c r="S339" i="2"/>
  <c r="T339" i="2"/>
  <c r="U339" i="2"/>
  <c r="R340" i="2"/>
  <c r="S340" i="2"/>
  <c r="T340" i="2"/>
  <c r="U340" i="2"/>
  <c r="R341" i="2"/>
  <c r="S341" i="2"/>
  <c r="T341" i="2"/>
  <c r="U341" i="2"/>
  <c r="R342" i="2"/>
  <c r="S342" i="2"/>
  <c r="T342" i="2"/>
  <c r="U342" i="2"/>
  <c r="R343" i="2"/>
  <c r="S343" i="2"/>
  <c r="T343" i="2"/>
  <c r="U343" i="2"/>
  <c r="R344" i="2"/>
  <c r="S344" i="2"/>
  <c r="T344" i="2"/>
  <c r="U344" i="2"/>
  <c r="R345" i="2"/>
  <c r="S345" i="2"/>
  <c r="T345" i="2"/>
  <c r="U345" i="2"/>
  <c r="R346" i="2"/>
  <c r="S346" i="2"/>
  <c r="T346" i="2"/>
  <c r="U346" i="2"/>
  <c r="R347" i="2"/>
  <c r="S347" i="2"/>
  <c r="T347" i="2"/>
  <c r="U347" i="2"/>
  <c r="R348" i="2"/>
  <c r="S348" i="2"/>
  <c r="T348" i="2"/>
  <c r="U348" i="2"/>
  <c r="R349" i="2"/>
  <c r="S349" i="2"/>
  <c r="T349" i="2"/>
  <c r="U349" i="2"/>
  <c r="R350" i="2"/>
  <c r="S350" i="2"/>
  <c r="T350" i="2"/>
  <c r="U350" i="2"/>
  <c r="R351" i="2"/>
  <c r="S351" i="2"/>
  <c r="T351" i="2"/>
  <c r="U351" i="2"/>
  <c r="R352" i="2"/>
  <c r="S352" i="2"/>
  <c r="T352" i="2"/>
  <c r="U352" i="2"/>
  <c r="R353" i="2"/>
  <c r="S353" i="2"/>
  <c r="T353" i="2"/>
  <c r="U353" i="2"/>
  <c r="R354" i="2"/>
  <c r="S354" i="2"/>
  <c r="T354" i="2"/>
  <c r="U354" i="2"/>
  <c r="R355" i="2"/>
  <c r="S355" i="2"/>
  <c r="T355" i="2"/>
  <c r="U355" i="2"/>
  <c r="R356" i="2"/>
  <c r="S356" i="2"/>
  <c r="T356" i="2"/>
  <c r="U356" i="2"/>
  <c r="R357" i="2"/>
  <c r="S357" i="2"/>
  <c r="T357" i="2"/>
  <c r="U357" i="2"/>
  <c r="R358" i="2"/>
  <c r="S358" i="2"/>
  <c r="T358" i="2"/>
  <c r="U358" i="2"/>
  <c r="R359" i="2"/>
  <c r="S359" i="2"/>
  <c r="T359" i="2"/>
  <c r="U359" i="2"/>
  <c r="R360" i="2"/>
  <c r="S360" i="2"/>
  <c r="T360" i="2"/>
  <c r="U360" i="2"/>
  <c r="R361" i="2"/>
  <c r="S361" i="2"/>
  <c r="T361" i="2"/>
  <c r="U361" i="2"/>
  <c r="R362" i="2"/>
  <c r="S362" i="2"/>
  <c r="T362" i="2"/>
  <c r="U362" i="2"/>
  <c r="R363" i="2"/>
  <c r="S363" i="2"/>
  <c r="T363" i="2"/>
  <c r="U363" i="2"/>
  <c r="R364" i="2"/>
  <c r="S364" i="2"/>
  <c r="T364" i="2"/>
  <c r="U364" i="2"/>
  <c r="R365" i="2"/>
  <c r="S365" i="2"/>
  <c r="T365" i="2"/>
  <c r="U365" i="2"/>
  <c r="R366" i="2"/>
  <c r="S366" i="2"/>
  <c r="T366" i="2"/>
  <c r="U366" i="2"/>
  <c r="R367" i="2"/>
  <c r="S367" i="2"/>
  <c r="T367" i="2"/>
  <c r="U367" i="2"/>
  <c r="R368" i="2"/>
  <c r="S368" i="2"/>
  <c r="T368" i="2"/>
  <c r="U368" i="2"/>
  <c r="R369" i="2"/>
  <c r="S369" i="2"/>
  <c r="T369" i="2"/>
  <c r="U369" i="2"/>
  <c r="R370" i="2"/>
  <c r="S370" i="2"/>
  <c r="T370" i="2"/>
  <c r="U370" i="2"/>
  <c r="R371" i="2"/>
  <c r="S371" i="2"/>
  <c r="T371" i="2"/>
  <c r="U371" i="2"/>
  <c r="R372" i="2"/>
  <c r="S372" i="2"/>
  <c r="T372" i="2"/>
  <c r="U372" i="2"/>
  <c r="R373" i="2"/>
  <c r="S373" i="2"/>
  <c r="T373" i="2"/>
  <c r="U373" i="2"/>
  <c r="R374" i="2"/>
  <c r="S374" i="2"/>
  <c r="T374" i="2"/>
  <c r="U374" i="2"/>
  <c r="R375" i="2"/>
  <c r="S375" i="2"/>
  <c r="T375" i="2"/>
  <c r="U375" i="2"/>
  <c r="R376" i="2"/>
  <c r="S376" i="2"/>
  <c r="T376" i="2"/>
  <c r="U376" i="2"/>
  <c r="R377" i="2"/>
  <c r="S377" i="2"/>
  <c r="T377" i="2"/>
  <c r="U377" i="2"/>
  <c r="R378" i="2"/>
  <c r="S378" i="2"/>
  <c r="T378" i="2"/>
  <c r="U378" i="2"/>
  <c r="R379" i="2"/>
  <c r="S379" i="2"/>
  <c r="T379" i="2"/>
  <c r="U379" i="2"/>
  <c r="R380" i="2"/>
  <c r="S380" i="2"/>
  <c r="T380" i="2"/>
  <c r="U380" i="2"/>
  <c r="R381" i="2"/>
  <c r="S381" i="2"/>
  <c r="T381" i="2"/>
  <c r="U381" i="2"/>
  <c r="R382" i="2"/>
  <c r="S382" i="2"/>
  <c r="T382" i="2"/>
  <c r="U382" i="2"/>
  <c r="R383" i="2"/>
  <c r="S383" i="2"/>
  <c r="T383" i="2"/>
  <c r="U383" i="2"/>
  <c r="R384" i="2"/>
  <c r="S384" i="2"/>
  <c r="T384" i="2"/>
  <c r="U384" i="2"/>
  <c r="R385" i="2"/>
  <c r="S385" i="2"/>
  <c r="T385" i="2"/>
  <c r="U385" i="2"/>
  <c r="R386" i="2"/>
  <c r="S386" i="2"/>
  <c r="T386" i="2"/>
  <c r="U386" i="2"/>
  <c r="R387" i="2"/>
  <c r="S387" i="2"/>
  <c r="T387" i="2"/>
  <c r="U387" i="2"/>
  <c r="R388" i="2"/>
  <c r="S388" i="2"/>
  <c r="T388" i="2"/>
  <c r="U388" i="2"/>
  <c r="R389" i="2"/>
  <c r="S389" i="2"/>
  <c r="T389" i="2"/>
  <c r="U389" i="2"/>
  <c r="R390" i="2"/>
  <c r="S390" i="2"/>
  <c r="T390" i="2"/>
  <c r="U390" i="2"/>
  <c r="R391" i="2"/>
  <c r="S391" i="2"/>
  <c r="T391" i="2"/>
  <c r="U391" i="2"/>
  <c r="R392" i="2"/>
  <c r="S392" i="2"/>
  <c r="T392" i="2"/>
  <c r="U392" i="2"/>
  <c r="R393" i="2"/>
  <c r="S393" i="2"/>
  <c r="T393" i="2"/>
  <c r="U393" i="2"/>
  <c r="R394" i="2"/>
  <c r="S394" i="2"/>
  <c r="T394" i="2"/>
  <c r="U394" i="2"/>
  <c r="R395" i="2"/>
  <c r="S395" i="2"/>
  <c r="T395" i="2"/>
  <c r="U395" i="2"/>
  <c r="R396" i="2"/>
  <c r="S396" i="2"/>
  <c r="T396" i="2"/>
  <c r="U396" i="2"/>
  <c r="R397" i="2"/>
  <c r="S397" i="2"/>
  <c r="T397" i="2"/>
  <c r="U397" i="2"/>
  <c r="R398" i="2"/>
  <c r="S398" i="2"/>
  <c r="T398" i="2"/>
  <c r="U398" i="2"/>
  <c r="R399" i="2"/>
  <c r="S399" i="2"/>
  <c r="T399" i="2"/>
  <c r="U399" i="2"/>
  <c r="R400" i="2"/>
  <c r="S400" i="2"/>
  <c r="T400" i="2"/>
  <c r="U400" i="2"/>
  <c r="R401" i="2"/>
  <c r="S401" i="2"/>
  <c r="T401" i="2"/>
  <c r="U401" i="2"/>
  <c r="R402" i="2"/>
  <c r="S402" i="2"/>
  <c r="T402" i="2"/>
  <c r="U402" i="2"/>
  <c r="R403" i="2"/>
  <c r="S403" i="2"/>
  <c r="T403" i="2"/>
  <c r="U403" i="2"/>
  <c r="R404" i="2"/>
  <c r="S404" i="2"/>
  <c r="T404" i="2"/>
  <c r="U404" i="2"/>
  <c r="R405" i="2"/>
  <c r="S405" i="2"/>
  <c r="T405" i="2"/>
  <c r="U405" i="2"/>
  <c r="R406" i="2"/>
  <c r="S406" i="2"/>
  <c r="T406" i="2"/>
  <c r="U406" i="2"/>
  <c r="R407" i="2"/>
  <c r="S407" i="2"/>
  <c r="T407" i="2"/>
  <c r="U407" i="2"/>
  <c r="R408" i="2"/>
  <c r="S408" i="2"/>
  <c r="T408" i="2"/>
  <c r="U408" i="2"/>
  <c r="R409" i="2"/>
  <c r="S409" i="2"/>
  <c r="T409" i="2"/>
  <c r="U409" i="2"/>
  <c r="R410" i="2"/>
  <c r="S410" i="2"/>
  <c r="T410" i="2"/>
  <c r="U410" i="2"/>
  <c r="R411" i="2"/>
  <c r="S411" i="2"/>
  <c r="T411" i="2"/>
  <c r="U411" i="2"/>
  <c r="R412" i="2"/>
  <c r="S412" i="2"/>
  <c r="T412" i="2"/>
  <c r="U412" i="2"/>
  <c r="R413" i="2"/>
  <c r="S413" i="2"/>
  <c r="T413" i="2"/>
  <c r="U413" i="2"/>
  <c r="R414" i="2"/>
  <c r="S414" i="2"/>
  <c r="T414" i="2"/>
  <c r="U414" i="2"/>
  <c r="R415" i="2"/>
  <c r="S415" i="2"/>
  <c r="T415" i="2"/>
  <c r="U415" i="2"/>
  <c r="R416" i="2"/>
  <c r="S416" i="2"/>
  <c r="T416" i="2"/>
  <c r="U416" i="2"/>
  <c r="R417" i="2"/>
  <c r="S417" i="2"/>
  <c r="T417" i="2"/>
  <c r="U417" i="2"/>
  <c r="R418" i="2"/>
  <c r="S418" i="2"/>
  <c r="T418" i="2"/>
  <c r="U418" i="2"/>
  <c r="R419" i="2"/>
  <c r="S419" i="2"/>
  <c r="T419" i="2"/>
  <c r="U419" i="2"/>
  <c r="R420" i="2"/>
  <c r="S420" i="2"/>
  <c r="T420" i="2"/>
  <c r="U420" i="2"/>
  <c r="R421" i="2"/>
  <c r="S421" i="2"/>
  <c r="T421" i="2"/>
  <c r="U421" i="2"/>
  <c r="R422" i="2"/>
  <c r="S422" i="2"/>
  <c r="T422" i="2"/>
  <c r="U422" i="2"/>
  <c r="R423" i="2"/>
  <c r="S423" i="2"/>
  <c r="T423" i="2"/>
  <c r="U423" i="2"/>
  <c r="R424" i="2"/>
  <c r="S424" i="2"/>
  <c r="T424" i="2"/>
  <c r="U424" i="2"/>
  <c r="R425" i="2"/>
  <c r="S425" i="2"/>
  <c r="T425" i="2"/>
  <c r="U425" i="2"/>
  <c r="R426" i="2"/>
  <c r="S426" i="2"/>
  <c r="T426" i="2"/>
  <c r="U426" i="2"/>
  <c r="R427" i="2"/>
  <c r="S427" i="2"/>
  <c r="T427" i="2"/>
  <c r="U427" i="2"/>
  <c r="R428" i="2"/>
  <c r="S428" i="2"/>
  <c r="T428" i="2"/>
  <c r="U428" i="2"/>
  <c r="R429" i="2"/>
  <c r="S429" i="2"/>
  <c r="T429" i="2"/>
  <c r="U429" i="2"/>
  <c r="R430" i="2"/>
  <c r="S430" i="2"/>
  <c r="T430" i="2"/>
  <c r="U430" i="2"/>
  <c r="R431" i="2"/>
  <c r="S431" i="2"/>
  <c r="T431" i="2"/>
  <c r="U431" i="2"/>
  <c r="R432" i="2"/>
  <c r="S432" i="2"/>
  <c r="T432" i="2"/>
  <c r="U432" i="2"/>
  <c r="R433" i="2"/>
  <c r="S433" i="2"/>
  <c r="T433" i="2"/>
  <c r="U433" i="2"/>
  <c r="R434" i="2"/>
  <c r="S434" i="2"/>
  <c r="T434" i="2"/>
  <c r="U434" i="2"/>
  <c r="R435" i="2"/>
  <c r="S435" i="2"/>
  <c r="T435" i="2"/>
  <c r="U435" i="2"/>
  <c r="R436" i="2"/>
  <c r="S436" i="2"/>
  <c r="T436" i="2"/>
  <c r="U436" i="2"/>
  <c r="R437" i="2"/>
  <c r="S437" i="2"/>
  <c r="T437" i="2"/>
  <c r="U437" i="2"/>
  <c r="R438" i="2"/>
  <c r="S438" i="2"/>
  <c r="T438" i="2"/>
  <c r="U438" i="2"/>
  <c r="R439" i="2"/>
  <c r="S439" i="2"/>
  <c r="T439" i="2"/>
  <c r="U439" i="2"/>
  <c r="R440" i="2"/>
  <c r="S440" i="2"/>
  <c r="T440" i="2"/>
  <c r="U440" i="2"/>
  <c r="R441" i="2"/>
  <c r="S441" i="2"/>
  <c r="T441" i="2"/>
  <c r="U441" i="2"/>
  <c r="R442" i="2"/>
  <c r="S442" i="2"/>
  <c r="T442" i="2"/>
  <c r="U442" i="2"/>
  <c r="R443" i="2"/>
  <c r="S443" i="2"/>
  <c r="T443" i="2"/>
  <c r="U443" i="2"/>
  <c r="R444" i="2"/>
  <c r="S444" i="2"/>
  <c r="T444" i="2"/>
  <c r="U444" i="2"/>
  <c r="R445" i="2"/>
  <c r="S445" i="2"/>
  <c r="T445" i="2"/>
  <c r="U445" i="2"/>
  <c r="R446" i="2"/>
  <c r="S446" i="2"/>
  <c r="T446" i="2"/>
  <c r="U446" i="2"/>
  <c r="R447" i="2"/>
  <c r="S447" i="2"/>
  <c r="T447" i="2"/>
  <c r="U447" i="2"/>
  <c r="R448" i="2"/>
  <c r="S448" i="2"/>
  <c r="T448" i="2"/>
  <c r="U448" i="2"/>
  <c r="R449" i="2"/>
  <c r="S449" i="2"/>
  <c r="T449" i="2"/>
  <c r="U449" i="2"/>
  <c r="R450" i="2"/>
  <c r="S450" i="2"/>
  <c r="T450" i="2"/>
  <c r="U450" i="2"/>
  <c r="R451" i="2"/>
  <c r="S451" i="2"/>
  <c r="T451" i="2"/>
  <c r="U451" i="2"/>
  <c r="R452" i="2"/>
  <c r="S452" i="2"/>
  <c r="T452" i="2"/>
  <c r="U452" i="2"/>
  <c r="R453" i="2"/>
  <c r="S453" i="2"/>
  <c r="T453" i="2"/>
  <c r="U453" i="2"/>
  <c r="R454" i="2"/>
  <c r="S454" i="2"/>
  <c r="T454" i="2"/>
  <c r="U454" i="2"/>
  <c r="R455" i="2"/>
  <c r="S455" i="2"/>
  <c r="T455" i="2"/>
  <c r="U455" i="2"/>
  <c r="R456" i="2"/>
  <c r="S456" i="2"/>
  <c r="T456" i="2"/>
  <c r="U456" i="2"/>
  <c r="R457" i="2"/>
  <c r="S457" i="2"/>
  <c r="T457" i="2"/>
  <c r="U457" i="2"/>
  <c r="R458" i="2"/>
  <c r="S458" i="2"/>
  <c r="T458" i="2"/>
  <c r="U458" i="2"/>
  <c r="R459" i="2"/>
  <c r="S459" i="2"/>
  <c r="T459" i="2"/>
  <c r="U459" i="2"/>
  <c r="R460" i="2"/>
  <c r="S460" i="2"/>
  <c r="T460" i="2"/>
  <c r="U460" i="2"/>
  <c r="R461" i="2"/>
  <c r="S461" i="2"/>
  <c r="T461" i="2"/>
  <c r="U461" i="2"/>
  <c r="R462" i="2"/>
  <c r="S462" i="2"/>
  <c r="T462" i="2"/>
  <c r="U462" i="2"/>
  <c r="R463" i="2"/>
  <c r="S463" i="2"/>
  <c r="T463" i="2"/>
  <c r="U463" i="2"/>
  <c r="R464" i="2"/>
  <c r="S464" i="2"/>
  <c r="T464" i="2"/>
  <c r="U464" i="2"/>
  <c r="R465" i="2"/>
  <c r="S465" i="2"/>
  <c r="T465" i="2"/>
  <c r="U465" i="2"/>
  <c r="R466" i="2"/>
  <c r="S466" i="2"/>
  <c r="T466" i="2"/>
  <c r="U466" i="2"/>
  <c r="R467" i="2"/>
  <c r="S467" i="2"/>
  <c r="T467" i="2"/>
  <c r="U467" i="2"/>
  <c r="R468" i="2"/>
  <c r="S468" i="2"/>
  <c r="T468" i="2"/>
  <c r="U468" i="2"/>
  <c r="R469" i="2"/>
  <c r="S469" i="2"/>
  <c r="T469" i="2"/>
  <c r="U469" i="2"/>
  <c r="R470" i="2"/>
  <c r="S470" i="2"/>
  <c r="T470" i="2"/>
  <c r="U470" i="2"/>
  <c r="R471" i="2"/>
  <c r="S471" i="2"/>
  <c r="T471" i="2"/>
  <c r="U471" i="2"/>
  <c r="R472" i="2"/>
  <c r="S472" i="2"/>
  <c r="T472" i="2"/>
  <c r="U472" i="2"/>
  <c r="R473" i="2"/>
  <c r="S473" i="2"/>
  <c r="T473" i="2"/>
  <c r="U473" i="2"/>
  <c r="R474" i="2"/>
  <c r="S474" i="2"/>
  <c r="T474" i="2"/>
  <c r="U474" i="2"/>
  <c r="R475" i="2"/>
  <c r="S475" i="2"/>
  <c r="T475" i="2"/>
  <c r="U475" i="2"/>
  <c r="R476" i="2"/>
  <c r="S476" i="2"/>
  <c r="T476" i="2"/>
  <c r="U476" i="2"/>
  <c r="R477" i="2"/>
  <c r="S477" i="2"/>
  <c r="T477" i="2"/>
  <c r="U477" i="2"/>
  <c r="R478" i="2"/>
  <c r="S478" i="2"/>
  <c r="T478" i="2"/>
  <c r="U478" i="2"/>
  <c r="R479" i="2"/>
  <c r="S479" i="2"/>
  <c r="T479" i="2"/>
  <c r="U479" i="2"/>
  <c r="R480" i="2"/>
  <c r="S480" i="2"/>
  <c r="T480" i="2"/>
  <c r="U480" i="2"/>
  <c r="R481" i="2"/>
  <c r="S481" i="2"/>
  <c r="T481" i="2"/>
  <c r="U481" i="2"/>
  <c r="R482" i="2"/>
  <c r="S482" i="2"/>
  <c r="T482" i="2"/>
  <c r="U482" i="2"/>
  <c r="R483" i="2"/>
  <c r="S483" i="2"/>
  <c r="T483" i="2"/>
  <c r="U483" i="2"/>
  <c r="R484" i="2"/>
  <c r="S484" i="2"/>
  <c r="T484" i="2"/>
  <c r="U484" i="2"/>
  <c r="R485" i="2"/>
  <c r="S485" i="2"/>
  <c r="T485" i="2"/>
  <c r="U485" i="2"/>
  <c r="R486" i="2"/>
  <c r="S486" i="2"/>
  <c r="T486" i="2"/>
  <c r="U486" i="2"/>
  <c r="R487" i="2"/>
  <c r="S487" i="2"/>
  <c r="T487" i="2"/>
  <c r="U487" i="2"/>
  <c r="R488" i="2"/>
  <c r="S488" i="2"/>
  <c r="T488" i="2"/>
  <c r="U488" i="2"/>
  <c r="R489" i="2"/>
  <c r="S489" i="2"/>
  <c r="T489" i="2"/>
  <c r="U489" i="2"/>
  <c r="R490" i="2"/>
  <c r="S490" i="2"/>
  <c r="T490" i="2"/>
  <c r="U490" i="2"/>
  <c r="R491" i="2"/>
  <c r="S491" i="2"/>
  <c r="T491" i="2"/>
  <c r="U491" i="2"/>
  <c r="R492" i="2"/>
  <c r="S492" i="2"/>
  <c r="T492" i="2"/>
  <c r="U492" i="2"/>
  <c r="R493" i="2"/>
  <c r="S493" i="2"/>
  <c r="T493" i="2"/>
  <c r="U493" i="2"/>
  <c r="R494" i="2"/>
  <c r="S494" i="2"/>
  <c r="T494" i="2"/>
  <c r="U494" i="2"/>
  <c r="R495" i="2"/>
  <c r="S495" i="2"/>
  <c r="T495" i="2"/>
  <c r="U495" i="2"/>
  <c r="R496" i="2"/>
  <c r="S496" i="2"/>
  <c r="T496" i="2"/>
  <c r="U496" i="2"/>
  <c r="R497" i="2"/>
  <c r="S497" i="2"/>
  <c r="T497" i="2"/>
  <c r="U497" i="2"/>
  <c r="R498" i="2"/>
  <c r="S498" i="2"/>
  <c r="T498" i="2"/>
  <c r="U498" i="2"/>
  <c r="R499" i="2"/>
  <c r="S499" i="2"/>
  <c r="T499" i="2"/>
  <c r="U499" i="2"/>
  <c r="R500" i="2"/>
  <c r="S500" i="2"/>
  <c r="T500" i="2"/>
  <c r="U500" i="2"/>
  <c r="R501" i="2"/>
  <c r="S501" i="2"/>
  <c r="T501" i="2"/>
  <c r="U501" i="2"/>
  <c r="R502" i="2"/>
  <c r="S502" i="2"/>
  <c r="T502" i="2"/>
  <c r="U502" i="2"/>
  <c r="R503" i="2"/>
  <c r="S503" i="2"/>
  <c r="T503" i="2"/>
  <c r="U503" i="2"/>
  <c r="U2" i="2"/>
  <c r="T2" i="2"/>
  <c r="S2" i="2"/>
  <c r="R2" i="2"/>
  <c r="M112" i="2"/>
  <c r="M7" i="2"/>
  <c r="M3" i="2"/>
  <c r="M4" i="2"/>
  <c r="M5" i="2"/>
  <c r="M6"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2" i="2"/>
  <c r="H496" i="2" l="1"/>
  <c r="H486" i="2"/>
  <c r="H478" i="2" l="1"/>
  <c r="H473" i="2" l="1"/>
  <c r="H474" i="2"/>
  <c r="H475" i="2"/>
  <c r="H476" i="2"/>
  <c r="H477" i="2"/>
  <c r="H459" i="2" l="1"/>
  <c r="H453" i="2"/>
  <c r="H454" i="2"/>
  <c r="H455" i="2"/>
  <c r="H445" i="2" l="1"/>
  <c r="H446" i="2"/>
  <c r="H447" i="2"/>
  <c r="H448" i="2"/>
  <c r="H449" i="2"/>
  <c r="H425" i="2"/>
  <c r="H438" i="2"/>
  <c r="H376" i="2"/>
  <c r="H377" i="2"/>
  <c r="H378" i="2"/>
  <c r="H379" i="2"/>
  <c r="H380" i="2"/>
  <c r="H381" i="2"/>
  <c r="H382" i="2"/>
  <c r="H383" i="2"/>
  <c r="H384" i="2"/>
  <c r="H385" i="2"/>
  <c r="H386" i="2"/>
  <c r="H387" i="2"/>
  <c r="H388" i="2"/>
  <c r="H389" i="2"/>
  <c r="H390" i="2"/>
  <c r="H391" i="2"/>
  <c r="H392" i="2"/>
  <c r="H393" i="2"/>
  <c r="H394" i="2"/>
  <c r="H395" i="2"/>
  <c r="H396" i="2"/>
  <c r="H397" i="2"/>
  <c r="H398" i="2"/>
  <c r="H399" i="2"/>
  <c r="H437" i="2" l="1"/>
  <c r="H432" i="2"/>
  <c r="H424" i="2" l="1"/>
  <c r="H343" i="2" l="1"/>
  <c r="H422" i="2" l="1"/>
  <c r="H418" i="2" l="1"/>
  <c r="H419" i="2"/>
  <c r="H417" i="2"/>
  <c r="H411" i="2"/>
  <c r="H416" i="2"/>
  <c r="H401" i="2" l="1"/>
  <c r="H402" i="2"/>
  <c r="H403" i="2"/>
  <c r="H404" i="2"/>
  <c r="H400" i="2"/>
  <c r="H405" i="2"/>
  <c r="H406" i="2"/>
  <c r="H407" i="2"/>
  <c r="H408" i="2"/>
  <c r="H409" i="2"/>
  <c r="H410" i="2"/>
  <c r="H412" i="2"/>
  <c r="H413" i="2"/>
  <c r="H414" i="2"/>
  <c r="H415" i="2"/>
  <c r="H420" i="2"/>
  <c r="H421" i="2"/>
  <c r="H423" i="2"/>
  <c r="H427" i="2"/>
  <c r="H428" i="2"/>
  <c r="H426" i="2"/>
  <c r="H429" i="2"/>
  <c r="H430" i="2"/>
  <c r="H431" i="2"/>
  <c r="H433" i="2"/>
  <c r="H434" i="2"/>
  <c r="H436" i="2"/>
  <c r="H435" i="2"/>
  <c r="H439" i="2"/>
  <c r="H440" i="2"/>
  <c r="H441" i="2"/>
  <c r="H442" i="2"/>
  <c r="H443" i="2"/>
  <c r="H444" i="2"/>
  <c r="H450" i="2"/>
  <c r="H451" i="2"/>
  <c r="H452" i="2"/>
  <c r="H456" i="2"/>
  <c r="H457" i="2"/>
  <c r="H458" i="2"/>
  <c r="H460" i="2"/>
  <c r="H461" i="2"/>
  <c r="H462" i="2"/>
  <c r="H463" i="2"/>
  <c r="H464" i="2"/>
  <c r="H465" i="2"/>
  <c r="H466" i="2"/>
  <c r="H467" i="2"/>
  <c r="H468" i="2"/>
  <c r="H469" i="2"/>
  <c r="H470" i="2"/>
  <c r="H471" i="2"/>
  <c r="H472" i="2"/>
  <c r="H479" i="2"/>
  <c r="H480" i="2"/>
  <c r="H481" i="2"/>
  <c r="H482" i="2"/>
  <c r="H483" i="2"/>
  <c r="H484" i="2"/>
  <c r="H485" i="2"/>
  <c r="H487" i="2"/>
  <c r="H488" i="2"/>
  <c r="H489" i="2"/>
  <c r="H490" i="2"/>
  <c r="H491" i="2"/>
  <c r="H492" i="2"/>
  <c r="H493" i="2"/>
  <c r="H494" i="2"/>
  <c r="H495" i="2"/>
  <c r="H497" i="2"/>
  <c r="H498" i="2"/>
  <c r="H499" i="2"/>
  <c r="H500" i="2"/>
  <c r="H501" i="2"/>
  <c r="H502" i="2"/>
  <c r="H503" i="2"/>
  <c r="H371" i="2"/>
  <c r="H370" i="2"/>
  <c r="H369" i="2"/>
  <c r="H350" i="2" l="1"/>
  <c r="H351" i="2"/>
  <c r="H352" i="2"/>
  <c r="H353" i="2"/>
  <c r="H354" i="2"/>
  <c r="H356" i="2"/>
  <c r="H357" i="2"/>
  <c r="H355" i="2"/>
  <c r="H358" i="2"/>
  <c r="H359" i="2"/>
  <c r="H360" i="2"/>
  <c r="H361" i="2"/>
  <c r="H362" i="2"/>
  <c r="H363" i="2"/>
  <c r="H364" i="2"/>
  <c r="H365" i="2"/>
  <c r="H366" i="2"/>
  <c r="H367" i="2"/>
  <c r="H349" i="2"/>
  <c r="H348" i="2" l="1"/>
  <c r="H347" i="2"/>
  <c r="H346" i="2"/>
  <c r="H345" i="2"/>
  <c r="H344" i="2"/>
  <c r="H342" i="2"/>
  <c r="H341" i="2"/>
  <c r="H340" i="2"/>
  <c r="H339" i="2"/>
  <c r="H338" i="2"/>
  <c r="H337" i="2"/>
  <c r="H336" i="2"/>
  <c r="H13" i="2"/>
  <c r="H14" i="2"/>
  <c r="H60" i="2"/>
  <c r="H92" i="2"/>
  <c r="H97" i="2"/>
  <c r="H100" i="2"/>
  <c r="H171" i="2"/>
  <c r="H241" i="2"/>
  <c r="H273" i="2"/>
  <c r="H311" i="2"/>
  <c r="H313" i="2"/>
  <c r="H318" i="2"/>
  <c r="H319" i="2"/>
  <c r="H59" i="2"/>
  <c r="H123" i="2"/>
  <c r="H137" i="2"/>
  <c r="H140" i="2"/>
  <c r="H143" i="2"/>
  <c r="H165" i="2"/>
  <c r="H172" i="2"/>
  <c r="H180" i="2"/>
  <c r="H189" i="2"/>
  <c r="H192" i="2"/>
  <c r="H193" i="2"/>
  <c r="H194" i="2"/>
  <c r="H204" i="2"/>
  <c r="H205" i="2"/>
  <c r="H209" i="2"/>
  <c r="H308" i="2"/>
  <c r="H227" i="2"/>
  <c r="H240" i="2"/>
  <c r="H249" i="2"/>
  <c r="H252" i="2"/>
  <c r="H254" i="2"/>
  <c r="H272" i="2"/>
  <c r="H277" i="2"/>
  <c r="H278" i="2"/>
  <c r="H287" i="2"/>
  <c r="H314" i="2"/>
  <c r="H315" i="2"/>
  <c r="H328" i="2"/>
  <c r="H331" i="2"/>
  <c r="H332" i="2"/>
  <c r="H333" i="2"/>
  <c r="H334" i="2"/>
  <c r="H335" i="2"/>
  <c r="H325" i="2"/>
  <c r="H57" i="2"/>
  <c r="H62" i="2"/>
  <c r="H88" i="2"/>
  <c r="H94" i="2"/>
  <c r="H103" i="2"/>
  <c r="H115" i="2"/>
  <c r="H116" i="2"/>
  <c r="H127" i="2"/>
  <c r="H152" i="2"/>
  <c r="H161" i="2"/>
  <c r="H191" i="2"/>
  <c r="H220" i="2"/>
  <c r="H228" i="2"/>
  <c r="H247" i="2"/>
  <c r="H253" i="2"/>
  <c r="H300" i="2"/>
  <c r="H263" i="2"/>
  <c r="H156" i="2"/>
  <c r="H292" i="2"/>
  <c r="H101" i="2"/>
  <c r="H224" i="2"/>
  <c r="H104" i="2"/>
  <c r="H158" i="2"/>
  <c r="H238" i="2"/>
  <c r="H242" i="2"/>
  <c r="H245" i="2"/>
  <c r="H248" i="2"/>
  <c r="H256" i="2"/>
  <c r="H266" i="2"/>
  <c r="H286" i="2"/>
  <c r="H291" i="2"/>
  <c r="H293" i="2"/>
  <c r="H280" i="2"/>
  <c r="H281" i="2"/>
  <c r="H282" i="2"/>
  <c r="H283" i="2"/>
  <c r="H49" i="2"/>
  <c r="H53" i="2"/>
  <c r="H66" i="2"/>
  <c r="H85" i="2"/>
  <c r="H90" i="2"/>
  <c r="H118" i="2"/>
  <c r="H217" i="2"/>
  <c r="H274" i="2"/>
  <c r="H195" i="2"/>
  <c r="H196" i="2"/>
  <c r="H197" i="2"/>
  <c r="H198" i="2"/>
  <c r="H199" i="2"/>
  <c r="H157" i="2"/>
  <c r="H261" i="2"/>
  <c r="H276" i="2"/>
  <c r="H284" i="2"/>
  <c r="H67" i="2"/>
  <c r="H84" i="2"/>
  <c r="H230" i="2"/>
  <c r="H144" i="2"/>
  <c r="H179" i="2"/>
  <c r="H234" i="2"/>
  <c r="H251" i="2"/>
  <c r="H327" i="2"/>
  <c r="H124" i="2"/>
  <c r="H125" i="2"/>
  <c r="H126" i="2"/>
  <c r="H244" i="2"/>
  <c r="H133" i="2"/>
  <c r="H214" i="2"/>
  <c r="H257" i="2"/>
  <c r="H285" i="2"/>
  <c r="H232" i="2"/>
  <c r="H236" i="2"/>
  <c r="H260" i="2"/>
  <c r="H262" i="2"/>
  <c r="H270" i="2"/>
  <c r="H271" i="2"/>
  <c r="H279" i="2"/>
  <c r="H288" i="2"/>
  <c r="H289" i="2"/>
  <c r="H295" i="2"/>
  <c r="H296" i="2"/>
  <c r="H302" i="2"/>
  <c r="H316" i="2"/>
  <c r="H38" i="2"/>
  <c r="H76" i="2"/>
  <c r="H89" i="2"/>
  <c r="H98" i="2"/>
  <c r="H112" i="2"/>
  <c r="H114" i="2"/>
  <c r="H131" i="2"/>
  <c r="H145" i="2"/>
  <c r="H134" i="2"/>
  <c r="H147" i="2"/>
  <c r="H155" i="2"/>
  <c r="H164" i="2"/>
  <c r="H178" i="2"/>
  <c r="H202" i="2"/>
  <c r="H2" i="2"/>
  <c r="H17" i="2"/>
  <c r="H22" i="2"/>
  <c r="H27" i="2"/>
  <c r="H41" i="2"/>
  <c r="H70" i="2"/>
  <c r="H93" i="2"/>
  <c r="H170" i="2"/>
  <c r="H231" i="2"/>
  <c r="H237" i="2"/>
  <c r="H239" i="2"/>
  <c r="H250" i="2"/>
  <c r="H18" i="2"/>
  <c r="H275" i="2"/>
  <c r="H294" i="2"/>
  <c r="H298" i="2"/>
  <c r="H299" i="2"/>
  <c r="H330" i="2"/>
  <c r="H8" i="2"/>
  <c r="H45" i="2"/>
  <c r="H63" i="2"/>
  <c r="H72" i="2"/>
  <c r="H83" i="2"/>
  <c r="H86" i="2"/>
  <c r="H95" i="2"/>
  <c r="H109" i="2"/>
  <c r="H167" i="2"/>
  <c r="H132" i="2"/>
  <c r="H136" i="2"/>
  <c r="H166" i="2"/>
  <c r="H255" i="2"/>
  <c r="H188" i="2"/>
  <c r="H6" i="2"/>
  <c r="H15" i="2"/>
  <c r="H19" i="2"/>
  <c r="H24" i="2"/>
  <c r="H25" i="2"/>
  <c r="H39" i="2"/>
  <c r="H42" i="2"/>
  <c r="H50" i="2"/>
  <c r="H56" i="2"/>
  <c r="H65" i="2"/>
  <c r="H68" i="2"/>
  <c r="H69" i="2"/>
  <c r="H153" i="2"/>
  <c r="H79" i="2"/>
  <c r="H102" i="2"/>
  <c r="H107" i="2"/>
  <c r="H108" i="2"/>
  <c r="H119" i="2"/>
  <c r="H120" i="2"/>
  <c r="H121" i="2"/>
  <c r="H122" i="2"/>
  <c r="H128" i="2"/>
  <c r="H129" i="2"/>
  <c r="H139" i="2"/>
  <c r="H142" i="2"/>
  <c r="H148" i="2"/>
  <c r="H149" i="2"/>
  <c r="H181" i="2"/>
  <c r="H226" i="2"/>
  <c r="H173" i="2"/>
  <c r="H174" i="2"/>
  <c r="H177" i="2"/>
  <c r="H183" i="2"/>
  <c r="H186" i="2"/>
  <c r="H187" i="2"/>
  <c r="H200" i="2"/>
  <c r="H206" i="2"/>
  <c r="H212" i="2"/>
  <c r="H216" i="2"/>
  <c r="H222" i="2"/>
  <c r="H223" i="2"/>
  <c r="H229" i="2"/>
  <c r="H235" i="2"/>
  <c r="H243" i="2"/>
  <c r="H246" i="2"/>
  <c r="H264" i="2"/>
  <c r="H265" i="2"/>
  <c r="H290" i="2"/>
  <c r="H305" i="2"/>
  <c r="H317" i="2"/>
  <c r="H324" i="2"/>
  <c r="H326" i="2"/>
  <c r="H329" i="2"/>
  <c r="H4" i="2"/>
  <c r="H7" i="2"/>
  <c r="H9" i="2"/>
  <c r="H110" i="2"/>
  <c r="H78" i="2"/>
  <c r="H169" i="2"/>
  <c r="H146" i="2"/>
  <c r="H10" i="2"/>
  <c r="H34" i="2"/>
  <c r="H58" i="2"/>
  <c r="H71" i="2"/>
  <c r="H138" i="2"/>
  <c r="H141" i="2"/>
  <c r="H210" i="2"/>
  <c r="H28" i="2"/>
  <c r="H31" i="2"/>
  <c r="H113" i="2"/>
  <c r="H168" i="2"/>
  <c r="H306" i="2"/>
  <c r="H307" i="2"/>
  <c r="H36" i="2"/>
  <c r="H75" i="2"/>
  <c r="H82" i="2"/>
  <c r="H64" i="2"/>
  <c r="H154" i="2"/>
  <c r="H268" i="2"/>
  <c r="H312" i="2"/>
  <c r="H55" i="2"/>
  <c r="H74" i="2"/>
  <c r="H77" i="2"/>
  <c r="H105" i="2"/>
  <c r="H106" i="2"/>
  <c r="H259" i="2"/>
  <c r="H73" i="2"/>
  <c r="H99" i="2"/>
  <c r="H135" i="2"/>
  <c r="H159" i="2"/>
  <c r="H201" i="2"/>
  <c r="H213" i="2"/>
  <c r="H218" i="2"/>
  <c r="H219" i="2"/>
  <c r="H30" i="2"/>
  <c r="H40" i="2"/>
  <c r="H160" i="2"/>
  <c r="H184" i="2"/>
  <c r="H322" i="2"/>
  <c r="H176" i="2"/>
  <c r="H221" i="2"/>
  <c r="H225" i="2"/>
  <c r="H303" i="2"/>
  <c r="H320" i="2"/>
  <c r="H321" i="2"/>
  <c r="H46" i="2"/>
  <c r="H47" i="2"/>
  <c r="H52" i="2"/>
  <c r="H87" i="2"/>
  <c r="H130" i="2"/>
  <c r="H182" i="2"/>
  <c r="H269" i="2"/>
  <c r="H310" i="2"/>
  <c r="H185" i="2"/>
  <c r="H297" i="2"/>
  <c r="H91" i="2"/>
  <c r="H175" i="2"/>
  <c r="H48" i="2"/>
  <c r="H215" i="2"/>
  <c r="H5" i="2"/>
  <c r="H111" i="2"/>
  <c r="H211" i="2"/>
  <c r="H233" i="2"/>
  <c r="H304" i="2"/>
  <c r="H309" i="2"/>
  <c r="H3" i="2"/>
  <c r="H11" i="2"/>
  <c r="H16" i="2"/>
  <c r="H20" i="2"/>
  <c r="H21" i="2"/>
  <c r="H23" i="2"/>
  <c r="H26" i="2"/>
  <c r="H35" i="2"/>
  <c r="H51" i="2"/>
  <c r="H61" i="2"/>
  <c r="H80" i="2"/>
  <c r="H81" i="2"/>
  <c r="H117" i="2"/>
  <c r="H163" i="2"/>
  <c r="H29" i="2"/>
  <c r="H150" i="2"/>
  <c r="H151" i="2"/>
  <c r="H190" i="2"/>
  <c r="H258" i="2"/>
  <c r="H267" i="2"/>
  <c r="H323" i="2"/>
  <c r="H96" i="2"/>
  <c r="H162" i="2"/>
  <c r="H207" i="2"/>
  <c r="H208" i="2"/>
  <c r="H37" i="2"/>
  <c r="H203" i="2"/>
  <c r="H32" i="2"/>
  <c r="H54" i="2"/>
  <c r="H43" i="2"/>
  <c r="H44" i="2"/>
  <c r="H33" i="2"/>
  <c r="H301" i="2"/>
  <c r="H12" i="2"/>
  <c r="BL130" i="2" l="1"/>
  <c r="BL303" i="2"/>
  <c r="BL40" i="2"/>
  <c r="BL74" i="2"/>
  <c r="BL10" i="2"/>
  <c r="BL129" i="2"/>
  <c r="BL119" i="2"/>
  <c r="BL79" i="2"/>
  <c r="BL19" i="2"/>
  <c r="BL72" i="2"/>
  <c r="BL45" i="2"/>
  <c r="BL114" i="2"/>
  <c r="BL67" i="2"/>
  <c r="BL85" i="2"/>
  <c r="BL53" i="2"/>
  <c r="BL57" i="2"/>
  <c r="BO81" i="2"/>
  <c r="BL81" i="2"/>
  <c r="BL3" i="2"/>
  <c r="BO135" i="2"/>
  <c r="BO70" i="2"/>
  <c r="BL135" i="2"/>
  <c r="BL70" i="2"/>
  <c r="BL27" i="2"/>
  <c r="BL41" i="2"/>
  <c r="BO22" i="2"/>
  <c r="BL22" i="2"/>
  <c r="BO17" i="2"/>
  <c r="BL17" i="2"/>
  <c r="BL2" i="2"/>
  <c r="BO2" i="2"/>
  <c r="AM301" i="2" l="1"/>
  <c r="F273"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tc={C6F510A4-3AB4-4105-BE7B-CF89DAF85F44}</author>
    <author>TANIA DEL CARMEN HURTADO AVALOS</author>
    <author>tc={09DA6E87-3422-4174-8A9B-77C798387A9A}</author>
    <author>tc={2B2B6792-25AC-42B2-8B0C-66090759F3B1}</author>
    <author>Alma Joana Vargas Vera</author>
    <author>tc={2DF369A3-BBA8-4A96-B164-161CF861C624}</author>
    <author>tc={CD2B134C-0AD4-49B0-81BA-DC8E212A4AEE}</author>
    <author>tc={9DBD5801-CF2D-44FD-B587-317D0BC2C54D}</author>
    <author>tc={42D52B04-F956-42F5-817A-BE6CFED1DD6C}</author>
    <author>tc={A803BAE0-A7D1-488F-B76B-62082DF5B6A3}</author>
    <author>tc={1830CE72-6B40-4CC2-AF21-D7BF8121732F}</author>
    <author>tc={31398D48-B1E2-4363-A403-4184E360FEC5}</author>
    <author>tc={0F29364A-B516-4BA4-9312-38DE68CECBED}</author>
    <author>tc={02D65580-8BBB-4B72-A3D1-0C4EB95976A8}</author>
  </authors>
  <commentList>
    <comment ref="Q29" authorId="0" shapeId="0" xr:uid="{C6F510A4-3AB4-4105-BE7B-CF89DAF85F44}">
      <text>
        <t>[Comentario encadenado]
Su versión de Excel le permite leer este comentario encadenado; sin embargo, las ediciones que se apliquen se quitarán si el archivo se abre en una versión más reciente de Excel. Más información: https://go.microsoft.com/fwlink/?linkid=870924
Comentario:
    No poner en cumpleaños del mes (no le gusta)</t>
      </text>
    </comment>
    <comment ref="Q80" authorId="1" shapeId="0" xr:uid="{0565DDCF-0B88-4016-9A15-B0143D20E880}">
      <text>
        <r>
          <rPr>
            <b/>
            <sz val="9"/>
            <color indexed="81"/>
            <rFont val="Tahoma"/>
            <family val="2"/>
          </rPr>
          <t>TANIA DEL CARMEN HURTADO AVALOS:</t>
        </r>
        <r>
          <rPr>
            <sz val="9"/>
            <color indexed="81"/>
            <rFont val="Tahoma"/>
            <family val="2"/>
          </rPr>
          <t xml:space="preserve">
CONSIDERAR CUMPLEAÑOS EL 18 DE OCTUBRE
</t>
        </r>
      </text>
    </comment>
    <comment ref="A378" authorId="2" shapeId="0" xr:uid="{09DA6E87-3422-4174-8A9B-77C798387A9A}">
      <text>
        <t>[Comentario encadenado]
Su versión de Excel le permite leer este comentario encadenado; sin embargo, las ediciones que se apliquen se quitarán si el archivo se abre en una versión más reciente de Excel. Más información: https://go.microsoft.com/fwlink/?linkid=870924
Comentario:
    2DO REINGRESO</t>
      </text>
    </comment>
    <comment ref="A380" authorId="3" shapeId="0" xr:uid="{2B2B6792-25AC-42B2-8B0C-66090759F3B1}">
      <text>
        <t>[Comentario encadenado]
Su versión de Excel le permite leer este comentario encadenado; sin embargo, las ediciones que se apliquen se quitarán si el archivo se abre en una versión más reciente de Excel. Más información: https://go.microsoft.com/fwlink/?linkid=870924
Comentario:
    2DO REINGRESO</t>
      </text>
    </comment>
    <comment ref="A382" authorId="4" shapeId="0" xr:uid="{10D2F523-B697-4B7B-A5B0-7A816E4525F8}">
      <text>
        <r>
          <rPr>
            <b/>
            <sz val="9"/>
            <color indexed="81"/>
            <rFont val="Tahoma"/>
            <family val="2"/>
          </rPr>
          <t>Alma Joana Vargas Vera:</t>
        </r>
        <r>
          <rPr>
            <sz val="9"/>
            <color indexed="81"/>
            <rFont val="Tahoma"/>
            <family val="2"/>
          </rPr>
          <t xml:space="preserve">
RE INGRESO
</t>
        </r>
      </text>
    </comment>
    <comment ref="A394" authorId="5" shapeId="0" xr:uid="{2DF369A3-BBA8-4A96-B164-161CF861C624}">
      <text>
        <t>[Comentario encadenado]
Su versión de Excel le permite leer este comentario encadenado; sin embargo, las ediciones que se apliquen se quitarán si el archivo se abre en una versión más reciente de Excel. Más información: https://go.microsoft.com/fwlink/?linkid=870924
Comentario:
    RE INGRESO</t>
      </text>
    </comment>
    <comment ref="A439" authorId="6" shapeId="0" xr:uid="{CD2B134C-0AD4-49B0-81BA-DC8E212A4AE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 INGRESO
</t>
      </text>
    </comment>
    <comment ref="A440" authorId="7" shapeId="0" xr:uid="{9DBD5801-CF2D-44FD-B587-317D0BC2C54D}">
      <text>
        <t>[Comentario encadenado]
Su versión de Excel le permite leer este comentario encadenado; sin embargo, las ediciones que se apliquen se quitarán si el archivo se abre en una versión más reciente de Excel. Más información: https://go.microsoft.com/fwlink/?linkid=870924
Comentario:
    RE INGRESO</t>
      </text>
    </comment>
    <comment ref="F442" authorId="8" shapeId="0" xr:uid="{42D52B04-F956-42F5-817A-BE6CFED1DD6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manda ALTA IMSS CON EL 09 </t>
      </text>
    </comment>
    <comment ref="A470" authorId="9" shapeId="0" xr:uid="{A803BAE0-A7D1-488F-B76B-62082DF5B6A3}">
      <text>
        <t>[Comentario encadenado]
Su versión de Excel le permite leer este comentario encadenado; sin embargo, las ediciones que se apliquen se quitarán si el archivo se abre en una versión más reciente de Excel. Más información: https://go.microsoft.com/fwlink/?linkid=870924
Comentario:
    Re ingreso</t>
      </text>
    </comment>
    <comment ref="A471" authorId="1" shapeId="0" xr:uid="{AE0FED1B-8079-4C8D-8540-DAABFD31CB98}">
      <text>
        <r>
          <rPr>
            <b/>
            <sz val="9"/>
            <color indexed="81"/>
            <rFont val="Tahoma"/>
            <family val="2"/>
          </rPr>
          <t>TANIA DEL CARMEN HURTADO AVALOS:</t>
        </r>
        <r>
          <rPr>
            <sz val="9"/>
            <color indexed="81"/>
            <rFont val="Tahoma"/>
            <family val="2"/>
          </rPr>
          <t xml:space="preserve">
re ingreso x un mes
</t>
        </r>
      </text>
    </comment>
    <comment ref="A486" authorId="1" shapeId="0" xr:uid="{53058B3A-3A2C-472E-B663-258D08D72F21}">
      <text>
        <r>
          <rPr>
            <b/>
            <sz val="9"/>
            <color indexed="81"/>
            <rFont val="Tahoma"/>
            <family val="2"/>
          </rPr>
          <t xml:space="preserve">TANIA DEL CARMEN HURTADO AVALOS:
RE INGRESO
</t>
        </r>
      </text>
    </comment>
    <comment ref="AE497" authorId="1" shapeId="0" xr:uid="{D07C62D3-A4AE-4657-B7F3-FED67A610399}">
      <text>
        <r>
          <rPr>
            <b/>
            <sz val="9"/>
            <color indexed="81"/>
            <rFont val="Tahoma"/>
            <family val="2"/>
          </rPr>
          <t>TANIA DEL CARMEN HURTADO AVALOS:</t>
        </r>
        <r>
          <rPr>
            <sz val="9"/>
            <color indexed="81"/>
            <rFont val="Tahoma"/>
            <family val="2"/>
          </rPr>
          <t xml:space="preserve">
se la da contrato por 06 meses
</t>
        </r>
      </text>
    </comment>
    <comment ref="B511" authorId="1" shapeId="0" xr:uid="{88B94439-B602-42E7-BD32-EC3590581193}">
      <text>
        <r>
          <rPr>
            <b/>
            <sz val="9"/>
            <color indexed="81"/>
            <rFont val="Tahoma"/>
            <family val="2"/>
          </rPr>
          <t>TANIA DEL CARMEN HURTADO AVALOS:</t>
        </r>
        <r>
          <rPr>
            <sz val="9"/>
            <color indexed="81"/>
            <rFont val="Tahoma"/>
            <family val="2"/>
          </rPr>
          <t xml:space="preserve">
RE INGRESO
</t>
        </r>
      </text>
    </comment>
    <comment ref="B512" authorId="1" shapeId="0" xr:uid="{8014A7EA-F372-44A9-8D10-D3843EBD93C9}">
      <text>
        <r>
          <rPr>
            <b/>
            <sz val="9"/>
            <color indexed="81"/>
            <rFont val="Tahoma"/>
            <family val="2"/>
          </rPr>
          <t>TANIA DEL CARMEN HURTADO AVALOS:</t>
        </r>
        <r>
          <rPr>
            <sz val="9"/>
            <color indexed="81"/>
            <rFont val="Tahoma"/>
            <family val="2"/>
          </rPr>
          <t xml:space="preserve">
RE INGRESO</t>
        </r>
      </text>
    </comment>
    <comment ref="A522" authorId="10" shapeId="0" xr:uid="{1830CE72-6B40-4CC2-AF21-D7BF8121732F}">
      <text>
        <t>[Comentario encadenado]
Su versión de Excel le permite leer este comentario encadenado; sin embargo, las ediciones que se apliquen se quitarán si el archivo se abre en una versión más reciente de Excel. Más información: https://go.microsoft.com/fwlink/?linkid=870924
Comentario:
    RE INGRESO</t>
      </text>
    </comment>
    <comment ref="B529" authorId="1" shapeId="0" xr:uid="{4BFB2515-3E69-416E-9DED-2F42581318A3}">
      <text>
        <r>
          <rPr>
            <b/>
            <sz val="9"/>
            <color indexed="81"/>
            <rFont val="Tahoma"/>
            <family val="2"/>
          </rPr>
          <t>TANIA DEL CARMEN HURTADO AVALOS:</t>
        </r>
        <r>
          <rPr>
            <sz val="9"/>
            <color indexed="81"/>
            <rFont val="Tahoma"/>
            <family val="2"/>
          </rPr>
          <t xml:space="preserve">
RE INGRESO</t>
        </r>
      </text>
    </comment>
    <comment ref="A533" authorId="1" shapeId="0" xr:uid="{A6ED58F0-BBF7-42B4-8F7E-D6504E2BFD84}">
      <text>
        <r>
          <rPr>
            <b/>
            <sz val="9"/>
            <color indexed="81"/>
            <rFont val="Tahoma"/>
            <family val="2"/>
          </rPr>
          <t>TANIA DEL CARMEN HURTADO AVALOS:</t>
        </r>
        <r>
          <rPr>
            <sz val="9"/>
            <color indexed="81"/>
            <rFont val="Tahoma"/>
            <family val="2"/>
          </rPr>
          <t xml:space="preserve">
NO ESTABA CAPTURADA
</t>
        </r>
      </text>
    </comment>
    <comment ref="A543" authorId="11" shapeId="0" xr:uid="{31398D48-B1E2-4363-A403-4184E360FEC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 INGRESO
</t>
      </text>
    </comment>
    <comment ref="A561" authorId="1" shapeId="0" xr:uid="{5BEADE2E-A8C4-4098-BC0A-D164783802D9}">
      <text>
        <r>
          <rPr>
            <b/>
            <sz val="9"/>
            <color indexed="81"/>
            <rFont val="Tahoma"/>
            <family val="2"/>
          </rPr>
          <t>TANIA DEL CARMEN HURTADO AVALOS:</t>
        </r>
        <r>
          <rPr>
            <sz val="9"/>
            <color indexed="81"/>
            <rFont val="Tahoma"/>
            <family val="2"/>
          </rPr>
          <t xml:space="preserve">
RE INGRESO</t>
        </r>
      </text>
    </comment>
    <comment ref="A564" authorId="12" shapeId="0" xr:uid="{0F29364A-B516-4BA4-9312-38DE68CECBED}">
      <text>
        <t>[Comentario encadenado]
Su versión de Excel le permite leer este comentario encadenado; sin embargo, las ediciones que se apliquen se quitarán si el archivo se abre en una versión más reciente de Excel. Más información: https://go.microsoft.com/fwlink/?linkid=870924
Comentario:
    Re ingreso</t>
      </text>
    </comment>
    <comment ref="A567" authorId="13" shapeId="0" xr:uid="{02D65580-8BBB-4B72-A3D1-0C4EB95976A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 ingreso
</t>
      </text>
    </comment>
    <comment ref="A583" authorId="1" shapeId="0" xr:uid="{FF026334-EF63-4D88-86F6-16F2E1C5B02F}">
      <text>
        <r>
          <rPr>
            <b/>
            <sz val="9"/>
            <color indexed="81"/>
            <rFont val="Tahoma"/>
            <charset val="1"/>
          </rPr>
          <t>TANIA DEL CARMEN HURTADO AVALOS:</t>
        </r>
        <r>
          <rPr>
            <sz val="9"/>
            <color indexed="81"/>
            <rFont val="Tahoma"/>
            <charset val="1"/>
          </rPr>
          <t xml:space="preserve">
re ingreso
</t>
        </r>
      </text>
    </comment>
  </commentList>
</comments>
</file>

<file path=xl/sharedStrings.xml><?xml version="1.0" encoding="utf-8"?>
<sst xmlns="http://schemas.openxmlformats.org/spreadsheetml/2006/main" count="28723" uniqueCount="8402">
  <si>
    <t>SUCURSAL</t>
  </si>
  <si>
    <t>NSS</t>
  </si>
  <si>
    <t>FECHA DE ALTA</t>
  </si>
  <si>
    <t>FECHA DE EVALUACION</t>
  </si>
  <si>
    <t>FECHA DE ALTA EN IMSS</t>
  </si>
  <si>
    <t>TIPO DE NOMINA</t>
  </si>
  <si>
    <t>APELLIDO PATERNO</t>
  </si>
  <si>
    <t>APELLIDO MATERNO</t>
  </si>
  <si>
    <t>NOMBRE</t>
  </si>
  <si>
    <t>CURP</t>
  </si>
  <si>
    <t>RFC</t>
  </si>
  <si>
    <t>SEXO</t>
  </si>
  <si>
    <t>FECHA DE NACIMIENTO</t>
  </si>
  <si>
    <t>DIA</t>
  </si>
  <si>
    <t xml:space="preserve">MES </t>
  </si>
  <si>
    <t>AÑO</t>
  </si>
  <si>
    <t>EDAD</t>
  </si>
  <si>
    <t>ESTADO CIVIL</t>
  </si>
  <si>
    <t>DOMICILIO</t>
  </si>
  <si>
    <t>ESCOLARIDAD</t>
  </si>
  <si>
    <t>PUESTO</t>
  </si>
  <si>
    <t>CENTRO DE COSTOS</t>
  </si>
  <si>
    <t>DEPARTAMENTO</t>
  </si>
  <si>
    <t>JEFE INMEDIATO</t>
  </si>
  <si>
    <t>SALARIO DIARIO REAL</t>
  </si>
  <si>
    <t>SALARIO DIARIO IMSS</t>
  </si>
  <si>
    <t>NACIONALIDAD</t>
  </si>
  <si>
    <t>TIPO DE CONTRATO</t>
  </si>
  <si>
    <t>TEMPORALIDAD DE CONTRATO</t>
  </si>
  <si>
    <t>LUGAR DONDE SE CELEBRA EL CONTRATO</t>
  </si>
  <si>
    <t>PERIORICIDAD DE PAGO</t>
  </si>
  <si>
    <t>DOMICILIO EN QUE EL TRABAJADOR PRESTARÁ SUS SERVICIOS</t>
  </si>
  <si>
    <t>DIAS QUE LABORA</t>
  </si>
  <si>
    <t>DIAS QUE DESCANSA</t>
  </si>
  <si>
    <t>INSTITUCION BANCARIA</t>
  </si>
  <si>
    <t>NUM. DE CUENTA</t>
  </si>
  <si>
    <t>CLABE INTERBANCARIA</t>
  </si>
  <si>
    <t>CELULAR</t>
  </si>
  <si>
    <t>CORREO ELECTRONICO</t>
  </si>
  <si>
    <t>BENEFICIARIO</t>
  </si>
  <si>
    <t>PARENTESCO</t>
  </si>
  <si>
    <t>RFC DEL BENEFICIARIO</t>
  </si>
  <si>
    <t>INFONAVIT</t>
  </si>
  <si>
    <t>DOMICILIO FISCAL</t>
  </si>
  <si>
    <t>NUMERO EXTERIOR</t>
  </si>
  <si>
    <t>NUMERO INTERIOR</t>
  </si>
  <si>
    <t>MUNICIPIO</t>
  </si>
  <si>
    <t>ESTADO</t>
  </si>
  <si>
    <t>C.P.</t>
  </si>
  <si>
    <t>CONTRATO DETERMINADO</t>
  </si>
  <si>
    <t>CONTRATO INDETERMINADO</t>
  </si>
  <si>
    <t>COMENTARIOS</t>
  </si>
  <si>
    <t>FECHA DE INGRESO A NUEVA POSICION</t>
  </si>
  <si>
    <t>BAJA</t>
  </si>
  <si>
    <t>FECHA DE BAJA</t>
  </si>
  <si>
    <t>TIPO DE BAJA</t>
  </si>
  <si>
    <t>RENUNCIA VOLUNTARIA</t>
  </si>
  <si>
    <t>CONVENIO DE FINIQUITO</t>
  </si>
  <si>
    <t>CONVENIO CONFIDENCIALIDAD</t>
  </si>
  <si>
    <t>AVISAR EN CASO DE EMERGENCIA</t>
  </si>
  <si>
    <t>TELEFONOS DE EMERGENCIA</t>
  </si>
  <si>
    <t>TIPO DE SANGRE</t>
  </si>
  <si>
    <t>ALERGIAS/PADECIMIENTOS</t>
  </si>
  <si>
    <t xml:space="preserve">SALARIO MENSUAL NETO REAL </t>
  </si>
  <si>
    <t>SALARIO DIARIO INTEGRADO IMSS</t>
  </si>
  <si>
    <t>POLIZA SEGURDO DE VIDA</t>
  </si>
  <si>
    <t xml:space="preserve">MODIFICACION DE PUESTO </t>
  </si>
  <si>
    <t>TOTAL DE NUEMRO DE HIJOS</t>
  </si>
  <si>
    <t>FECHA DE NACIEMIENTO</t>
  </si>
  <si>
    <t>EMPRESA</t>
  </si>
  <si>
    <t>NUM DE NOMINA</t>
  </si>
  <si>
    <t>NOMBRE COMPLETO</t>
  </si>
  <si>
    <t>SOLDADOR</t>
  </si>
  <si>
    <t>TRAMT</t>
  </si>
  <si>
    <t>HOJALATERO</t>
  </si>
  <si>
    <t>MECANICO DIESEL</t>
  </si>
  <si>
    <t>ELECTRICO</t>
  </si>
  <si>
    <t>MECANICO B</t>
  </si>
  <si>
    <t>MECANICO B-A</t>
  </si>
  <si>
    <t>MECANICO C</t>
  </si>
  <si>
    <t>TRAMO</t>
  </si>
  <si>
    <t>DICOSA</t>
  </si>
  <si>
    <t>RAZO HINOJOSA BRANDOM JEREMY</t>
  </si>
  <si>
    <t>Ayudante General</t>
  </si>
  <si>
    <t>DI2AL</t>
  </si>
  <si>
    <t>Montacarguista</t>
  </si>
  <si>
    <t>SAN LUIS</t>
  </si>
  <si>
    <t>OPERADOR DE U.R.</t>
  </si>
  <si>
    <t>LCSDIS</t>
  </si>
  <si>
    <t>OPERADOR DE BOMBA</t>
  </si>
  <si>
    <t>LCSPBOM</t>
  </si>
  <si>
    <t>AYUDANTE DE BOMBA</t>
  </si>
  <si>
    <t>LIMPIEZA</t>
  </si>
  <si>
    <t>LCSAD</t>
  </si>
  <si>
    <t>OPERADOR DE TRAXCAVO</t>
  </si>
  <si>
    <t>LCSPTRAX</t>
  </si>
  <si>
    <t>OPERADOR TRASCAVO</t>
  </si>
  <si>
    <t>LAT NORTE</t>
  </si>
  <si>
    <t>TLAQUEPAQUE</t>
  </si>
  <si>
    <t>LCGDIS</t>
  </si>
  <si>
    <t>LCGTRX</t>
  </si>
  <si>
    <t>OPERADOR DE OLLA</t>
  </si>
  <si>
    <t>LCGADM</t>
  </si>
  <si>
    <t>LAT CERRITOS PRODUCCION</t>
  </si>
  <si>
    <t>LAT CERRITOS TRAXCABO</t>
  </si>
  <si>
    <t>AGUASCALIENTES</t>
  </si>
  <si>
    <t>Ayudante General L</t>
  </si>
  <si>
    <t>AGAD</t>
  </si>
  <si>
    <t>Montacarguista 3</t>
  </si>
  <si>
    <t>AGAL</t>
  </si>
  <si>
    <t>Chofer de Camion 2</t>
  </si>
  <si>
    <t>AGRE</t>
  </si>
  <si>
    <t>Chofer de Camion 3</t>
  </si>
  <si>
    <t>Ayudante General 3</t>
  </si>
  <si>
    <t>Ayudante General 1</t>
  </si>
  <si>
    <t>AYUDANTE GENERAL</t>
  </si>
  <si>
    <t>GUADALAJARA</t>
  </si>
  <si>
    <t>Ayudante General 6</t>
  </si>
  <si>
    <t>GDLRE</t>
  </si>
  <si>
    <t>Jefe de Patio 6</t>
  </si>
  <si>
    <t>GDLAL</t>
  </si>
  <si>
    <t>Montacarguista 6</t>
  </si>
  <si>
    <t>Montacarguista 5</t>
  </si>
  <si>
    <t>Limpieza</t>
  </si>
  <si>
    <t>GDLAD</t>
  </si>
  <si>
    <t>Chofer categoria 5</t>
  </si>
  <si>
    <t>CHOFER CATEGORIA 6</t>
  </si>
  <si>
    <t>MATEHUALA</t>
  </si>
  <si>
    <t>MATAL</t>
  </si>
  <si>
    <t>MATAD</t>
  </si>
  <si>
    <t>MATRE</t>
  </si>
  <si>
    <t>Chofer de camión 2</t>
  </si>
  <si>
    <t>JEFE DE PATIO 1</t>
  </si>
  <si>
    <t>MONTERREY</t>
  </si>
  <si>
    <t>MTYAL</t>
  </si>
  <si>
    <t>Chofer de Camion 6</t>
  </si>
  <si>
    <t>MTYRE</t>
  </si>
  <si>
    <t>Ayudante general 4</t>
  </si>
  <si>
    <t>MTYAD</t>
  </si>
  <si>
    <t>Ayudante general 5</t>
  </si>
  <si>
    <t>QUERETARO</t>
  </si>
  <si>
    <t>chofer 6</t>
  </si>
  <si>
    <t>QROREPARTO</t>
  </si>
  <si>
    <t>QROALMECEN</t>
  </si>
  <si>
    <t>Chofer 6</t>
  </si>
  <si>
    <t>RIOVERDE</t>
  </si>
  <si>
    <t>RVAD</t>
  </si>
  <si>
    <t>RVAL</t>
  </si>
  <si>
    <t>Chofer de Camión 6</t>
  </si>
  <si>
    <t>RVRE</t>
  </si>
  <si>
    <t>Ayudante General 5</t>
  </si>
  <si>
    <t>Chofer de Camión 5</t>
  </si>
  <si>
    <t>SLPAL</t>
  </si>
  <si>
    <t>SLPRE</t>
  </si>
  <si>
    <t>Chofer de Camion 5</t>
  </si>
  <si>
    <t>Chofer de Cameión 5</t>
  </si>
  <si>
    <t>Chofer de camión 5</t>
  </si>
  <si>
    <t>Ayudante general L</t>
  </si>
  <si>
    <t>SLPAD</t>
  </si>
  <si>
    <t>Montacarguista 4</t>
  </si>
  <si>
    <t>JEFE DE PATIO</t>
  </si>
  <si>
    <t>VALLES</t>
  </si>
  <si>
    <t>Jefe de Patio 3</t>
  </si>
  <si>
    <t>VLLAL</t>
  </si>
  <si>
    <t>VLLRE</t>
  </si>
  <si>
    <t>Ayudante General 2</t>
  </si>
  <si>
    <t>Chofer de Camión 3</t>
  </si>
  <si>
    <t>VLLAD</t>
  </si>
  <si>
    <t>Chofer de Camión 1</t>
  </si>
  <si>
    <t xml:space="preserve">Ayudante General </t>
  </si>
  <si>
    <t>TRAAD</t>
  </si>
  <si>
    <t>Coordinadora de Tesoreria</t>
  </si>
  <si>
    <t>Mensajero</t>
  </si>
  <si>
    <t>Corrdinador de Proyecto CTPAT</t>
  </si>
  <si>
    <t>TRAOP</t>
  </si>
  <si>
    <t>Jefe de Operaciones</t>
  </si>
  <si>
    <t>Liquidador</t>
  </si>
  <si>
    <t>Gerente General</t>
  </si>
  <si>
    <t>Coordinador de Operaciones</t>
  </si>
  <si>
    <t>Asistente Administrativo</t>
  </si>
  <si>
    <t xml:space="preserve">Jefe de Seguridad </t>
  </si>
  <si>
    <t>Analista de Atracción de Talento</t>
  </si>
  <si>
    <t>Coordinador de Operación Sr.</t>
  </si>
  <si>
    <t>TRAMA</t>
  </si>
  <si>
    <t>Coordinador de Mantenimiento</t>
  </si>
  <si>
    <t>Analista de Facturación</t>
  </si>
  <si>
    <t>Gerente de Operaciones</t>
  </si>
  <si>
    <t>Gerente de Recursos Humanos</t>
  </si>
  <si>
    <t>Analista de compras</t>
  </si>
  <si>
    <t>Monitorista</t>
  </si>
  <si>
    <t>Coordinador de Cobranza y Facturación</t>
  </si>
  <si>
    <t>Auxiliar de Tesorería, CxP</t>
  </si>
  <si>
    <t>Auxiliar de Soporte Técnico</t>
  </si>
  <si>
    <t>Administrador de personal</t>
  </si>
  <si>
    <t>Jefe de Monitoreo</t>
  </si>
  <si>
    <t>Gerente de Administración</t>
  </si>
  <si>
    <t>TRADI</t>
  </si>
  <si>
    <t>Auxiliar de diagnóstico de combustible</t>
  </si>
  <si>
    <t>Enfermera/ Servicio Médico</t>
  </si>
  <si>
    <t>Almacenista</t>
  </si>
  <si>
    <t>Despachador de Combustible</t>
  </si>
  <si>
    <t>Jefe de combustible</t>
  </si>
  <si>
    <t>Subgerente de Seguridad</t>
  </si>
  <si>
    <t>Contador</t>
  </si>
  <si>
    <t>Asistente de Gerencia</t>
  </si>
  <si>
    <t>Coordinador de Operaciones GDL</t>
  </si>
  <si>
    <t>Coordinador de operaciones</t>
  </si>
  <si>
    <t>Asistente de Mantenimiento</t>
  </si>
  <si>
    <t>ADMINISTRADOR DE LLANTAS</t>
  </si>
  <si>
    <t>TRAMAD</t>
  </si>
  <si>
    <t>COORDINADOR DE RECLUTAMIENTO Y CAPACITACION</t>
  </si>
  <si>
    <t>ANALISTA CONTROL DE UNIDADES</t>
  </si>
  <si>
    <t>GERENTE DE SUCURSAL</t>
  </si>
  <si>
    <t>ASIST. ADMVO Y ABASTO</t>
  </si>
  <si>
    <t>GDLVTA</t>
  </si>
  <si>
    <t>COORDINADOR COMERCIAL</t>
  </si>
  <si>
    <t>EJECUTIVO COMERCIAL</t>
  </si>
  <si>
    <t>ASISTENTE DE CREDITO Y COBRANZA</t>
  </si>
  <si>
    <t>AUXILIAR ADMVO</t>
  </si>
  <si>
    <t>ASISTENTE DE ABASTO Y LOGISTICA</t>
  </si>
  <si>
    <t>VLLVTA</t>
  </si>
  <si>
    <t>ASISTENTE ADMINISTRATIVO Y SERVICIO AL CLIENTE</t>
  </si>
  <si>
    <t>ASISTENTE DE VENTAS Y FACTURACION</t>
  </si>
  <si>
    <t>AGSAD</t>
  </si>
  <si>
    <t>ASIST. ADMVO CYC</t>
  </si>
  <si>
    <t>ENCARGADO DE SUCURSAL</t>
  </si>
  <si>
    <t>AGSAL</t>
  </si>
  <si>
    <t>AGSVTA</t>
  </si>
  <si>
    <t>RIO VERDE</t>
  </si>
  <si>
    <t xml:space="preserve">ASIST. ADMVO  </t>
  </si>
  <si>
    <t>RVVTA</t>
  </si>
  <si>
    <t>MATVTA</t>
  </si>
  <si>
    <t xml:space="preserve">SAN LUIS </t>
  </si>
  <si>
    <t>SLPVTA</t>
  </si>
  <si>
    <t>ASISTENTE ADMINISTRATIVO</t>
  </si>
  <si>
    <t>ASIST. ADMVO, CYC</t>
  </si>
  <si>
    <t>ASIST. ABASTO, LOGISTICA Y FACTURACION</t>
  </si>
  <si>
    <t>MTYVTA</t>
  </si>
  <si>
    <t>QROVTA</t>
  </si>
  <si>
    <t>QROAD</t>
  </si>
  <si>
    <t>ASISTENTE VENTAS Y FACTURACION</t>
  </si>
  <si>
    <t>QROAL</t>
  </si>
  <si>
    <t>ABASTO Y LOGISTICA</t>
  </si>
  <si>
    <t>GERENTE DE DIVISION</t>
  </si>
  <si>
    <t>LCSPRD</t>
  </si>
  <si>
    <t>SUPERINTENDENTE</t>
  </si>
  <si>
    <t>LCSVTA</t>
  </si>
  <si>
    <t>ANALISTA ADMINISTRATIVO</t>
  </si>
  <si>
    <t>ANALISTA DE CADENA DE SUMINISTROS</t>
  </si>
  <si>
    <t>CERRITOS</t>
  </si>
  <si>
    <t>LCCPRD</t>
  </si>
  <si>
    <t>LCCCAL</t>
  </si>
  <si>
    <t>LABORATORISTA</t>
  </si>
  <si>
    <t>LCNPRD</t>
  </si>
  <si>
    <t xml:space="preserve">SUPERINTENDENTE </t>
  </si>
  <si>
    <t>LCGVTA</t>
  </si>
  <si>
    <t>LCGAD</t>
  </si>
  <si>
    <t>LCGPRD</t>
  </si>
  <si>
    <t>DOSIFICADOR</t>
  </si>
  <si>
    <t>DICO2AD</t>
  </si>
  <si>
    <t>DICO2AL</t>
  </si>
  <si>
    <t>SUPERVISOR DE ALMACEN</t>
  </si>
  <si>
    <t>AUXILIAR ADMINISTRATIVO</t>
  </si>
  <si>
    <t>CTAD</t>
  </si>
  <si>
    <t>GERENTE DE TESORERIA</t>
  </si>
  <si>
    <t>GERENTE CYC</t>
  </si>
  <si>
    <t>AYUDANTE GENERAL L</t>
  </si>
  <si>
    <t>JEFE DE SISTEMAS</t>
  </si>
  <si>
    <t>JEFE DE CONTABILIDAD</t>
  </si>
  <si>
    <t>ASIST. TESORERIA</t>
  </si>
  <si>
    <t>GERENTE DE CONTRALORIA</t>
  </si>
  <si>
    <t>ANALISTA DE COMPRAS</t>
  </si>
  <si>
    <t>ASIST. SISTEMAS</t>
  </si>
  <si>
    <t>AUDITOR INTERNO</t>
  </si>
  <si>
    <t>CONTADOR</t>
  </si>
  <si>
    <t>GERENTE DO</t>
  </si>
  <si>
    <t>GERENTE DE PROYECTOS</t>
  </si>
  <si>
    <t>ASIST. CYC</t>
  </si>
  <si>
    <t>GENERALISTA RH</t>
  </si>
  <si>
    <t>GERENTE DE COMPRAS</t>
  </si>
  <si>
    <t>ADMINISTRADOR DE PERSONAL</t>
  </si>
  <si>
    <t>CONTROLADORA</t>
  </si>
  <si>
    <t>CMSLPAD</t>
  </si>
  <si>
    <t>AUX. TESORERIA JR.</t>
  </si>
  <si>
    <t>MENSAJERO</t>
  </si>
  <si>
    <t>CEMENTOS</t>
  </si>
  <si>
    <t>IMPAD</t>
  </si>
  <si>
    <t>ASISTENTE DE DIRECCION</t>
  </si>
  <si>
    <t>IMPULSORA</t>
  </si>
  <si>
    <t>FECHA DE ALTA (ANTGUEDAD)</t>
  </si>
  <si>
    <t>SEMANAL</t>
  </si>
  <si>
    <t>QUINCENAL</t>
  </si>
  <si>
    <t>VALLARTA</t>
  </si>
  <si>
    <t>LATSNL</t>
  </si>
  <si>
    <t>MOD 40</t>
  </si>
  <si>
    <t>Operador de Trackmobile</t>
  </si>
  <si>
    <t>Garrotero</t>
  </si>
  <si>
    <t>Operador de Granel</t>
  </si>
  <si>
    <t>GONZALEZ PLASCENCIA MIGUEL ANGEL</t>
  </si>
  <si>
    <t>TRAMO DEL CENTRO, SA DE CV</t>
  </si>
  <si>
    <t>TRAMO DEL CENTRO</t>
  </si>
  <si>
    <t>41897015891</t>
  </si>
  <si>
    <t>GALVAN</t>
  </si>
  <si>
    <t>ALCANTAR</t>
  </si>
  <si>
    <t>MARIA ELENA</t>
  </si>
  <si>
    <t>GALVAN ALCANTAR MARIA ELENA</t>
  </si>
  <si>
    <t>GAAE700819MSPLLL08</t>
  </si>
  <si>
    <t>GAAE700819694</t>
  </si>
  <si>
    <t>SOLTERA</t>
  </si>
  <si>
    <t>CALLE 2 PRIVADA COCOYOC # 108, PRIV. DE LA HACIENDA,  C.P. 78438 SOLEDAD DE GRACIANO SANCHEZ, S.L.P.</t>
  </si>
  <si>
    <t>LICENCIATURA</t>
  </si>
  <si>
    <t>MANTENIMIENTO</t>
  </si>
  <si>
    <t>MIGUEL ALVARADO</t>
  </si>
  <si>
    <t>MEXICANA</t>
  </si>
  <si>
    <t>DETERMINADO</t>
  </si>
  <si>
    <t>SOLEDAD DE GRACIANO SANCHEZ, S.L.P.</t>
  </si>
  <si>
    <t xml:space="preserve">CARRETERA  MATEHUALA KM. 7 # 17200 SOLEDAD DE GRACIANO SÁNCHEZ S L P  CP 78430 MÉXICO
</t>
  </si>
  <si>
    <t>LUNES A SABADOS</t>
  </si>
  <si>
    <t>DOMINGOS</t>
  </si>
  <si>
    <t>BBVA BANCOMER</t>
  </si>
  <si>
    <t>1539987425</t>
  </si>
  <si>
    <t>012700015399874259</t>
  </si>
  <si>
    <t>444 284 1149</t>
  </si>
  <si>
    <t>galvan.70@outlook.com</t>
  </si>
  <si>
    <t>ANA MARIA ALCANTAR MENDOZA</t>
  </si>
  <si>
    <t>MADRE</t>
  </si>
  <si>
    <t>AAMA470506</t>
  </si>
  <si>
    <t>SI</t>
  </si>
  <si>
    <t>NA</t>
  </si>
  <si>
    <t>PENDIENTE</t>
  </si>
  <si>
    <t>FIRMADA</t>
  </si>
  <si>
    <t>CAMBIO A OTRA EMPRESA</t>
  </si>
  <si>
    <t>444 679 9297</t>
  </si>
  <si>
    <t>O+</t>
  </si>
  <si>
    <t>NINGUNA</t>
  </si>
  <si>
    <t>CONSTRUJAMA DE MEXICO S.A. de C.V.</t>
  </si>
  <si>
    <t>VARELA</t>
  </si>
  <si>
    <t>FLORES</t>
  </si>
  <si>
    <t>JUAN CARLOS</t>
  </si>
  <si>
    <t>VARELA FLORES JUAN CARLOS</t>
  </si>
  <si>
    <t>VAFJ810710HJCRLN03</t>
  </si>
  <si>
    <t>VAFJ810710LB8</t>
  </si>
  <si>
    <t>CASADO</t>
  </si>
  <si>
    <t>CALLE ARROYO APOLO #287-B  LOS RUISEÑORES, C.P. 45350  TALA, JAL.</t>
  </si>
  <si>
    <t>XXX</t>
  </si>
  <si>
    <t>CHOFER</t>
  </si>
  <si>
    <t>DI1RE</t>
  </si>
  <si>
    <t>REPARTO</t>
  </si>
  <si>
    <t>IGNACIO REYNOSO</t>
  </si>
  <si>
    <t>INDETERMINADO</t>
  </si>
  <si>
    <t>ZAPOPAN, JAL.</t>
  </si>
  <si>
    <t>Carretera Guadalajara-Nogales KM18-191, C.P. 45220  La Venta del astillero. Zapopan, Jalisco .</t>
  </si>
  <si>
    <t>BANORTE</t>
  </si>
  <si>
    <t>0295584355</t>
  </si>
  <si>
    <t>072700002955843554</t>
  </si>
  <si>
    <t>33 3625 8286</t>
  </si>
  <si>
    <t>varelafloresjuancarlos247@gmail.com</t>
  </si>
  <si>
    <t>CONFIRMADO</t>
  </si>
  <si>
    <t>TERMINO DE RELACION LABORAL</t>
  </si>
  <si>
    <t>falta de probidad y honradez. (Continua incurriendo en situaciones de consumo de alcohol, cortes en su gps, paradas continuas)</t>
  </si>
  <si>
    <t>LETISI GONZALEZ GOMEZ</t>
  </si>
  <si>
    <t>SUEGRA</t>
  </si>
  <si>
    <t>N</t>
  </si>
  <si>
    <t>LATINO CONCRETOS, S.A. DE C.V.</t>
  </si>
  <si>
    <t>LATINO SLP</t>
  </si>
  <si>
    <t xml:space="preserve">RODRIGUEZ </t>
  </si>
  <si>
    <t>HERNANDEZ</t>
  </si>
  <si>
    <t>ROBERTO</t>
  </si>
  <si>
    <t>RODRIGUEZ  HERNANDEZ ROBERTO</t>
  </si>
  <si>
    <t>ROHR661028HSPDRB08</t>
  </si>
  <si>
    <t>ROHR6610286J4</t>
  </si>
  <si>
    <t>PRIV. ESPAÑITA #709 CIRC. COLORINES, COLORINES,  C.P. 78389</t>
  </si>
  <si>
    <t>LCSPTX</t>
  </si>
  <si>
    <t>TRAXCABO</t>
  </si>
  <si>
    <t>ULISES GARCES</t>
  </si>
  <si>
    <t>SAN LUIS POTOSI, S.L.P.</t>
  </si>
  <si>
    <t>EJE 128 S/N ZONA INDUSTRIAL SAN LUIS POTOSI. C.P. 78417</t>
  </si>
  <si>
    <t>012700015399877942</t>
  </si>
  <si>
    <t>roberto.rodriguez35@yahoo.com</t>
  </si>
  <si>
    <t>SE CAMBIA DE EMPRESA POR QUE LE QUITARON UN BONO Y YA NO GENERABA LO QUE QUERIA</t>
  </si>
  <si>
    <t>PAULA RODRIGUEZ MARTINEZ</t>
  </si>
  <si>
    <t>ESPOSA</t>
  </si>
  <si>
    <t>444 426 6896</t>
  </si>
  <si>
    <t>ORTIZ</t>
  </si>
  <si>
    <t>SANCHEZ</t>
  </si>
  <si>
    <t>JOSE PABLO</t>
  </si>
  <si>
    <t>ORTIZ SANCHEZ JOSE PABLO</t>
  </si>
  <si>
    <t>OIEP911014HSPRNB03</t>
  </si>
  <si>
    <t>OISP911014529</t>
  </si>
  <si>
    <t>SOLTERO</t>
  </si>
  <si>
    <t>AND. PITAYOS #9, CIUDAD 2000,  C.P. 78394  SAN LUIS POTOSI, S.L.P.</t>
  </si>
  <si>
    <t>OPERADOR DE UNIDAD REVOLVEDORA</t>
  </si>
  <si>
    <t>DISTRIBUCION</t>
  </si>
  <si>
    <t>EJE 128 S/N ZONA INDUSTRIAL SAN LUIS POTOSI. C.P. 78411</t>
  </si>
  <si>
    <t>012700015399877696</t>
  </si>
  <si>
    <t>444 721 4537</t>
  </si>
  <si>
    <t>jo937126@gmail.com</t>
  </si>
  <si>
    <t>JUANA MARIA ORTIZ SANCHEZ</t>
  </si>
  <si>
    <t>NO</t>
  </si>
  <si>
    <t>CAMBIO DE EMPRESA A INFRA Y BUSCA AUMENTO EN IMSS</t>
  </si>
  <si>
    <t>LIDIA ORTIZ SANCHEZ</t>
  </si>
  <si>
    <t>HERMANA</t>
  </si>
  <si>
    <t>444 674 5513</t>
  </si>
  <si>
    <t>41008417119</t>
  </si>
  <si>
    <t>GOMEZ</t>
  </si>
  <si>
    <t>REYES</t>
  </si>
  <si>
    <t xml:space="preserve"> VICTOR GERARDO</t>
  </si>
  <si>
    <t>GOMEZ REYES  VICTOR GERARDO</t>
  </si>
  <si>
    <t>GORV840704HSPMYC01</t>
  </si>
  <si>
    <t>GORV8407049C4</t>
  </si>
  <si>
    <t>GOBERNADORA S/N LOC. RANCHO NUEVO C.P. 78802 MATEHUALA, SLP</t>
  </si>
  <si>
    <t>SECUNDIARIA</t>
  </si>
  <si>
    <t>YAHIR MARTINEZ</t>
  </si>
  <si>
    <t>MATEHUALA, S.L.P.</t>
  </si>
  <si>
    <t xml:space="preserve">LUIS NERI S/N (ENTRE JUAREZ SUR Y MADERO SUR) ZONA CENTRO, C.P. 79610  RIOVERDE, S.L.P. </t>
  </si>
  <si>
    <t>2785003180</t>
  </si>
  <si>
    <t>012709027850031805</t>
  </si>
  <si>
    <t>488 101 1994</t>
  </si>
  <si>
    <t>victorgovar2021@outlook.com</t>
  </si>
  <si>
    <t>MARIA LUISA MARTINEZ SOTO</t>
  </si>
  <si>
    <t>CMSLP</t>
  </si>
  <si>
    <t>SE VA DEL PAIS/ CAMBIO DE RESIDENCIA</t>
  </si>
  <si>
    <t>488 136 0794</t>
  </si>
  <si>
    <t>41078205303</t>
  </si>
  <si>
    <t>PERALES</t>
  </si>
  <si>
    <t>SALDAÑA</t>
  </si>
  <si>
    <t>FERNANDO</t>
  </si>
  <si>
    <t>PERALES SALDAÑA FERNANDO</t>
  </si>
  <si>
    <t>PESF821003HNLRLR07</t>
  </si>
  <si>
    <t>PESF8210033W9</t>
  </si>
  <si>
    <t>SAN JULIAN #205-A COL. FORESTA, C.P. 78437 SOLEDAD DE GRACIANO SANCHEZ, S.L.P.</t>
  </si>
  <si>
    <t>INGENIERIA TRUNCA</t>
  </si>
  <si>
    <t>OPERACIONES</t>
  </si>
  <si>
    <t>HUGO HERNANDEZ</t>
  </si>
  <si>
    <t>1537191070</t>
  </si>
  <si>
    <t>012700015371910704</t>
  </si>
  <si>
    <t>444 110 5200</t>
  </si>
  <si>
    <t>fexfer@hotmail.com</t>
  </si>
  <si>
    <t>DANIEL PERALES SALDAÑA</t>
  </si>
  <si>
    <t>HERMANO</t>
  </si>
  <si>
    <t>PESD850104MB0</t>
  </si>
  <si>
    <t>RECESION DE CONTRATO</t>
  </si>
  <si>
    <t>BAJO DESEMPEÑO</t>
  </si>
  <si>
    <t>444 322 8198</t>
  </si>
  <si>
    <t>B+</t>
  </si>
  <si>
    <t>41129503862</t>
  </si>
  <si>
    <t>CRUZ</t>
  </si>
  <si>
    <t>GARCIA</t>
  </si>
  <si>
    <t>EDGAR ARTURO</t>
  </si>
  <si>
    <t>CRUZ GARCIA EDGAR ARTURO</t>
  </si>
  <si>
    <t>CUGE950618HSPRRD06</t>
  </si>
  <si>
    <t>CUGE950618FB6</t>
  </si>
  <si>
    <t>UNION LIBRE</t>
  </si>
  <si>
    <t>CALLE SATURNINO CEDILLO #375  POZOS, C.P.78421  VILLA DE POZOS, S.L.P.</t>
  </si>
  <si>
    <t>SECUNDARIA</t>
  </si>
  <si>
    <t>PRODUCCION BOMBEO</t>
  </si>
  <si>
    <t>EJE 128 S/N ZONA INDUSTRIAL SAN LUIS POTOSI. C.P. 78406</t>
  </si>
  <si>
    <t>1584290504</t>
  </si>
  <si>
    <t>012700015842905044</t>
  </si>
  <si>
    <t>edgarcruz950618@gmail.com</t>
  </si>
  <si>
    <t>ITZEL MONSERRAT JUAREZ FRAGA</t>
  </si>
  <si>
    <t>CONCUBINA</t>
  </si>
  <si>
    <t>JUFI940903A12</t>
  </si>
  <si>
    <t>CAMBIO DE EMPRESA</t>
  </si>
  <si>
    <t>41138905835</t>
  </si>
  <si>
    <t>GRANJA</t>
  </si>
  <si>
    <t>LEIJA</t>
  </si>
  <si>
    <t>JONATHAN</t>
  </si>
  <si>
    <t>GRANJA LEIJA JONATHAN</t>
  </si>
  <si>
    <t>GALJ891128HSPRJN07</t>
  </si>
  <si>
    <t>GALJ891128JA9</t>
  </si>
  <si>
    <t>MANUEL JOSE OTHON #222  SOLEDAD DE GRACIANO SANCHEZ, C.P. 78430 SOLEDAD DE GRACIANO SANCHEZ, S.L.P.</t>
  </si>
  <si>
    <t>PRIMARIA</t>
  </si>
  <si>
    <t>EJE 128 S/N ZONA INDUSTRIAL SAN LUIS POTOSI. C.P. 78407</t>
  </si>
  <si>
    <t>012700015399877285</t>
  </si>
  <si>
    <t>444 100 7937</t>
  </si>
  <si>
    <t>jona.granja@gmail.com</t>
  </si>
  <si>
    <t>MARIA DEL ROSARIO VARGAS VAZQUEZ</t>
  </si>
  <si>
    <t>CONYUGE</t>
  </si>
  <si>
    <t>VAVR940613SM9</t>
  </si>
  <si>
    <t>NO TIENE</t>
  </si>
  <si>
    <t>MANUEL JOSE OTHON</t>
  </si>
  <si>
    <t>SOLEDAD DE GRACIANO SANCHEZ</t>
  </si>
  <si>
    <t>SAN LUIS POTOSI</t>
  </si>
  <si>
    <t>REINGRESO</t>
  </si>
  <si>
    <t>ANTES BAJA POR RENUNCIA VOLUNTARIA CON FECHA DE BAJA DEL 19 FEB 2023</t>
  </si>
  <si>
    <t>CAMBIO DE EMPRESA POR MEJOR SUELDO</t>
  </si>
  <si>
    <t>ENRIQUE GRANJA LEIJA</t>
  </si>
  <si>
    <t>A+</t>
  </si>
  <si>
    <t>ACOSTA</t>
  </si>
  <si>
    <t>CARRIZALEZ</t>
  </si>
  <si>
    <t>CARLOS ALBERTO</t>
  </si>
  <si>
    <t>ACOSTA CARRIZALEZ CARLOS ALBERTO</t>
  </si>
  <si>
    <t>AOCC830507HSPCRR03</t>
  </si>
  <si>
    <t>AOCC8305079E0</t>
  </si>
  <si>
    <t>CALLE REY SANCHO #249 FRACC. LOS REYES, C.P. 78170  SAN LUIS POTOSI, S.L.P.</t>
  </si>
  <si>
    <t>ANALISTA DE CONTROL DE UNIDADES</t>
  </si>
  <si>
    <t>ISRAEL AGUIRRE</t>
  </si>
  <si>
    <t>159 985 8138</t>
  </si>
  <si>
    <t>012 180 01599858138 5</t>
  </si>
  <si>
    <t>444 143 6280</t>
  </si>
  <si>
    <t>charlie0732@hotmail.com</t>
  </si>
  <si>
    <t>CLAUDIA PATRICIA MARTINEZ URESTI</t>
  </si>
  <si>
    <t>UEMC940317E56</t>
  </si>
  <si>
    <t>CAMBIO DE EMPLEO</t>
  </si>
  <si>
    <t>444 492 6907</t>
  </si>
  <si>
    <t>TAPIA</t>
  </si>
  <si>
    <t>MARTINEZ</t>
  </si>
  <si>
    <t>JESUS MARIANO</t>
  </si>
  <si>
    <t>TAPIA MARTINEZ JESUS MARIANO</t>
  </si>
  <si>
    <t>TAMJ930201HMCORS06</t>
  </si>
  <si>
    <t>TAMJ930201IZA</t>
  </si>
  <si>
    <t>CALLE ABEDUL # 148 FRACC. MARAVILLAS,  C.P. 78117  SAN LUIS POTOSI, S.L.P.</t>
  </si>
  <si>
    <t>BACHILLERATO/ TECNICO AUTOMOTRIZ</t>
  </si>
  <si>
    <t>MECANICO A</t>
  </si>
  <si>
    <t>012 5800 1566565050 5</t>
  </si>
  <si>
    <t>55 8098 4056</t>
  </si>
  <si>
    <t>marianotapiamtz@gmail.com</t>
  </si>
  <si>
    <t>SARAI TORRES MENDEZ</t>
  </si>
  <si>
    <t>TOMS</t>
  </si>
  <si>
    <t>Cambio de empleo</t>
  </si>
  <si>
    <t>81 1858 5937</t>
  </si>
  <si>
    <t>75089023032</t>
  </si>
  <si>
    <t xml:space="preserve">VELAZQUEZ </t>
  </si>
  <si>
    <t>DURAN</t>
  </si>
  <si>
    <t>MARLENE</t>
  </si>
  <si>
    <t>VELAZQUEZ  DURAN MARLENE</t>
  </si>
  <si>
    <t>VEDM900426MJCLRR02</t>
  </si>
  <si>
    <t>VEDM900426CV2</t>
  </si>
  <si>
    <t>CALLE LAZARO CARDENAS #109 COL. VENTA DEL ASTILLERO, C.P. 45221  ZAPOPAN, JAL.</t>
  </si>
  <si>
    <t>PREPARATORIA</t>
  </si>
  <si>
    <t>DI1AL</t>
  </si>
  <si>
    <t>ALMACEN</t>
  </si>
  <si>
    <t>MARY ARAIZA</t>
  </si>
  <si>
    <t>012320027244586808</t>
  </si>
  <si>
    <t>33 1132 3671</t>
  </si>
  <si>
    <t>marlenevd2604@gmail.com</t>
  </si>
  <si>
    <t>BLANCA ESTELA DURAN CANDELAS</t>
  </si>
  <si>
    <t>DUCB</t>
  </si>
  <si>
    <t>AUXILIAR DE LOGISTICA EN 28 JUL 2020. BAJA RV 04 SEP 21  POR CAMBIO DE CIDUDAD. REGRESA DE USA Y SOLICITA REINGRESO</t>
  </si>
  <si>
    <t>ASISTENTE DE ABASTO Y LOGÍSTICA</t>
  </si>
  <si>
    <t>RENUNCA VOLUNTARIA</t>
  </si>
  <si>
    <t>CAMBIO DE RESIDENCIA</t>
  </si>
  <si>
    <t>33 151 1403</t>
  </si>
  <si>
    <t>PIQUETE DE ABEJA</t>
  </si>
  <si>
    <t>QUERÉTARO</t>
  </si>
  <si>
    <t>AGUIRRE</t>
  </si>
  <si>
    <t>ANDRES GUADALUPE</t>
  </si>
  <si>
    <t>AGUIRRE MARTINEZ ANDRES GUADALUPE</t>
  </si>
  <si>
    <t>AUMA921130HSRGRN08</t>
  </si>
  <si>
    <t>AUMA9211304L0</t>
  </si>
  <si>
    <t>CALLE QUINTANA ROO 313 A  MIRANDA, C.P. 76240  MIRANDA, QRO.</t>
  </si>
  <si>
    <t>MONTACARGUISTA 6</t>
  </si>
  <si>
    <t>DANIEL PAULIN</t>
  </si>
  <si>
    <t>QUERETARO, QRO.</t>
  </si>
  <si>
    <t>Netzahualcoyotl #39  Loc. Cumbres de Conín 3a. Secc, C.P. 76246  Municipio Del Marqués, Qro.</t>
  </si>
  <si>
    <t>012 680 029724357648</t>
  </si>
  <si>
    <t>442 118 0693</t>
  </si>
  <si>
    <t>andresgpe65@gmail.com</t>
  </si>
  <si>
    <t>SOLEDAD MORALES ALEJANDRO</t>
  </si>
  <si>
    <t>PAREJA</t>
  </si>
  <si>
    <t>MOAS</t>
  </si>
  <si>
    <t>446 128 1849</t>
  </si>
  <si>
    <t>NINGUNO</t>
  </si>
  <si>
    <t>DISTRIBUIDOR DE CEMENTO DEL OCCIDENTE, S.A. DE C.V.</t>
  </si>
  <si>
    <t>DICOSA 2</t>
  </si>
  <si>
    <t>10180100421</t>
  </si>
  <si>
    <t>JESUS FERNANDO</t>
  </si>
  <si>
    <t>HERNANDEZ GARCIA JESUS FERNANDO</t>
  </si>
  <si>
    <t>HEGJ010825HJCRRSA9</t>
  </si>
  <si>
    <t>HEGJ010825243</t>
  </si>
  <si>
    <t>MASCULINO</t>
  </si>
  <si>
    <t>01</t>
  </si>
  <si>
    <t>SAN FELIPE SUR #6, COL. LA PURISIMA, C.P. 45640, TLAJOMULCO DE ZUÑIGA, JALISCO</t>
  </si>
  <si>
    <t>MIRELES GARAY</t>
  </si>
  <si>
    <t>Periférico Nuevo No. 5636 El Castillo c.p. 45686   El Salto Jal. Antes A-01930656 Juanacatlán.</t>
  </si>
  <si>
    <t>012 180 01572987241 2</t>
  </si>
  <si>
    <t>334 208 5449</t>
  </si>
  <si>
    <t>jesusfer2321@gmail.com</t>
  </si>
  <si>
    <t>CECILIA GARCIA LOPEZ</t>
  </si>
  <si>
    <t>SAN FELIPE</t>
  </si>
  <si>
    <t>N/A</t>
  </si>
  <si>
    <t>TLAJOMULCO DE ZUÑIGA</t>
  </si>
  <si>
    <t>JALISCO</t>
  </si>
  <si>
    <t>ABANDONO DE TRABAJO</t>
  </si>
  <si>
    <t>SE CAMBIA DE EMPRESA A UNA QUE LE PERMITE ESTUDIAR Y TRABAJAR</t>
  </si>
  <si>
    <t>332 492 8792</t>
  </si>
  <si>
    <t>LATINO GDL</t>
  </si>
  <si>
    <t>04998248209</t>
  </si>
  <si>
    <t>CABRAL</t>
  </si>
  <si>
    <t>PEREZ</t>
  </si>
  <si>
    <t>JOSE JOAQUIN</t>
  </si>
  <si>
    <t>CABRAL PEREZ JOSE JOAQUIN</t>
  </si>
  <si>
    <t>CAPJ820816HJCBRQ04</t>
  </si>
  <si>
    <t>CAPJ820816UW2</t>
  </si>
  <si>
    <t>PRIV. CASCADA #431, OJO DE AGUA, C.P. 45618, TLAQUEPAQUE, JALISCO</t>
  </si>
  <si>
    <t>MAURO SOLIS</t>
  </si>
  <si>
    <t>TLAQUEPAQUE, JAL.</t>
  </si>
  <si>
    <t>CALLE LOMAS DEL SOL #135  COL. ARTESANOS, C.P. 45598 TLAQUEPAQUE, JAL.</t>
  </si>
  <si>
    <t>331 884 3140</t>
  </si>
  <si>
    <t>joaquincabral344@gmail.com</t>
  </si>
  <si>
    <t>MONICA YESENIA LEPE GUEVARA</t>
  </si>
  <si>
    <t>CONYUGUE</t>
  </si>
  <si>
    <t>LEGM871007</t>
  </si>
  <si>
    <t>SI TIENE</t>
  </si>
  <si>
    <t>ANT CARRETERA A CHAPALA</t>
  </si>
  <si>
    <t>SAN PEDRO TLAQUEPAQUE</t>
  </si>
  <si>
    <t>Originalmente al Operador de U.R. se estaba planeando por faltas y mala actitud, pero al final renuncio el 24 de enero.</t>
  </si>
  <si>
    <t>332 043 1020</t>
  </si>
  <si>
    <t>A RH+</t>
  </si>
  <si>
    <t>DE ALBA</t>
  </si>
  <si>
    <t>QUEZADA</t>
  </si>
  <si>
    <t>SERGIO JOVANI</t>
  </si>
  <si>
    <t>DE ALBA QUEZADA SERGIO JOVANI</t>
  </si>
  <si>
    <t>AAQS020915HJCLZRA9</t>
  </si>
  <si>
    <t>AAQS0209155I7</t>
  </si>
  <si>
    <t>ANDADOR DEL GALLO #15 A, INFONAVIT CASTILLO, C.P. 45686, INFONAVIT CASTILLO, JALISCO</t>
  </si>
  <si>
    <t>AYUDANTE GENERAL 6</t>
  </si>
  <si>
    <t>012 180 01509534620 3</t>
  </si>
  <si>
    <t>331 069 2215</t>
  </si>
  <si>
    <t>sdealba25@gmail.com</t>
  </si>
  <si>
    <t>SERGIO ALEJANDRO DE ALBA DIAZ</t>
  </si>
  <si>
    <t>PADRE</t>
  </si>
  <si>
    <t>CATALINA MUÑOZ</t>
  </si>
  <si>
    <t>EL SALTO</t>
  </si>
  <si>
    <t>TERMINACION DE CONTRATO</t>
  </si>
  <si>
    <t>Se está considerando la baja del ayudante general debido a que lleva más de 3 faltas en un periodo de 30 lo cual es una causal para la terminación (14,20,21,22 de enero) y bajo desempeño.</t>
  </si>
  <si>
    <t>331 244 7818</t>
  </si>
  <si>
    <t>LIMON</t>
  </si>
  <si>
    <t>EVELYN MONTSERRAT</t>
  </si>
  <si>
    <t>HERNANDEZ LIMON EVELYN MONTSERRAT</t>
  </si>
  <si>
    <t>HELE001117MJCRMVA9</t>
  </si>
  <si>
    <t>HELE001117GB4</t>
  </si>
  <si>
    <t>FEMENINO</t>
  </si>
  <si>
    <t>PALMERAS #459 int.B, LA AZUCENA, C.P. 45680, EL SALTO, JALISCO</t>
  </si>
  <si>
    <t>DI2AD</t>
  </si>
  <si>
    <t>ADMINISTRACION</t>
  </si>
  <si>
    <t>MIRNA BEIZA</t>
  </si>
  <si>
    <t>012 180 01580698730 1</t>
  </si>
  <si>
    <t>333 489 5264</t>
  </si>
  <si>
    <t>monse.limon43@gmail.com</t>
  </si>
  <si>
    <t>TANIA MARIA LIMON GONZALEZ</t>
  </si>
  <si>
    <t>A</t>
  </si>
  <si>
    <t>POR PROBLEMAS DE SALUD</t>
  </si>
  <si>
    <t>TANIA LIMON GONZALEZ</t>
  </si>
  <si>
    <t>331 876 7570</t>
  </si>
  <si>
    <t>ERGOTAMINA</t>
  </si>
  <si>
    <t>04129429116</t>
  </si>
  <si>
    <t>VELASCO</t>
  </si>
  <si>
    <t>ESCALANTE</t>
  </si>
  <si>
    <t>JAIRO JOSUE</t>
  </si>
  <si>
    <t>VELASCO ESCALANTE JAIRO JOSUE</t>
  </si>
  <si>
    <t>VEEJ940531HJCLSR09</t>
  </si>
  <si>
    <t>VEEJ940531N31</t>
  </si>
  <si>
    <t>MAQUINISTAS #5816, ARTESANOS, C.P. 44200, SAN PEDOR TLAQUEPAQUE, JALISCO</t>
  </si>
  <si>
    <t>012 580 01508798608 0</t>
  </si>
  <si>
    <t>331 571 9498</t>
  </si>
  <si>
    <t>josueescalante0510@gmail.com</t>
  </si>
  <si>
    <t>NALLELY GRACIELA MARTINEZ ALFEREZ</t>
  </si>
  <si>
    <t>16 DE SEPTIEMBRE</t>
  </si>
  <si>
    <t>CASIMIRO CASTILLO</t>
  </si>
  <si>
    <t>FALTAS DESDE EL 03 FE FEB DE 2025</t>
  </si>
  <si>
    <t>332 525 6441</t>
  </si>
  <si>
    <t>TREVIÑO</t>
  </si>
  <si>
    <t>CALDERON</t>
  </si>
  <si>
    <t>JESUS RICARDO</t>
  </si>
  <si>
    <t>TREVIÑO CALDERON JESUS RICARDO</t>
  </si>
  <si>
    <t>TECJ780422HNLRLS07</t>
  </si>
  <si>
    <t>TECJ7804224Q7</t>
  </si>
  <si>
    <t>LA RIOJA #334-B, FUENTES DE CASTILLA, C.P. 65503, SALINAS VICTORIA, NUEVO LEON</t>
  </si>
  <si>
    <t>MARIO QUINTERO</t>
  </si>
  <si>
    <t>ESCOBEDO, N.L.</t>
  </si>
  <si>
    <t>Carr. Laredo-Monterrey KM 14.5 No.100, COL. NUEVA CASTILLA, GENERAL ESCOBEDO C.P. 66052, NUEVO LEON</t>
  </si>
  <si>
    <t>SANTANDER</t>
  </si>
  <si>
    <t>014 580 56869915089 8</t>
  </si>
  <si>
    <t>811 466 8128</t>
  </si>
  <si>
    <t>ricardotrevino981@gmail.com</t>
  </si>
  <si>
    <t>LUCINA GUADALUPE FLORES GAMEZ</t>
  </si>
  <si>
    <t>AVENIDA EJE CENTRAL LAZARO CARDENAS</t>
  </si>
  <si>
    <t>105 LOCAL EXTERIOR</t>
  </si>
  <si>
    <t>CUAUHTEMOC</t>
  </si>
  <si>
    <t>CIUDAD DE MEXICO</t>
  </si>
  <si>
    <t>06720</t>
  </si>
  <si>
    <t>ROBO DE DIESEL Y MALA ACTITUD</t>
  </si>
  <si>
    <t>812 896 0494</t>
  </si>
  <si>
    <t>NO SABE</t>
  </si>
  <si>
    <t>VASQUEZ</t>
  </si>
  <si>
    <t>RANGEL</t>
  </si>
  <si>
    <t>JUAN ANTONIO</t>
  </si>
  <si>
    <t>VASQUEZ RANGEL JUAN ANTONIO</t>
  </si>
  <si>
    <t>VARJ020925HSPSNNA0</t>
  </si>
  <si>
    <t>VARJ020925F92</t>
  </si>
  <si>
    <t>CTO. REAL DE CATORCE #250-A, FRACC. GRANJAS DE SAN PEDRO,C.P.78440, CERRO DE SAN PEDRO, SAN LUIS POTOSI</t>
  </si>
  <si>
    <t>BACHILLERATO</t>
  </si>
  <si>
    <t>012 700 01568025873 3</t>
  </si>
  <si>
    <t>442 289 5330</t>
  </si>
  <si>
    <t>juan.vasquez.ar18@gmail.com</t>
  </si>
  <si>
    <t>MARIA BERTHA RANGEL HERRERA</t>
  </si>
  <si>
    <t>MONTE CALDERA</t>
  </si>
  <si>
    <t>S/N</t>
  </si>
  <si>
    <t>CERRO DE SAN PEDRO</t>
  </si>
  <si>
    <t>IRINIO VASQUEZ RODRIGUEZ</t>
  </si>
  <si>
    <t>444 510 6572</t>
  </si>
  <si>
    <t>SULFAS</t>
  </si>
  <si>
    <t>GONZALEZ</t>
  </si>
  <si>
    <t>PLASCENCIA</t>
  </si>
  <si>
    <t>MIGUEL ANGEL</t>
  </si>
  <si>
    <t>GOPM960926HJCNLG06</t>
  </si>
  <si>
    <t>GOPM9609265B8</t>
  </si>
  <si>
    <t>ESPIGUERO #156 int 11 D, CIMA SERENA, C.P. 45685, EL SALTO, JALISCO</t>
  </si>
  <si>
    <t>EL SALTO, JAL.</t>
  </si>
  <si>
    <t>012 180 01518161242 7</t>
  </si>
  <si>
    <t>333 963 9225</t>
  </si>
  <si>
    <t>gonzalezplascencia1312@gmail.com</t>
  </si>
  <si>
    <t>ELENA ANAHI MEZA BALVANEDA</t>
  </si>
  <si>
    <t>AND. ALLENDE</t>
  </si>
  <si>
    <t>56A</t>
  </si>
  <si>
    <t>TONALA</t>
  </si>
  <si>
    <t>ROBO A UN COMPAÑERO</t>
  </si>
  <si>
    <t>333 599 5329</t>
  </si>
  <si>
    <t>ORTEGA</t>
  </si>
  <si>
    <t>MORA</t>
  </si>
  <si>
    <t>MARIPAZ SOFIA</t>
  </si>
  <si>
    <t>ORTEGA MORA MARIPAZ SOFIA</t>
  </si>
  <si>
    <t>OEMM030509MJCRRRA8</t>
  </si>
  <si>
    <t>OEMM030509D99</t>
  </si>
  <si>
    <t>C. FUENTE TLAXCALA #1587, VILLA FONTANA, C.P. 45615, SAN PEDRO, TLAQUEPAQUE</t>
  </si>
  <si>
    <t>LICENCIATURA TECNICA</t>
  </si>
  <si>
    <t>072 320 01244940871 0</t>
  </si>
  <si>
    <t>331 115 9460</t>
  </si>
  <si>
    <t>sofiaortegamora030509@gmail.com</t>
  </si>
  <si>
    <t>GLORIA IVETTE MORA ISABELES</t>
  </si>
  <si>
    <t>RIO REFORMA</t>
  </si>
  <si>
    <t>CAMBIO DE EMPLEO A OTRA EMPRESA</t>
  </si>
  <si>
    <t>331 545 2707</t>
  </si>
  <si>
    <t>RIVERA</t>
  </si>
  <si>
    <t>DAVID ALEJANDRO</t>
  </si>
  <si>
    <t>MARTINEZ RIVERA DAVID ALEJANDRO</t>
  </si>
  <si>
    <t>MARD950409HASRVV01</t>
  </si>
  <si>
    <t>MARD950409GI2</t>
  </si>
  <si>
    <t>MONTE VINSON #205-A, VILLA MONTAÑA, C.P. 20126, AGUASCALIENTES, AGUASCALIENTES</t>
  </si>
  <si>
    <t>012 010 01598974406 5</t>
  </si>
  <si>
    <t>449 583 2977</t>
  </si>
  <si>
    <t>martineza65582@gmmail.com</t>
  </si>
  <si>
    <t>DAVID MARTINEZ SALDIVAR</t>
  </si>
  <si>
    <t>AV. CULTURA MAYA</t>
  </si>
  <si>
    <t>CAMBIO DE RESIDENCIA/ SE REGRESA A SU PUEBLO</t>
  </si>
  <si>
    <t>449 137 5115</t>
  </si>
  <si>
    <t xml:space="preserve">NO SABE </t>
  </si>
  <si>
    <t>04008319024</t>
  </si>
  <si>
    <t>BARRAGAN</t>
  </si>
  <si>
    <t>GABRIEL</t>
  </si>
  <si>
    <t>BARRAGAN HERNANDEZ GABRIEL</t>
  </si>
  <si>
    <t>BAHG830929HHGRRB11</t>
  </si>
  <si>
    <t>BAHG830929A78</t>
  </si>
  <si>
    <t>LOMA AZUL #24 3, LOMA VERDE, C.P.45694, TLAQUEPAQUE, JALISCO</t>
  </si>
  <si>
    <t>012 320 02974833791 7</t>
  </si>
  <si>
    <t>332 603 7234</t>
  </si>
  <si>
    <t>gabytuzo776@gmail.com</t>
  </si>
  <si>
    <t>ANA MARICELA RODRIGUEZ ARENAS</t>
  </si>
  <si>
    <t>DATIL</t>
  </si>
  <si>
    <t>TIJUANA</t>
  </si>
  <si>
    <t>BAJA CALIFORNIA</t>
  </si>
  <si>
    <t>CONTINUA ESTUDIOS Y TAEKWANDO</t>
  </si>
  <si>
    <t>331 995 5295</t>
  </si>
  <si>
    <t>02179813585</t>
  </si>
  <si>
    <t xml:space="preserve">HERNANDEZ </t>
  </si>
  <si>
    <t>AGUSTIN</t>
  </si>
  <si>
    <t>CARLOS EDUARDO</t>
  </si>
  <si>
    <t>HERNANDEZ  AGUSTIN CARLOS EDUARDO</t>
  </si>
  <si>
    <t>HEAC980907HJCRGR05</t>
  </si>
  <si>
    <t>HEAC980907HA7</t>
  </si>
  <si>
    <t>PUERTA AGATA #23, PUERTA REAL, CP, 45645, TLAJOMULCO, JALISCO.</t>
  </si>
  <si>
    <t>012 320 015259901215</t>
  </si>
  <si>
    <t>hernandezcarlos0798@gmail.com</t>
  </si>
  <si>
    <t>JUANA AGUSTIN JERONIMO</t>
  </si>
  <si>
    <t>MAMA</t>
  </si>
  <si>
    <t>PUERTA AGATA</t>
  </si>
  <si>
    <t>SE CAMBIA DE TRABAJO A UNO EN EL CUAL LE PERMITEN ESTUDIAR Y TRABAJAR</t>
  </si>
  <si>
    <t>04139594982</t>
  </si>
  <si>
    <t>VELOZ</t>
  </si>
  <si>
    <t>JOSE EDUARDO</t>
  </si>
  <si>
    <t>FLORES VELOZ JOSE EDUARDO</t>
  </si>
  <si>
    <t>FOVE950816HJCLLD01</t>
  </si>
  <si>
    <t>FOVE9508168G2</t>
  </si>
  <si>
    <t>MEMBRILLO #32-E,  CAMPOBELLO, CP.45685,EL SALTO, JALISCO</t>
  </si>
  <si>
    <t>012 320 01547964107 0</t>
  </si>
  <si>
    <t xml:space="preserve">lalofs706@gmail.com </t>
  </si>
  <si>
    <t>MARISOL VELOZ RODRIGUEZ</t>
  </si>
  <si>
    <t xml:space="preserve">MALECON </t>
  </si>
  <si>
    <t>VEINTE DE NOVIEMBRE</t>
  </si>
  <si>
    <t>SE FUE DE GDL MAS YA CONTABA CON MUCHAS FALTAS</t>
  </si>
  <si>
    <t>08179232155</t>
  </si>
  <si>
    <t>LOPEZ</t>
  </si>
  <si>
    <t>CASILLAS</t>
  </si>
  <si>
    <t>REY DAVID</t>
  </si>
  <si>
    <t>LOPEZ CASILLAS REY DAVID</t>
  </si>
  <si>
    <t>LOCR921219HJCPSY06</t>
  </si>
  <si>
    <t>LOCR921219N93</t>
  </si>
  <si>
    <t>SIERRA CASTA #324, LOMAS DEL MIRADOR ET 13,CP 45653, TLAJOMULCO DE ZUÑIGA, JALISCO.</t>
  </si>
  <si>
    <t>012 322015229972955</t>
  </si>
  <si>
    <t xml:space="preserve">reydavidLopez378@gmail.com </t>
  </si>
  <si>
    <t>MARIA GABRIELA LOPEZ CASILLAS</t>
  </si>
  <si>
    <t>TIA</t>
  </si>
  <si>
    <t>BAÑUELOS PONCE</t>
  </si>
  <si>
    <t>AMECA</t>
  </si>
  <si>
    <t>FALTAS CONSTANTES, FUE TC</t>
  </si>
  <si>
    <t>MARTIN ROBLES TORO</t>
  </si>
  <si>
    <t>SUEGRO</t>
  </si>
  <si>
    <t>ALVISO</t>
  </si>
  <si>
    <t>RICARDO EDUARDO</t>
  </si>
  <si>
    <t>ALVISO GARCIA RICARDO EDUARDO</t>
  </si>
  <si>
    <t>AIGR970403HSPLRC02</t>
  </si>
  <si>
    <t>AIGR970403IW5</t>
  </si>
  <si>
    <t>SEPARADO</t>
  </si>
  <si>
    <t>C 1A PRIVADA DE GALEANA #115, BARRIO CASANOVA, CP. 78421, SAN LUIS POTOSI, SLP</t>
  </si>
  <si>
    <t>LCSBOM</t>
  </si>
  <si>
    <t>012180015294576683</t>
  </si>
  <si>
    <t>redalvisu@gmail.com</t>
  </si>
  <si>
    <t>MA LETICIA GARCIA TORREZ</t>
  </si>
  <si>
    <t>1A DE GALEANA</t>
  </si>
  <si>
    <t>problemas familiares, en sus primeras falta comento que tenia a sus hijos enfermos, después me dijo que NO era cierto que únicamente no quería venir</t>
  </si>
  <si>
    <t>04967827280</t>
  </si>
  <si>
    <t>ROBLES</t>
  </si>
  <si>
    <t xml:space="preserve">ESTEBAN  </t>
  </si>
  <si>
    <t xml:space="preserve">RODRIGUEZ  ROBLES ESTEBAN  </t>
  </si>
  <si>
    <t>RORE780902HJCDBS07</t>
  </si>
  <si>
    <t>RORE780902F66</t>
  </si>
  <si>
    <t>SIERRA BAÑUELA #221 ET 12, CHULAVISTA, CP. 45653, TLAJOMULCO DE ZUÑIGA, JALISCO</t>
  </si>
  <si>
    <t>012180015295616788</t>
  </si>
  <si>
    <t>tebanrobles68@gmail.com</t>
  </si>
  <si>
    <t>KAREN MARISOL RODRIGUEZ LUGO</t>
  </si>
  <si>
    <t>HIJA</t>
  </si>
  <si>
    <t>TORRECILLAS</t>
  </si>
  <si>
    <t xml:space="preserve">NO LE GUSTO EL PAGO </t>
  </si>
  <si>
    <t>INES RODRIGUEZ ROBLES</t>
  </si>
  <si>
    <t>MENDEZ</t>
  </si>
  <si>
    <t>SABINO</t>
  </si>
  <si>
    <t>PEREZ MENDEZ SABINO</t>
  </si>
  <si>
    <t>PEMS031205HSPRNBA9</t>
  </si>
  <si>
    <t>PEMS031205EI9</t>
  </si>
  <si>
    <t>AV MEXICO #15, RINCONADA, CP78100, SOLEDAD DE GRACIANO SANCHEZ, SLP</t>
  </si>
  <si>
    <t>JUAN GOMEZ</t>
  </si>
  <si>
    <t>BUSTAMANTE NO. 901 SOLEDAD DE GRACIANO SÁNCHEZ, SLP</t>
  </si>
  <si>
    <t>012180015300090422</t>
  </si>
  <si>
    <t>marleth546@gmail.com</t>
  </si>
  <si>
    <t>PAULA MENDEZ MARTINEZ</t>
  </si>
  <si>
    <t>AV. LAS PALMAS</t>
  </si>
  <si>
    <t>MIGUEL HIDALGO</t>
  </si>
  <si>
    <t>NO SE RENUEVA CONTRATO, MALA ACTITUD Y FALTAS CONSTANTES</t>
  </si>
  <si>
    <t>5197825208-1</t>
  </si>
  <si>
    <t xml:space="preserve">LOPEZ </t>
  </si>
  <si>
    <t>EDGAR FABIAN</t>
  </si>
  <si>
    <t>LOPEZ  REYES EDGAR FABIAN</t>
  </si>
  <si>
    <t>LORE820426HASPYD04</t>
  </si>
  <si>
    <t>LORE820426S94</t>
  </si>
  <si>
    <t>GUADALUPE 313, INT 2, GUADALUPE, CP. 20059, AGUASCALIENTES, AGS</t>
  </si>
  <si>
    <t>VENTAS</t>
  </si>
  <si>
    <t>RODOLFO VILLALOBOS</t>
  </si>
  <si>
    <t>AGUASCALIENTES, AGS.</t>
  </si>
  <si>
    <t>JOSÉ MA. CHÁVEZ # 3306  CD INDUSTRIAL  20290      AGUASCALIENTES, AGS</t>
  </si>
  <si>
    <t>012 010 028751681987</t>
  </si>
  <si>
    <t>449 252 2069</t>
  </si>
  <si>
    <t>edgar.lopezreyes82@outlook.com</t>
  </si>
  <si>
    <t>CYNTHIA IVONNE LOPEZ REYES</t>
  </si>
  <si>
    <t>PENDIENTE ENTREGA AVISO RETENCION</t>
  </si>
  <si>
    <t>RAFAEL GARCIA MACIAS</t>
  </si>
  <si>
    <t>NO SE RENUEVA CONTRATO, MALA ACTITUD Y FALTAS CONSTANTES Y APÓYO JURIDICO</t>
  </si>
  <si>
    <t>JESSICA ALEJANDRA CHAVARRIA RUIZ</t>
  </si>
  <si>
    <t>449 546 1498</t>
  </si>
  <si>
    <t>ALVARADO</t>
  </si>
  <si>
    <t>JOSE MAURICIO</t>
  </si>
  <si>
    <t>MARTINEZ ALVARADO JOSE MAURICIO</t>
  </si>
  <si>
    <t>MAAM730921HDFRLR04</t>
  </si>
  <si>
    <t>MAAM7309218K2</t>
  </si>
  <si>
    <t>VILLA CORDOBA #620 INT D, VILLA FONTANA AQUA,CP. 45653, TLAJOMULCO DE ZUÑIGA, JALISCO.</t>
  </si>
  <si>
    <t>012320015302844313</t>
  </si>
  <si>
    <t>j2536369@gmail.com</t>
  </si>
  <si>
    <t>GRACIELA ALVARADO</t>
  </si>
  <si>
    <t>KM 3.5 CARR EL SALTO LA CAPILLA</t>
  </si>
  <si>
    <t>SN</t>
  </si>
  <si>
    <t>ACOMULACION DE FALTAS, FUE BAJA CON APOYO JURIDICO</t>
  </si>
  <si>
    <t>OCHOA</t>
  </si>
  <si>
    <t>ARMANDO</t>
  </si>
  <si>
    <t>RODRIGUEZ  OCHOA ARMANDO</t>
  </si>
  <si>
    <t>ROOA921229HDFDCR00</t>
  </si>
  <si>
    <t>ROOA921229EW0</t>
  </si>
  <si>
    <t>AGUAMARINA #601 INT 11, PASEOS DEL PEDREGAL, CP 76148, QUERETARO, QRO</t>
  </si>
  <si>
    <t>PAULIN</t>
  </si>
  <si>
    <t>012 680 01400850772 1</t>
  </si>
  <si>
    <t>ar1117053@gmail.com</t>
  </si>
  <si>
    <t>ANA KAREN LOPEZ RAMIREZ</t>
  </si>
  <si>
    <t>MADRE DE SU HIJO</t>
  </si>
  <si>
    <t>PRIMAVERA</t>
  </si>
  <si>
    <t>GUSTAVO A MADERO</t>
  </si>
  <si>
    <t>´07310</t>
  </si>
  <si>
    <t>PERDIDA DE COINFIANZA, SE LE VINCULO CON UN ROBO</t>
  </si>
  <si>
    <t xml:space="preserve">VILLAREAL </t>
  </si>
  <si>
    <t>ZAMORA</t>
  </si>
  <si>
    <t>PATRICK AZAEL</t>
  </si>
  <si>
    <t>VILLAREAL  ZAMORA PATRICK AZAEL</t>
  </si>
  <si>
    <t>VIZP990713HNLLMT09</t>
  </si>
  <si>
    <t>VIZP9907136RA</t>
  </si>
  <si>
    <t>JARDINES DEL PINO #282, JARDINES DE MONTERREY, CP. 66613, APODACA , NUEVO LEON</t>
  </si>
  <si>
    <t>0074360764153050200</t>
  </si>
  <si>
    <t>012180015305023779</t>
  </si>
  <si>
    <t>azaras.vz@gmail.com</t>
  </si>
  <si>
    <t>PERLA YANIRA SALAZAR ZAMORA</t>
  </si>
  <si>
    <t>FUIDFS</t>
  </si>
  <si>
    <t>FSFD</t>
  </si>
  <si>
    <t>FDS</t>
  </si>
  <si>
    <t>PESQUERIA</t>
  </si>
  <si>
    <t>NUEVO LEON</t>
  </si>
  <si>
    <t>NO SE ESFUERZA Y MALA ACTITUD HACIA LOS DEMAS Y EL TRABAJO / NO SE RENUEVA EL CONTRATO</t>
  </si>
  <si>
    <t>PERLA YANIRA VILLARREAL ZAMORA</t>
  </si>
  <si>
    <t>ALVARO</t>
  </si>
  <si>
    <t>HERNANDEZ  PEREZ ALVARO</t>
  </si>
  <si>
    <t>HEPA021029HQTRRLA1</t>
  </si>
  <si>
    <t>HEPA021029BR2</t>
  </si>
  <si>
    <t>CHIHUAHUA #60, SAN ISIDRO MIRANDA, CP.76240, EL MARQUES , QRO.</t>
  </si>
  <si>
    <t>SECUDNARIA</t>
  </si>
  <si>
    <t>QRORE</t>
  </si>
  <si>
    <t>SAMUEL HILARIO</t>
  </si>
  <si>
    <t>012 680 015241174486</t>
  </si>
  <si>
    <t>alvarinhernandez@gmail.com</t>
  </si>
  <si>
    <t>MARIA REYNALDA HERNANDEZ</t>
  </si>
  <si>
    <t>CHIHUAHUA</t>
  </si>
  <si>
    <t>PROBLEMAS CON JEFE INMEDIATO/ SALUD Y CARGA DE TRABAJO. EL TRABAJADOR COMENTA QUE EL JEFE DE PATIO TUVO MALOS TRATOS CON EL Y EN GENERAL CON EL PERSONAL</t>
  </si>
  <si>
    <t>GALLEGOS</t>
  </si>
  <si>
    <t>JOSE TRINIDAD</t>
  </si>
  <si>
    <t>GALLEGOS GARCIA JOSE TRINIDAD</t>
  </si>
  <si>
    <t>GAGT690806HMNLRR04</t>
  </si>
  <si>
    <t>GAGT6908067L2</t>
  </si>
  <si>
    <t>AV VISTA ALEGRE # 2211 41, RANCHO BELLAVISTA, CP. 76134, QUERETARO, QRO.</t>
  </si>
  <si>
    <t>OMAR VILCHIS</t>
  </si>
  <si>
    <t>012 180 015396133047</t>
  </si>
  <si>
    <t>trinogallegos@hotmail.com</t>
  </si>
  <si>
    <t>ANA KAREN GALLEGOS GARCIA</t>
  </si>
  <si>
    <t>DE LAUREL</t>
  </si>
  <si>
    <t>MICHOACAN DE OCAMPO</t>
  </si>
  <si>
    <t>REQUIERE UN MAYOR INGRESO/ COMENTA QUE EL CRECIMIENTO ES A LARGO PLAZO Y NECESITA ALGO MAS RAPIDO</t>
  </si>
  <si>
    <t>DELGADO</t>
  </si>
  <si>
    <t>OROZCO</t>
  </si>
  <si>
    <t>JOSUE ALEJANDRO</t>
  </si>
  <si>
    <t>DELGADO OROZCO JOSUE ALEJANDRO</t>
  </si>
  <si>
    <t>DEOJ960131HSPLRS00</t>
  </si>
  <si>
    <t>DEOJ930131MQ2</t>
  </si>
  <si>
    <t>JAZMIN #105, FRACC LOS FRESNOS, CP. 79613, RIO VERDE, SAN LUIS POTOSI.</t>
  </si>
  <si>
    <t>MARISELA LOPEZ</t>
  </si>
  <si>
    <t>RIOVERDE, S.L.P.</t>
  </si>
  <si>
    <t>Carr. Rioverde San Luis Km. 12.1, SN. Cd. Fernandez, Rio Verde. SLP</t>
  </si>
  <si>
    <t>153 927 4499</t>
  </si>
  <si>
    <t>012 711 015392744993</t>
  </si>
  <si>
    <t>alexorozco96@icloud.com</t>
  </si>
  <si>
    <t>MA. VERÓNICA OROZCO</t>
  </si>
  <si>
    <t xml:space="preserve">JAZMIN </t>
  </si>
  <si>
    <t>NO SE RENUEVA</t>
  </si>
  <si>
    <t>SE REQUIRIO APOYO JURIDICO/ SE DETECTO VARIAS VECES CON ALIENTO ACOHOLICO Y EN DIFERENTES OCACIONES LA UNIDAD NO SE MOVIA DE SU HOGAR</t>
  </si>
  <si>
    <t>MA. VERONICA OROZCO</t>
  </si>
  <si>
    <t>NAPOLES</t>
  </si>
  <si>
    <t>TORRES</t>
  </si>
  <si>
    <t>HECTOR MAURICIO</t>
  </si>
  <si>
    <t>NAPOLES TORRES HECTOR MAURICIO</t>
  </si>
  <si>
    <t>NATH990623HJCPRC06</t>
  </si>
  <si>
    <t>NATH990623HV9</t>
  </si>
  <si>
    <t>CASTILLO MOMBELTRAN #481 INT 32, PARQUES DEL CASTILLO, CP. 45685, PARQUES DEL CASTILLO , JALISCO</t>
  </si>
  <si>
    <t>012 180015325609539</t>
  </si>
  <si>
    <t>zmookercx@gmail.com</t>
  </si>
  <si>
    <t>NORMA OLGA TORRES GALLEGOS</t>
  </si>
  <si>
    <t>MOMBETRAN</t>
  </si>
  <si>
    <t>RENUNCIA VOLUNTARIA (TC)</t>
  </si>
  <si>
    <t>MIRNA COMENTA QUE FALTA MUCHO</t>
  </si>
  <si>
    <t>05200445657</t>
  </si>
  <si>
    <t xml:space="preserve">BARRIGA </t>
  </si>
  <si>
    <t>ARMANDO ISRAEL</t>
  </si>
  <si>
    <t>BARRIGA  MARTINEZ ARMANDO ISRAEL</t>
  </si>
  <si>
    <t>BAMA041005HCMRRRA3</t>
  </si>
  <si>
    <t>BAMA041005IX6</t>
  </si>
  <si>
    <t>TABAQUILLO#2836 INT B, COL RESIDENCIAL DEL ANGEL, CP. 45680, RESIDENCIAL DEL ANGEL , JALISCO</t>
  </si>
  <si>
    <t>´014095569078680729</t>
  </si>
  <si>
    <t>armando.barriga1@icloud.com</t>
  </si>
  <si>
    <t>YESICA RENDON PULGARIN</t>
  </si>
  <si>
    <t>CANDIDO MENDOZA</t>
  </si>
  <si>
    <t>SIN NUMERO</t>
  </si>
  <si>
    <t>MANZANILLO</t>
  </si>
  <si>
    <t>COLIMA</t>
  </si>
  <si>
    <t>perdió un cable  de celular que traía en un área de trabajo no autorizada para uso de equipos celulares y no resguardarlo en su locker.</t>
  </si>
  <si>
    <t>YOSELIN RENDON PULGARIN</t>
  </si>
  <si>
    <t>NEGADO</t>
  </si>
  <si>
    <t>ALBA</t>
  </si>
  <si>
    <t>MUÑOZ</t>
  </si>
  <si>
    <t>YOSSELIM DEBANHI</t>
  </si>
  <si>
    <t>ALBA MUÑOZ YOSSELIM DEBANHI</t>
  </si>
  <si>
    <t>AAMY921201MASLXS00</t>
  </si>
  <si>
    <t>AAMY9212013C6</t>
  </si>
  <si>
    <t>ARTICULO 24, # 634, COL. CONSTITUCIÓN FRACC, CP 20126, AGUASCALIENTES, AGS</t>
  </si>
  <si>
    <t>UNIVERSIDAD TRUNCA</t>
  </si>
  <si>
    <t>012 010 029475338450</t>
  </si>
  <si>
    <t>yosselimalba9@gmail.com</t>
  </si>
  <si>
    <t>ARTICULO 24</t>
  </si>
  <si>
    <t>AGUSACALIENTES</t>
  </si>
  <si>
    <t>BAJO RENDIMIENTO, DISTRAIDA, NO LE GUSTO A SUCURSAL</t>
  </si>
  <si>
    <t>EFRAIN ALBA</t>
  </si>
  <si>
    <t>PAPA</t>
  </si>
  <si>
    <t>JIMENEZ</t>
  </si>
  <si>
    <t>DANIEL ANGEL</t>
  </si>
  <si>
    <t>JIMENEZ  DANIEL ANGEL</t>
  </si>
  <si>
    <t>JIXD741012HDFMXN01</t>
  </si>
  <si>
    <t>JIDA741012TK6</t>
  </si>
  <si>
    <t>J. GUADALUPE RAMÍREZ ALVAREZ #20, EL CARMEN , CP 76240, EL CARMEN , QRO.</t>
  </si>
  <si>
    <t>012 680 01541269553</t>
  </si>
  <si>
    <t>daniel_741012@outlook.com</t>
  </si>
  <si>
    <t>REYNA GUADALUPE MURILLO BALTIERRA</t>
  </si>
  <si>
    <t>TRINIDAD</t>
  </si>
  <si>
    <t>CORREGIDORA</t>
  </si>
  <si>
    <t>FALTAS DESDE EL 27 DE DICIEMBRE</t>
  </si>
  <si>
    <t>OVALLE</t>
  </si>
  <si>
    <t>MARCO ANTONIO</t>
  </si>
  <si>
    <t>OVALLE LIMON MARCO ANTONIO</t>
  </si>
  <si>
    <t>OALM720329HJCVMR03</t>
  </si>
  <si>
    <t>OALM7203296V1</t>
  </si>
  <si>
    <t>MONTETOLEDO OESTE # 212, LOMAS DEL MIRADOR, CP. 45653, TLAJOMULCO DE ZUÑIGA, JALISCO.</t>
  </si>
  <si>
    <t>012180015335848869</t>
  </si>
  <si>
    <t>marcoantonioovallelimon@gmail.com</t>
  </si>
  <si>
    <t>MARIBEL SANCHEZ ALCALA</t>
  </si>
  <si>
    <t>DR R MICHEL</t>
  </si>
  <si>
    <t>FALTAS DESDE EL 25 DE ENERO</t>
  </si>
  <si>
    <t>BEATRIZ SANCHEZ ALCALA</t>
  </si>
  <si>
    <t>CUÑADA</t>
  </si>
  <si>
    <t>BARTOLO</t>
  </si>
  <si>
    <t xml:space="preserve">ISAIAS </t>
  </si>
  <si>
    <t xml:space="preserve">LOPEZ  BARTOLO ISAIAS </t>
  </si>
  <si>
    <t>LOBI7903024HOCPRS05</t>
  </si>
  <si>
    <t>LOBI790324H66</t>
  </si>
  <si>
    <t>ARROYO CHAPOTE #211 B, FRACC. LOS RUISEÑORES, CP. 45350, TALA, JALISCO</t>
  </si>
  <si>
    <t>BBVA</t>
  </si>
  <si>
    <t>012 180015661894794</t>
  </si>
  <si>
    <t>isaiaslopez6144@gmail.com</t>
  </si>
  <si>
    <t>ELEUTERIA SANCHEZ DIAZ</t>
  </si>
  <si>
    <t>ZARAGOZA ORIENTE</t>
  </si>
  <si>
    <t>1000 SUR</t>
  </si>
  <si>
    <t>M1</t>
  </si>
  <si>
    <t>FALTAS EN ENERO</t>
  </si>
  <si>
    <t>ALEUTERIA SANCHEZ DIAZ</t>
  </si>
  <si>
    <t>RODRIGUEZ</t>
  </si>
  <si>
    <t>CERVANTES</t>
  </si>
  <si>
    <t>ROBERTO CARLOS</t>
  </si>
  <si>
    <t>RODRIGUEZ CERVANTES ROBERTO CARLOS</t>
  </si>
  <si>
    <t>ROCR980623HSPDRB01</t>
  </si>
  <si>
    <t>ROCR9806234PA</t>
  </si>
  <si>
    <t>1A PRIV REFORMA AGRARIA #109, FRACCION RIVERA ZAPOTE, CP 78430, SOLEDAD DE GRACIANO SANCHEZ, SLP</t>
  </si>
  <si>
    <t>012700015337417445</t>
  </si>
  <si>
    <t>ec319925@gmail.com</t>
  </si>
  <si>
    <t>LUZ MARIA CERVANTES HERNANDEZ</t>
  </si>
  <si>
    <t>PRIMERA PRIV REFORMA AGRARIA</t>
  </si>
  <si>
    <t>PROBLEMAS PERSONALES, SE SEPARO DE SU PAREJA POR LO QUE DECIDE RENUNCIAR</t>
  </si>
  <si>
    <t xml:space="preserve">VARGAS </t>
  </si>
  <si>
    <t>VARGAS  GONZALEZ JUAN CARLOS</t>
  </si>
  <si>
    <t>VAGJ720523HSPRNN01</t>
  </si>
  <si>
    <t>VAGJ720523D30</t>
  </si>
  <si>
    <t>C SAN RAFAEL 451 B, FRACC. CACTUS, CP. 78438, SOLEDAD DE GRACIANO SANCHEZ, SLP</t>
  </si>
  <si>
    <t>012180015339316193</t>
  </si>
  <si>
    <t>jc.vargas72@outlook.com</t>
  </si>
  <si>
    <t>NORMA ARACELI LOZANO NAVARRO</t>
  </si>
  <si>
    <t>AV. GUSTAVO BAZ</t>
  </si>
  <si>
    <t>TLALNEPANTLA DE BAZ</t>
  </si>
  <si>
    <t>MEXICO</t>
  </si>
  <si>
    <t>CAMBIO DE EMPLEO POR QUE NO LE GUSTO EL SUELDO</t>
  </si>
  <si>
    <t>NORMA ALICIA LOZANO NAVARRO</t>
  </si>
  <si>
    <t>03169774159</t>
  </si>
  <si>
    <t xml:space="preserve">CORPUS </t>
  </si>
  <si>
    <t>TENORIO</t>
  </si>
  <si>
    <t>CORPUS  TENORIO JUAN ANTONIO</t>
  </si>
  <si>
    <t>COTJ971227HSPRNN04</t>
  </si>
  <si>
    <t>COTJ9712274765</t>
  </si>
  <si>
    <t>OCAMPO #28, FRACCION RIVERA ZAPOTE, CP. 78430, SOLEDAD DE GRACIANO SANCHEZ , SLP</t>
  </si>
  <si>
    <t>BRENDA JANETH JACOBO VERA</t>
  </si>
  <si>
    <t>MELCHOR OCAMPO</t>
  </si>
  <si>
    <t>FALTAS DESDE EL 18 DE MARZO</t>
  </si>
  <si>
    <t>CASTILLO</t>
  </si>
  <si>
    <t>PORTILLO</t>
  </si>
  <si>
    <t>EDUARDO</t>
  </si>
  <si>
    <t>CASTILLO PORTILLO EDUARDO</t>
  </si>
  <si>
    <t>CAPE980521HPLSRD04</t>
  </si>
  <si>
    <t>CAPE980521CP0</t>
  </si>
  <si>
    <t>AV. PASEO DEL MARQUES SUR 23-74, FRACCIONAMIENTO PASEOS DEL MARQUES, CP 76245, EL MARQUES, QRO.</t>
  </si>
  <si>
    <t>012180015346648278</t>
  </si>
  <si>
    <t>bogascastillo4@gmail.com</t>
  </si>
  <si>
    <t>MA DEL CARMEN PORTILLO</t>
  </si>
  <si>
    <t xml:space="preserve">PASEOS DEL MARQUES </t>
  </si>
  <si>
    <t>EL MARQUES</t>
  </si>
  <si>
    <t>FALTAS DESDE EL 01 DE FEBRERO</t>
  </si>
  <si>
    <t>YESSICA CASTILLO PORTILLO</t>
  </si>
  <si>
    <t>RHO+</t>
  </si>
  <si>
    <t>BALDERAS</t>
  </si>
  <si>
    <t>ALEXANDER</t>
  </si>
  <si>
    <t>BALDERAS RIVERA ALEXANDER</t>
  </si>
  <si>
    <t>BARA950323HDFLVL00</t>
  </si>
  <si>
    <t>BARA950323TT8</t>
  </si>
  <si>
    <t>ESPIGUERO 156 INT 8 D, CIMA SERENA, CP 45685, EL SALTO, JALISCO.</t>
  </si>
  <si>
    <t>012320029936086546</t>
  </si>
  <si>
    <t>alexanderrivera0325@gmail.com</t>
  </si>
  <si>
    <t>SELENE ROXANA DURAN TERAN</t>
  </si>
  <si>
    <t>REFORMA</t>
  </si>
  <si>
    <t>YECUATLA</t>
  </si>
  <si>
    <t>VERACRUZ DE IGNACIO DE LA LLAVE</t>
  </si>
  <si>
    <t>INICIA SU NEGOCIO PROPIO Y CUENTA CON PROBLEMAS PERSONALES</t>
  </si>
  <si>
    <t>JALOMO</t>
  </si>
  <si>
    <t>PEDRO ANTONIO</t>
  </si>
  <si>
    <t>GARCIA JALOMO PEDRO ANTONIO</t>
  </si>
  <si>
    <t>GAJP971009HJCRLD04</t>
  </si>
  <si>
    <t>GAJP971009AH4</t>
  </si>
  <si>
    <t>ZAMARAIM #185, EL JORDAN, CP.0 , PUENTE GRANDE, JALISCO.</t>
  </si>
  <si>
    <t>012180015218993404</t>
  </si>
  <si>
    <t>pedroak463@gmail.com</t>
  </si>
  <si>
    <t>ANDREA GUADALUPE RODRIGUEZ DEL TORO</t>
  </si>
  <si>
    <t>PSE DE LA AZUCENA</t>
  </si>
  <si>
    <t>SE CAMBIA DE TRABAJO MAS COMENTA QUE SE REQUIERE MEJOR COMUNICACIÓN EN EL CENTRO DE TRABAJO</t>
  </si>
  <si>
    <t>ANDREA GUADALUPE RODRIGUEZ</t>
  </si>
  <si>
    <t>04008601876</t>
  </si>
  <si>
    <t>GARAVITO</t>
  </si>
  <si>
    <t>LOZANO</t>
  </si>
  <si>
    <t>HUGO</t>
  </si>
  <si>
    <t>GARAVITO LOZANO HUGO</t>
  </si>
  <si>
    <t>GALH860512HJCRZG05</t>
  </si>
  <si>
    <t>GALH860512U64</t>
  </si>
  <si>
    <t xml:space="preserve"> ADOLFO LOPEZ MATEOS #1680, COL. SANTA LUCIA, CP 45200, ZAPOPAN, JALISCO</t>
  </si>
  <si>
    <t>0470012289</t>
  </si>
  <si>
    <t>012320004700122897</t>
  </si>
  <si>
    <t>hgalonegocios@gmail.com</t>
  </si>
  <si>
    <t>NATALIA LOPEZ MARTINEZ</t>
  </si>
  <si>
    <t>AV DR ANGEL LEAÑO</t>
  </si>
  <si>
    <t>ZAPOPAN</t>
  </si>
  <si>
    <t>BAJO RENDIMIENTO, NO ESTA CUMPLIENDO CON LAS METAS ESTABLECIDAS</t>
  </si>
  <si>
    <t>CHAVEZ</t>
  </si>
  <si>
    <t xml:space="preserve">JOSE MANUEL </t>
  </si>
  <si>
    <t xml:space="preserve">QUEZADA CHAVEZ JOSE MANUEL </t>
  </si>
  <si>
    <t>QUCM981121HJCZHN05</t>
  </si>
  <si>
    <t>QUCM9811212NA</t>
  </si>
  <si>
    <t>LOMA NEVADA #60, LOMA VERDE, CP 45694, SAN MARTIN DE LAS FLORES, JALISCO</t>
  </si>
  <si>
    <t>012580015022759816</t>
  </si>
  <si>
    <t>josequezadachavez23@gmail.com</t>
  </si>
  <si>
    <t>CARLOS QUEZADA NEGRETE</t>
  </si>
  <si>
    <t>LOMA NEVADA</t>
  </si>
  <si>
    <t>FALTAS DESDE EL 03 DE FEBRERO DE 2025</t>
  </si>
  <si>
    <t>CARLOS ISAIAS QUEZADA CHAVEZ</t>
  </si>
  <si>
    <t>MELGAREJO</t>
  </si>
  <si>
    <t>HERRERA</t>
  </si>
  <si>
    <t>GUSTAVO</t>
  </si>
  <si>
    <t>MELGAREJO HERRERA GUSTAVO</t>
  </si>
  <si>
    <t>MEHG900315HVZLRS00</t>
  </si>
  <si>
    <t>MEHG900315EXA</t>
  </si>
  <si>
    <t>AV CAMPO BELLO # 588 INT A, CAMPO BELLO, CP. 45685, EL SALTO, JALISCO.</t>
  </si>
  <si>
    <t>HSBC</t>
  </si>
  <si>
    <t>021320065545353987</t>
  </si>
  <si>
    <t>gusherrera1590@gmail.com</t>
  </si>
  <si>
    <t>MARISOL RUIZ REYES</t>
  </si>
  <si>
    <t>EDISON NTE</t>
  </si>
  <si>
    <t>RENUNCIA VOLUNATARIA</t>
  </si>
  <si>
    <t>NO LE GUSTO EL TRABAJO, COMENTA QUE NO SE DAN BIEN LAS INDICACIONES Y SE CAMBIA DE TRABAJO</t>
  </si>
  <si>
    <t xml:space="preserve">GUERRERO </t>
  </si>
  <si>
    <t>JOSE REYES</t>
  </si>
  <si>
    <t>GUERRERO  HERNANDEZ JOSE REYES</t>
  </si>
  <si>
    <t>GUHR010916HQTRRYA5</t>
  </si>
  <si>
    <t>GUHR0109161J9</t>
  </si>
  <si>
    <t>SIERRA DE LAS CRUCES PONIENTE 31-51, FRACCIONAMIENTO HACIENDA DE LA CRUZ, CP 76249, EL MARQUES, QUERÉTARO</t>
  </si>
  <si>
    <t>ARMANDO OCHOA</t>
  </si>
  <si>
    <t>012680015370460566</t>
  </si>
  <si>
    <t>ji456324h@gmail.com</t>
  </si>
  <si>
    <t>MARIA LETICIA HERNANDEZ</t>
  </si>
  <si>
    <t>SIERRA DE LAS CRUCES</t>
  </si>
  <si>
    <t>FALTAS DESDE EL 10 DE FEBRERO</t>
  </si>
  <si>
    <t>04139327441</t>
  </si>
  <si>
    <t>MONTOYA</t>
  </si>
  <si>
    <t>JESUS ALBERTO</t>
  </si>
  <si>
    <t>MONTOYA MENDEZ JESUS ALBERTO</t>
  </si>
  <si>
    <t>MOMJ930719HMNNNS07</t>
  </si>
  <si>
    <t>MOMJ930719NZ6</t>
  </si>
  <si>
    <t>YARROW 39-B, COL. LAS LILAS, CP. 45680, LA ALCANTARILLA , JALISCO</t>
  </si>
  <si>
    <t>012513015698709283</t>
  </si>
  <si>
    <t>jesusalbertomontoya@hotmail.com</t>
  </si>
  <si>
    <t>ANDREA KARINA MANZANO MINJAREZ</t>
  </si>
  <si>
    <t>CALLE PRINCIPAL</t>
  </si>
  <si>
    <t>PENJAMO</t>
  </si>
  <si>
    <t>GUANAJUATO</t>
  </si>
  <si>
    <t>El empleado presenta más de 4 faltas en el mes debido a problemas personales. Renuncia ya que en otro lado le ofrece transporte redondo y servicio de comedor</t>
  </si>
  <si>
    <t>04988265916</t>
  </si>
  <si>
    <t>ASCENCIO</t>
  </si>
  <si>
    <t>RICO</t>
  </si>
  <si>
    <t>ASCENCIO RICO JOSE TRINIDAD</t>
  </si>
  <si>
    <t>AERT831129HJCSCR01</t>
  </si>
  <si>
    <t>AERT8311292X0</t>
  </si>
  <si>
    <t>GIRASOLES 514 INT B, LA AZUCENA, CP 45680, EL SALTO, JALISCO</t>
  </si>
  <si>
    <t>012320015539739835</t>
  </si>
  <si>
    <t>josetrinidadascencio31@gmail.com</t>
  </si>
  <si>
    <t>ROSA RAMIREZ CASTORENA</t>
  </si>
  <si>
    <t>AV DE LA SOLIDARIDAD IBEROAMERICANA</t>
  </si>
  <si>
    <t>FALTO Y AL NO RECIBIR PAGO EN LA SEMANA, PREFIRIO RENUNCIAR</t>
  </si>
  <si>
    <t xml:space="preserve">SUASTEGUI </t>
  </si>
  <si>
    <t>PABLO</t>
  </si>
  <si>
    <t>SUASTEGUI  VARGAS  PABLO</t>
  </si>
  <si>
    <t>SUVP990716HGRSRB09</t>
  </si>
  <si>
    <t>SUVP9907161E1</t>
  </si>
  <si>
    <t xml:space="preserve">CORDILLERO DE LOS PIRINEOS 426 INT C, LOMAS DEL MIRADOR, CP 45645, TLAJOMULCO DE ZUÑIGA, JALISCO </t>
  </si>
  <si>
    <t>012320015012451504</t>
  </si>
  <si>
    <t>pv641825@gmail.com</t>
  </si>
  <si>
    <t>JUANA VARGAS VITAL</t>
  </si>
  <si>
    <t>CORDILLERA DE LOS PIRINEOS</t>
  </si>
  <si>
    <t xml:space="preserve">F </t>
  </si>
  <si>
    <t>FALTAS DESDE EL 1 DE MARZO</t>
  </si>
  <si>
    <t>ISABEL RAMOS PARRA</t>
  </si>
  <si>
    <t>PADRASTRO</t>
  </si>
  <si>
    <t>ALVAREZ</t>
  </si>
  <si>
    <t>ACEVEDO</t>
  </si>
  <si>
    <t>JUAN ANDRES</t>
  </si>
  <si>
    <t>ALVAREZ ACEVEDO JUAN ANDRES</t>
  </si>
  <si>
    <t>AAAJ990829HQTLCN06</t>
  </si>
  <si>
    <t>AAAJ990829NYA</t>
  </si>
  <si>
    <t>VALLE DE MPOMPANI 683-61, VALLE DE SANTIAGO, CP 76116, SANTIAGO DE QUERÉTARO, QUERETARO</t>
  </si>
  <si>
    <t>012180015567994293</t>
  </si>
  <si>
    <t>mexicocf370@gmail.com</t>
  </si>
  <si>
    <t>ANA ALURA ACEVEDO</t>
  </si>
  <si>
    <t>CONOCIDO</t>
  </si>
  <si>
    <t>NUEVO LAREDO</t>
  </si>
  <si>
    <t>TAMAULIPAS</t>
  </si>
  <si>
    <t>FALTAS DESDE EL 24 DE FEBRERO</t>
  </si>
  <si>
    <t>LAURA ACEVEDO</t>
  </si>
  <si>
    <t xml:space="preserve">ROMUALDO </t>
  </si>
  <si>
    <t>GERARDO</t>
  </si>
  <si>
    <t>HERNANDEZ ROMUALDO  GERARDO</t>
  </si>
  <si>
    <t>HERG930924HGRRMR00</t>
  </si>
  <si>
    <t>HERG930924S39</t>
  </si>
  <si>
    <t>AV. CIMA SERENA #158 INT 1D, CIMA SERENA, CP. 45685, EL SALTO , JALISCO</t>
  </si>
  <si>
    <t>romuuuu0@gmail.com</t>
  </si>
  <si>
    <t xml:space="preserve">ANDRES HERNADNEZ ROMUALDO </t>
  </si>
  <si>
    <t xml:space="preserve">TAXCO DE ALARCON </t>
  </si>
  <si>
    <t>GUERRERO</t>
  </si>
  <si>
    <t>FALTAS DESDE EL 31 DE MARZO</t>
  </si>
  <si>
    <t>ANDRES HERNANDEZ ROMUALDO</t>
  </si>
  <si>
    <t>VAZQUEZ</t>
  </si>
  <si>
    <t>JORGE ISAAC</t>
  </si>
  <si>
    <t>VAZQUEZ PEREZ JORGE ISAAC</t>
  </si>
  <si>
    <t>VAPJ940603HCSZRR02</t>
  </si>
  <si>
    <t>VAPJ94060311A</t>
  </si>
  <si>
    <t>BARRIO LA PROVIDENCIA S/N, SALDARRIAGA, CP. 76240, EL MARQUES, QUERÉTARO</t>
  </si>
  <si>
    <t>012180015394022781</t>
  </si>
  <si>
    <t>seyelchakaperez@gmail.com</t>
  </si>
  <si>
    <t>WILLIAM VAZQUEZ PEREZ</t>
  </si>
  <si>
    <t>RUBEN JARAMILLO</t>
  </si>
  <si>
    <t>FALTAS DESDE EL 25 DE MARZO</t>
  </si>
  <si>
    <t>OCHOA GONZALEZ CARLOS EDUARDO</t>
  </si>
  <si>
    <t>OOGC961006HQTCNR08</t>
  </si>
  <si>
    <t>OOGC9610063F2</t>
  </si>
  <si>
    <t xml:space="preserve">CIRCON #307, PEÑUELAS, </t>
  </si>
  <si>
    <t>MARIA DULCE INEZ OCHOA GONZALEZ</t>
  </si>
  <si>
    <t>PROL. PINO SUAREZ</t>
  </si>
  <si>
    <t>El motivo es por que las instalaciones de la bodega están muy lejos y se le complica con costo de traslado y tiempo</t>
  </si>
  <si>
    <t>05209958148</t>
  </si>
  <si>
    <t>RAZO</t>
  </si>
  <si>
    <t>HINOJOSA</t>
  </si>
  <si>
    <t>BRANDOM JEREMY</t>
  </si>
  <si>
    <t>RAHB990714HJCZNR06</t>
  </si>
  <si>
    <t>RAHB9907143UA</t>
  </si>
  <si>
    <t>VICTORIANO HUERTA #610, INT E3, CAMPO BELLO, CP. 45685, EL SALTO, JALISCO</t>
  </si>
  <si>
    <t>012320015392456766</t>
  </si>
  <si>
    <t>razohinojosabrandonjeremi@gmail.com</t>
  </si>
  <si>
    <t>MARIA TERESA BALDERAS RAZO</t>
  </si>
  <si>
    <t>VICTORIANO HUERTA</t>
  </si>
  <si>
    <t>presenta más de 4 faltas en el mes debido a problemas personales. Renuncia ya que además dice que el polvo le está afectando la vista y requiere horario fijo</t>
  </si>
  <si>
    <t>MARGARITO</t>
  </si>
  <si>
    <t>JESUS MOISES</t>
  </si>
  <si>
    <t>GONZALEZ MARGARITO JESUS MOISES</t>
  </si>
  <si>
    <t>GOMJ951115HJCNRS06</t>
  </si>
  <si>
    <t>GOMJ951115QF0</t>
  </si>
  <si>
    <t>CEIBA %50, INT C. CAMPO BELLO, CP 45685, EL SALTO, JALISCO</t>
  </si>
  <si>
    <t>012180015942786369</t>
  </si>
  <si>
    <t>jgonzalezmargarito59@gmail.com</t>
  </si>
  <si>
    <t>GENESIS GUADALUPE HERNANDEZ LOPEZ</t>
  </si>
  <si>
    <t>ALDAMA</t>
  </si>
  <si>
    <t xml:space="preserve">SEMANAL </t>
  </si>
  <si>
    <t>RAMIREZ</t>
  </si>
  <si>
    <t>GUZMAN</t>
  </si>
  <si>
    <t>JOVANY ALEJANDRO</t>
  </si>
  <si>
    <t>RAMIREZ GUZMAN JOVANY ALEJANDRO</t>
  </si>
  <si>
    <t>RAGJ000827HJCMZVA3</t>
  </si>
  <si>
    <t>RAGJ000827PH8</t>
  </si>
  <si>
    <t xml:space="preserve">SOLTERO </t>
  </si>
  <si>
    <t>TABACINES #617 INT A, COL. LA AZUCENA, CP 45680, EL SALTO, JALISCO</t>
  </si>
  <si>
    <t>012320015122052903</t>
  </si>
  <si>
    <t>azielmd27@outlook.com</t>
  </si>
  <si>
    <t>CARLOS ARMANDO RAMIREZ GUZMAN</t>
  </si>
  <si>
    <t xml:space="preserve">TABACHINES </t>
  </si>
  <si>
    <t xml:space="preserve">EL SALTO </t>
  </si>
  <si>
    <t>BLANCA ESTELA GUZMAN GONZALEZ</t>
  </si>
  <si>
    <t>05169686317</t>
  </si>
  <si>
    <t xml:space="preserve">VEGA </t>
  </si>
  <si>
    <t>PRECIADO</t>
  </si>
  <si>
    <t>VEGA  PRECIADO JUAN CARLOS</t>
  </si>
  <si>
    <t>VEPJ960706HJCGRN08</t>
  </si>
  <si>
    <t>VEPJ960706GC4</t>
  </si>
  <si>
    <t>AGUSTIN MELGAR #5, POTRERO NUEVO, CP 45680, EL SALTO, JALISCO</t>
  </si>
  <si>
    <t>012320015284638919</t>
  </si>
  <si>
    <t>vegapreciadojuancarlos@gmail.com</t>
  </si>
  <si>
    <t>ZAIRA NOEMI MEJIA CARLOS</t>
  </si>
  <si>
    <t>AGUSTIN MELGAR</t>
  </si>
  <si>
    <t xml:space="preserve">CHRISTIAN VEGA PRECIADO </t>
  </si>
  <si>
    <t>04038656999</t>
  </si>
  <si>
    <t xml:space="preserve">DIAZ </t>
  </si>
  <si>
    <t>CORONADO</t>
  </si>
  <si>
    <t>JOSE ANTONIO</t>
  </si>
  <si>
    <t>DIAZ  CORONADO JOSE ANTONIO</t>
  </si>
  <si>
    <t>DICA861114HJCZRN07</t>
  </si>
  <si>
    <t>DICA861114BU3</t>
  </si>
  <si>
    <t>FRANCISCO VILLA #4049, CAMPOBELLO, CP. 45685, SAN JOSE DEL CASTILLO, JALISCO</t>
  </si>
  <si>
    <t>012320015421586316</t>
  </si>
  <si>
    <t>tonnydiaz2586@gmail.com</t>
  </si>
  <si>
    <t>MITZI CORINA LOPEZ GONZALEZ</t>
  </si>
  <si>
    <t>HACIENDA LA COLMENA</t>
  </si>
  <si>
    <t>no toleró la calor y el uso de la mascarilla</t>
  </si>
  <si>
    <t>GLORIA MARIA DIAZ CORONADO</t>
  </si>
  <si>
    <t>SI/ AMPICILINA</t>
  </si>
  <si>
    <t>CARDENAS</t>
  </si>
  <si>
    <t>JHOAN MANUEL</t>
  </si>
  <si>
    <t>CARDENAS MARTINEZ JHOAN MANUEL</t>
  </si>
  <si>
    <t>CAMJ870623HSPRRH03</t>
  </si>
  <si>
    <t>CAMJ870623IF1</t>
  </si>
  <si>
    <t>PROLONGACION PONVIANO ARRIAGA #280, LOMAS DEL MEZQUITAL, C.P. 78130, SAN LUIS POTOSI, SAN LUIS POTOSI</t>
  </si>
  <si>
    <t>INGENIERIA</t>
  </si>
  <si>
    <t>COORDINADOR DE MANTENIMIENTO</t>
  </si>
  <si>
    <t>CARRETERA  MATEHUALA KM. 7 # 17200 SOLEDAD DE GRACIANO SÁNCHEZ S L P  CP 78430 MÉXICO</t>
  </si>
  <si>
    <t>012 180 01520807719 4</t>
  </si>
  <si>
    <t>444 532 7534</t>
  </si>
  <si>
    <t>jhoan.cardenas23@gmail.com</t>
  </si>
  <si>
    <t>GUADALUPE DE JESUS ESCAMILLA CASTILLO</t>
  </si>
  <si>
    <t>ALEMANIA</t>
  </si>
  <si>
    <t>BENITO JUAREZ</t>
  </si>
  <si>
    <t>03630</t>
  </si>
  <si>
    <t>444 534 4308</t>
  </si>
  <si>
    <t>SANTIAGO ALBERTO</t>
  </si>
  <si>
    <t>ORTIZ GARCIA SANTIAGO ALBERTO</t>
  </si>
  <si>
    <t>OIGS840116HSPRRN08</t>
  </si>
  <si>
    <t>OIGS840116564</t>
  </si>
  <si>
    <t>A LOPEZ MATEOS #130, SAN FRANCISCO, CP 78435, SAN LUIS POTOSI, SLP</t>
  </si>
  <si>
    <t>BACHILLERATO TECNOLÓGICO</t>
  </si>
  <si>
    <t>TRAMTO</t>
  </si>
  <si>
    <t>014700569003437193</t>
  </si>
  <si>
    <t>ortixalberto378@gmail.com</t>
  </si>
  <si>
    <t>LUCIA GARCIA PADIERNA</t>
  </si>
  <si>
    <t>GEMA</t>
  </si>
  <si>
    <t>O-</t>
  </si>
  <si>
    <t>GAYTAN</t>
  </si>
  <si>
    <t>MARTIN DE JESUS</t>
  </si>
  <si>
    <t>ORTIZ GAYTAN MARTIN DE JESUS</t>
  </si>
  <si>
    <t>OIGM000422HSPRYRA7</t>
  </si>
  <si>
    <t>OIGM000422337</t>
  </si>
  <si>
    <t>3A PRIVADA AMAPOLAS #100, LOS SALAZARES, CP 78115, SAN LUIS POTOSI, SLP</t>
  </si>
  <si>
    <t>012180015349578413</t>
  </si>
  <si>
    <t>gaytanjesus788@gmail.com</t>
  </si>
  <si>
    <t>ROSA ELENA GAYTAN HERNANDEZ</t>
  </si>
  <si>
    <t>UNIVERSAL</t>
  </si>
  <si>
    <t>Robo de material de taller (fue sorprendido por vigilancia tratando de sustraer herramienta)</t>
  </si>
  <si>
    <t>ABRAHAM</t>
  </si>
  <si>
    <t>HERNANDEZ GONZALEZ ABRAHAM</t>
  </si>
  <si>
    <t>HEGA900818HVZRNB03</t>
  </si>
  <si>
    <t>HEGA900818MH4</t>
  </si>
  <si>
    <t>CALLE EUCALIPTO #154 B  SAN GABRIEL Y ARBOLEDAS LA VIRGEN, C.P. 78430 SOLEDAD DE GRACIANO SANCHEZ, S.L.P.</t>
  </si>
  <si>
    <t>INGENIERIA ELECTROMECANICA</t>
  </si>
  <si>
    <t>GERENTE DE MANTENIMIENTO</t>
  </si>
  <si>
    <t>MATEO HERNANDEZ</t>
  </si>
  <si>
    <t>012180015710036746</t>
  </si>
  <si>
    <t>22 8593 7602</t>
  </si>
  <si>
    <t>abhzgz@gmail.com</t>
  </si>
  <si>
    <t>MARIA FERNANDEA CARDENAS HERNANDEZ</t>
  </si>
  <si>
    <t>CAHF9008141M4</t>
  </si>
  <si>
    <t>NEXTENGO</t>
  </si>
  <si>
    <t>AZCAPOTZALCO</t>
  </si>
  <si>
    <t>´02770</t>
  </si>
  <si>
    <t>CONFIRMADO EXP</t>
  </si>
  <si>
    <t>22 8180 2220</t>
  </si>
  <si>
    <t xml:space="preserve">RANGEL </t>
  </si>
  <si>
    <t>OMAR</t>
  </si>
  <si>
    <t>RANGEL  GALVAN OMAR</t>
  </si>
  <si>
    <t>RAGO930119HQTNLM08</t>
  </si>
  <si>
    <t>RAGO930119FS1</t>
  </si>
  <si>
    <t>EJIDO GUADALUPE LA VENTA 61, SAN MIGUEL AMAZCALA, CP 76277, LA GRIEGA , QRO</t>
  </si>
  <si>
    <t>012680015131794303</t>
  </si>
  <si>
    <t>pg125063@gmail.com</t>
  </si>
  <si>
    <t>MARIA TERESA VAZQUEZ ELIAS</t>
  </si>
  <si>
    <t>MAGNOLIAS</t>
  </si>
  <si>
    <t>La relación laboral se termina por faltantes de material y por daños en la unidad asignada debido a manejo negligente, lo que ha causado una pérdida de confianza.</t>
  </si>
  <si>
    <t>CONTROLADORA JAMA, S.C.</t>
  </si>
  <si>
    <t>ANA YANCY</t>
  </si>
  <si>
    <t>FLORES TORRES ANA YANCY</t>
  </si>
  <si>
    <t>FOTA890702MSPLRN00</t>
  </si>
  <si>
    <t>FOTA8907023ZA</t>
  </si>
  <si>
    <t>DAMIAN CARMONA #8, LOS MORENOS, C.P.78480, LOS MORENOS, SAN LUIS POTOSI</t>
  </si>
  <si>
    <t>GENERALISTA RH (R&amp;L)</t>
  </si>
  <si>
    <t>SUSANA MARTINEZ</t>
  </si>
  <si>
    <t>SIERRA VISTA # 1305  LOMAS DEL TECNOLOGICO  CP 78395 SAN LUIS POTOSI, SLP</t>
  </si>
  <si>
    <t>012 700 01486420125 1</t>
  </si>
  <si>
    <t>444 549 1845</t>
  </si>
  <si>
    <t>ana_23_y@hotmail.com</t>
  </si>
  <si>
    <t>LUIS ALFREDO LLANAS ORTIZ</t>
  </si>
  <si>
    <t>MONTEVIDEO</t>
  </si>
  <si>
    <t>CAMBIO DE EMPRESA CON MEJOR OFERTA</t>
  </si>
  <si>
    <t>444 160 5747</t>
  </si>
  <si>
    <t>AB+</t>
  </si>
  <si>
    <t xml:space="preserve">DEL ROSAL </t>
  </si>
  <si>
    <t>RUIZ</t>
  </si>
  <si>
    <t>BRAULIO ANDRÉS</t>
  </si>
  <si>
    <t>DEL ROSAL  RUIZ BRAULIO ANDRÉS</t>
  </si>
  <si>
    <t>RORB8805015HVZSZR03</t>
  </si>
  <si>
    <t>RORB88050155K3</t>
  </si>
  <si>
    <t>CTO. VIÑEDO CASABLANCA #139, DORADA, CP. 78421, SAN LUIS POTOSI, SLP</t>
  </si>
  <si>
    <t>ABRAHAM GONALEZ</t>
  </si>
  <si>
    <t>012180015374300119</t>
  </si>
  <si>
    <t>badrr8800@gmail.com</t>
  </si>
  <si>
    <t>JUANA MARIA HERRERA CERINO</t>
  </si>
  <si>
    <t>MERCURIO</t>
  </si>
  <si>
    <t>CARRILLO</t>
  </si>
  <si>
    <t>BRAVO</t>
  </si>
  <si>
    <t>BRENDA BERENICE</t>
  </si>
  <si>
    <t>CARRILLO BRAVO BRENDA BERENICE</t>
  </si>
  <si>
    <t>CABB900313MSPRRR06</t>
  </si>
  <si>
    <t>CABB900313PT9</t>
  </si>
  <si>
    <t>HDA DE STO DOMINGO 142 A, CASI ESQ CAM DE CRUCES, CP: 78421, POZOS, SLP</t>
  </si>
  <si>
    <t>LICENCIATURA EN ADMINISTRACION</t>
  </si>
  <si>
    <t>ASISTENTE CREDITO Y COBRANZA</t>
  </si>
  <si>
    <t>RAUL ARREGUIN</t>
  </si>
  <si>
    <t>444 338 8691</t>
  </si>
  <si>
    <t>berenice_cb@yahoo.es</t>
  </si>
  <si>
    <t>MARIA PAZ BRAVO BRAVO</t>
  </si>
  <si>
    <t>BABP640124</t>
  </si>
  <si>
    <t>BETELGUEZE</t>
  </si>
  <si>
    <t>CAMBIO DE EMPLEO POR MEJOR OFERTA</t>
  </si>
  <si>
    <t>JAIME CARRILLO GARCIA</t>
  </si>
  <si>
    <t>444 381 8893</t>
  </si>
  <si>
    <t>20 de julio de 2025</t>
  </si>
  <si>
    <t xml:space="preserve">VENTURA </t>
  </si>
  <si>
    <t>ABEL ALEJANDRO</t>
  </si>
  <si>
    <t>VENTURA  VAZQUEZ ABEL ALEJANDRO</t>
  </si>
  <si>
    <t>VEVA920324HJCNZB00</t>
  </si>
  <si>
    <t>VEVA9203245E1</t>
  </si>
  <si>
    <t>El trabajador incurrió en una conducta inapropiada en su centro de trabajo. Ante esta situación, se le solicitó la realización de una prueba antidoping conforme a los protocolos internos de la empresa, a lo cual el trabajador se negó, manifestando que recientemente había consumido marihuana y que el resultado sería positivo. Asimismo, expresó su decisión de no someterse a la prueba y optar por firmar su renuncia voluntaria. Posteriormente, el trabajador adoptó una actitud intolerante y grosera, por lo que se levantó el acta correspondiente para dejar constancia de los hechos. Cabe señalar que el representante sindical ya ha sido debidamente informado sobre esta situación.</t>
  </si>
  <si>
    <t xml:space="preserve"> </t>
  </si>
  <si>
    <t>OBREGON</t>
  </si>
  <si>
    <t>ALMA GUADALUPE</t>
  </si>
  <si>
    <t>RAMIREZ OBREGON ALMA GUADALUPE</t>
  </si>
  <si>
    <t>RAOA880923MGTMBL09</t>
  </si>
  <si>
    <t>RAOA880923UE7</t>
  </si>
  <si>
    <t>CASADA</t>
  </si>
  <si>
    <t>CTO PUERTA DEL SOL 401 CONDOMINIO CASTILLA 42 int.15, FRACC. URBIVILLA DEL REAL, C.P. 76116, QUERETARO, QUERETARO</t>
  </si>
  <si>
    <t>ASISTENTE DE VENTAS Y FACTURACIÓN</t>
  </si>
  <si>
    <t>012 180 01523240532 1</t>
  </si>
  <si>
    <t>477 266 1055</t>
  </si>
  <si>
    <t>ldaalma_obregon@hotmail.com</t>
  </si>
  <si>
    <t>MARCO ANTONIO SERVIN TOVAR</t>
  </si>
  <si>
    <t>PONIENTE 146</t>
  </si>
  <si>
    <t>02300</t>
  </si>
  <si>
    <t xml:space="preserve">BAJA </t>
  </si>
  <si>
    <t>CAMBIO DE EMPLEO Y LE QUEDA LEJOS DE CASA</t>
  </si>
  <si>
    <t>442 170 3412</t>
  </si>
  <si>
    <t>ORH+</t>
  </si>
  <si>
    <t>POLEN/POLVO/ASPIRINA</t>
  </si>
  <si>
    <t>CASAS</t>
  </si>
  <si>
    <t>FLORES CASAS ALVARO</t>
  </si>
  <si>
    <t>FOCA900802HSPLSL02</t>
  </si>
  <si>
    <t>FOCA900802KQ1</t>
  </si>
  <si>
    <t>PRIV. QUINTA FLORES CALLE 2 #136, QUINTAS DE LA HACIENDA, CP. 78438, SOLEDAD DE GRACIANO SANCHEZ , SLP</t>
  </si>
  <si>
    <t>012580015305959524</t>
  </si>
  <si>
    <t>alvfloca90@gmail.com</t>
  </si>
  <si>
    <t xml:space="preserve">GABRIELA NOHEMI MARTINEZ LOREDO </t>
  </si>
  <si>
    <t>JUAN SALVADOR AGRAZ</t>
  </si>
  <si>
    <t>CUAJIMALPA DE MORELOS</t>
  </si>
  <si>
    <t>05109</t>
  </si>
  <si>
    <t>FALTAS DESDE EL 1 DE MAYO</t>
  </si>
  <si>
    <t>GABRIELA NOHEMI MARTINEZ LOREDO</t>
  </si>
  <si>
    <t xml:space="preserve">VERASTEGUI </t>
  </si>
  <si>
    <t>URIEL OSVALDO</t>
  </si>
  <si>
    <t>VERASTEGUI  RAMIREZ URIEL OSVALDO</t>
  </si>
  <si>
    <t>VERU040107HSPRMRA0</t>
  </si>
  <si>
    <t>VERU040107TP9</t>
  </si>
  <si>
    <t>C AGUSTIN MELGAR #1705, NIÑOS HEROES, CP 78340, SAN LUIS POTOSI, SLP</t>
  </si>
  <si>
    <t>014700569073776910</t>
  </si>
  <si>
    <t>urielverástegui12@gmail.com</t>
  </si>
  <si>
    <t>GABRIELA RAMIREZ COLLAZO</t>
  </si>
  <si>
    <t>D</t>
  </si>
  <si>
    <t>DD</t>
  </si>
  <si>
    <t>ARMADILLO DE LOS INFANTE</t>
  </si>
  <si>
    <t>PROBLEMAS CON COMPAÑEROS</t>
  </si>
  <si>
    <t>08149404330</t>
  </si>
  <si>
    <t>DE LA TORRE</t>
  </si>
  <si>
    <t>JOSE ALFREDO</t>
  </si>
  <si>
    <t>DE LA TORRE HERNANDEZ JOSE ALFREDO</t>
  </si>
  <si>
    <t>TOHA940707HJCRRL09</t>
  </si>
  <si>
    <t>TOHA94077C5</t>
  </si>
  <si>
    <t>ANDADOR DE GALLO #25 A, INFONAVIT CASTILLO, C.P. 45686, INFONAVIT CASTILLO, JALISCO</t>
  </si>
  <si>
    <t>NO TIENE ESTUDIOS</t>
  </si>
  <si>
    <t>MONTACARGUISTA</t>
  </si>
  <si>
    <t>012 180 01567652247 5</t>
  </si>
  <si>
    <t>332 426 5438</t>
  </si>
  <si>
    <t>alfredo.07.07.hdz@gmail.com</t>
  </si>
  <si>
    <t>VANESA GONZALEZ SANCHEZ</t>
  </si>
  <si>
    <t>APOYO JURIDICO FUE BAJA POR FALTAS</t>
  </si>
  <si>
    <t>SUAREZ</t>
  </si>
  <si>
    <t>PONCE</t>
  </si>
  <si>
    <t>RICARDO</t>
  </si>
  <si>
    <t>SUAREZ PONCE RICARDO</t>
  </si>
  <si>
    <t>SUPR990302HJCRNC02</t>
  </si>
  <si>
    <t>SUPR990302J19</t>
  </si>
  <si>
    <t>TEPEYAC #67, EL VERDE, C.P. 45659, TLAQUEPAQUE, JALISCO</t>
  </si>
  <si>
    <t>012 180 01521690899 6</t>
  </si>
  <si>
    <t>332 549 4316</t>
  </si>
  <si>
    <t>sdokponce24@gmail.com</t>
  </si>
  <si>
    <t>ANAHI CASTRO SEPULVEDA</t>
  </si>
  <si>
    <t>SAN JUAN</t>
  </si>
  <si>
    <t>NO DESEA CONTINUAR COMO DELEGADO DEL SINDIATO Y FALTAS</t>
  </si>
  <si>
    <t>332 349 3348</t>
  </si>
  <si>
    <t>04018521395</t>
  </si>
  <si>
    <t xml:space="preserve">RUBIO </t>
  </si>
  <si>
    <t>JOSE ANACLETO</t>
  </si>
  <si>
    <t>RUBIO  PEREZ JOSE ANACLETO</t>
  </si>
  <si>
    <t>RUPA850412HJCBRN07</t>
  </si>
  <si>
    <t>RUPA8504126X7</t>
  </si>
  <si>
    <t>NICOLAS BRAVO 113, SAN JOSE DEL 15, CP 45681, EL SALTO JALISCO</t>
  </si>
  <si>
    <t>012 180 01583330636</t>
  </si>
  <si>
    <t>chicoche8916@gmail.com</t>
  </si>
  <si>
    <t>VERONICA ALEJANDRA CRUZ GARCIA</t>
  </si>
  <si>
    <t>ALAMBIQUE</t>
  </si>
  <si>
    <t>PROBLEMAS DE SALUD DE SU HIJO</t>
  </si>
  <si>
    <t>EDSON JOVVANI RUBIO CRUZ</t>
  </si>
  <si>
    <t>HIJO</t>
  </si>
  <si>
    <t>04099401533</t>
  </si>
  <si>
    <t xml:space="preserve">MEDINA </t>
  </si>
  <si>
    <t>JUAREZ</t>
  </si>
  <si>
    <t>MARIO ALFONSO</t>
  </si>
  <si>
    <t>MEDINA  JUAREZ MARIO ALFONSO</t>
  </si>
  <si>
    <t>MEJM941003HJCDRR03</t>
  </si>
  <si>
    <t>MEJM941003B32</t>
  </si>
  <si>
    <t>DALILAS #14, JARDINES DEL CASTILLO, CP. 45681, EL SALTO, JALISCO</t>
  </si>
  <si>
    <t>012580015715901544</t>
  </si>
  <si>
    <t>liamnayeli0813@gmail.com</t>
  </si>
  <si>
    <t>BERENICE NAYELI RAMIREZ RODRIGUEZ</t>
  </si>
  <si>
    <t>AMAPOLA</t>
  </si>
  <si>
    <t>PROBLEMAS PERSONAES CON SU ESPOSA</t>
  </si>
  <si>
    <t>KARINA MEDINA JUAREZ</t>
  </si>
  <si>
    <t>DE LA CRUZ</t>
  </si>
  <si>
    <t>RAYMUNDO PORFIRIO</t>
  </si>
  <si>
    <t>CASTILLO DE LA CRUZ RAYMUNDO PORFIRIO</t>
  </si>
  <si>
    <t>CACR8280808HDFSRY05</t>
  </si>
  <si>
    <t>CACR820808QU2</t>
  </si>
  <si>
    <t>EBANO NORTE 229, ALBEREDA , CP. 45694, LA PURISIMA, JALISCO</t>
  </si>
  <si>
    <t>012320015728072358</t>
  </si>
  <si>
    <t>castilloray395@gmail.com</t>
  </si>
  <si>
    <t>IRENE NATALIA CASTILLO DE LA CRUZ</t>
  </si>
  <si>
    <t>PEDRO MORENO</t>
  </si>
  <si>
    <t>FALTAS DESDE EL 12 DE MAYO</t>
  </si>
  <si>
    <t>MARIA ELENA DE LA CRUZ TORES</t>
  </si>
  <si>
    <t>CIPROFLOXACINO</t>
  </si>
  <si>
    <t>BLANCA ESTELA</t>
  </si>
  <si>
    <t>BALDERAS MARTINEZ BLANCA ESTELA</t>
  </si>
  <si>
    <t>BAMB901030MSPLRL02</t>
  </si>
  <si>
    <t>BAMB9010304Y3</t>
  </si>
  <si>
    <t>PLATANARES #742 M LUNA CJON DEL MOLINO A, CD FERNANDEZ</t>
  </si>
  <si>
    <t>ASISTENTE DE VENTAS</t>
  </si>
  <si>
    <t>RIO VERDE, S.L.P.</t>
  </si>
  <si>
    <t>012 1800 1566997397 6</t>
  </si>
  <si>
    <t>444 445 5568</t>
  </si>
  <si>
    <t>blank_balderas@hotmail.es</t>
  </si>
  <si>
    <t>CARLOS OCTAVIO BALDERAS MARTINEZ</t>
  </si>
  <si>
    <t>BAMC</t>
  </si>
  <si>
    <t>PORFIRIO DIAZ</t>
  </si>
  <si>
    <t>#37 B</t>
  </si>
  <si>
    <t>CIUDAD FERNANDEZ</t>
  </si>
  <si>
    <t>un cambio de empleo en el cual se le ha ofrecido un salario más competitivo</t>
  </si>
  <si>
    <t>487 111 2322</t>
  </si>
  <si>
    <t>CAMPOS</t>
  </si>
  <si>
    <t>ZUÑIGA</t>
  </si>
  <si>
    <t>KEVIN LEONARDO</t>
  </si>
  <si>
    <t>CAMPOS ZUÑIGA KEVIN LEONARDO</t>
  </si>
  <si>
    <t>CAZK991123HNLMXV00</t>
  </si>
  <si>
    <t>CAZK991123RQ1</t>
  </si>
  <si>
    <t>PASEO DEL PARQUE #409, INFONAVIT MONTERREAL, GENERAL ESCOBEDO NUEVO LEON, C.P.66056</t>
  </si>
  <si>
    <t>JOSE ANGEL AMAYA</t>
  </si>
  <si>
    <t>012 180 01588857362 3</t>
  </si>
  <si>
    <t>813 118 7124</t>
  </si>
  <si>
    <t>hdoors12@gmail.com</t>
  </si>
  <si>
    <t>BRENDA YULETH GALLEGOS DELGADO</t>
  </si>
  <si>
    <t>GADB980918MTSLLR05</t>
  </si>
  <si>
    <t>PASEO DEL PARQUE</t>
  </si>
  <si>
    <t>GENERAL ESCOBEDO</t>
  </si>
  <si>
    <t>813 263 2079</t>
  </si>
  <si>
    <t xml:space="preserve">VILLANUEVA </t>
  </si>
  <si>
    <t>CAZARES</t>
  </si>
  <si>
    <t>JOSE GUADALUPE</t>
  </si>
  <si>
    <t>VILLANUEVA  CAZARES JOSE GUADALUPE</t>
  </si>
  <si>
    <t>VICG901216HJCLZD03</t>
  </si>
  <si>
    <t>VICG901216UZ3</t>
  </si>
  <si>
    <t>ARROYO TEUREL 347 A, FRACC. LOS RUISEÑORES, CP. 45350, TALA , JALISCO</t>
  </si>
  <si>
    <t>CHOFER  6</t>
  </si>
  <si>
    <t>012320015421518847</t>
  </si>
  <si>
    <t>josevillanueva16c@gmail.com</t>
  </si>
  <si>
    <t>KAREN CISNEROS RODRIGUEZ</t>
  </si>
  <si>
    <t>SE HABLO CON EL Y SIGUIO FALTANDO Y DECIDIO MEJOR RENUNCIAR</t>
  </si>
  <si>
    <t>ANA KAREN CISNEROS RODRIGUEZ</t>
  </si>
  <si>
    <t>02220404020</t>
  </si>
  <si>
    <t>MARQUEZ</t>
  </si>
  <si>
    <t>BRAYAN RODRIGO</t>
  </si>
  <si>
    <t>MARQUEZ PEREZ BRAYAN RODRIGO</t>
  </si>
  <si>
    <t>MAPB040720HJCRRR47</t>
  </si>
  <si>
    <t>MAPB0407203PA</t>
  </si>
  <si>
    <t>ARROYO TEUREL #379, FRACC. LOS RUISEÑORES, CP 45350, TALA, JALISCO</t>
  </si>
  <si>
    <t>012180015008879110</t>
  </si>
  <si>
    <t>jazielchavezmarquez@gmail.com</t>
  </si>
  <si>
    <t>JUANA ISABEL CHAVEZ PUERCO</t>
  </si>
  <si>
    <t>EXPAREJA</t>
  </si>
  <si>
    <t xml:space="preserve">BOULEVARD PUERTO VALLARTA </t>
  </si>
  <si>
    <t>20B</t>
  </si>
  <si>
    <t>PROBLEMAS FAMILIARES Y CAMBIO DE CIUDAD</t>
  </si>
  <si>
    <t>BERTHA ELIGIA PEREZ RAMIREZ</t>
  </si>
  <si>
    <t>41068629934</t>
  </si>
  <si>
    <t>41876711031</t>
  </si>
  <si>
    <t>41057806709</t>
  </si>
  <si>
    <t>08149608120</t>
  </si>
  <si>
    <t>04896453802</t>
  </si>
  <si>
    <t>04018470312</t>
  </si>
  <si>
    <t>03209982564</t>
  </si>
  <si>
    <t>04139584652</t>
  </si>
  <si>
    <t>04139513503</t>
  </si>
  <si>
    <t>04099240220</t>
  </si>
  <si>
    <t>04008202105</t>
  </si>
  <si>
    <t>04018437782</t>
  </si>
  <si>
    <t>05158570639</t>
  </si>
  <si>
    <t>09210423019</t>
  </si>
  <si>
    <t>41038619676</t>
  </si>
  <si>
    <t>41119233041</t>
  </si>
  <si>
    <t>41987919960</t>
  </si>
  <si>
    <t>05158654151</t>
  </si>
  <si>
    <t>41119250136</t>
  </si>
  <si>
    <t>05200266236</t>
  </si>
  <si>
    <t>04079050623</t>
  </si>
  <si>
    <t>04998130779</t>
  </si>
  <si>
    <t>05179781827</t>
  </si>
  <si>
    <t>04089228011</t>
  </si>
  <si>
    <t>04078106574</t>
  </si>
  <si>
    <t>51139442720</t>
  </si>
  <si>
    <t>04129281228</t>
  </si>
  <si>
    <t>04876756125</t>
  </si>
  <si>
    <t>05179825681</t>
  </si>
  <si>
    <t>43907240360</t>
  </si>
  <si>
    <t>47988269784</t>
  </si>
  <si>
    <t>49967928646</t>
  </si>
  <si>
    <t>41018347454</t>
  </si>
  <si>
    <t>41058803523</t>
  </si>
  <si>
    <t>26169409955</t>
  </si>
  <si>
    <t>10139414188</t>
  </si>
  <si>
    <t>41997503846</t>
  </si>
  <si>
    <t>08169429423</t>
  </si>
  <si>
    <t>38160202925</t>
  </si>
  <si>
    <t>41987915372</t>
  </si>
  <si>
    <t>41876934344</t>
  </si>
  <si>
    <t>89826524558</t>
  </si>
  <si>
    <t>41138919323</t>
  </si>
  <si>
    <t>92967400752</t>
  </si>
  <si>
    <t>74169529760</t>
  </si>
  <si>
    <t>27169360073</t>
  </si>
  <si>
    <t>41068602048</t>
  </si>
  <si>
    <t>41119246621</t>
  </si>
  <si>
    <t>25159259842</t>
  </si>
  <si>
    <t>02228623100</t>
  </si>
  <si>
    <t>04058025604</t>
  </si>
  <si>
    <t>41967406400</t>
  </si>
  <si>
    <t>04038460251</t>
  </si>
  <si>
    <t>75967611510</t>
  </si>
  <si>
    <t>75109182636</t>
  </si>
  <si>
    <t>27159761439</t>
  </si>
  <si>
    <t>41088828888</t>
  </si>
  <si>
    <t>41056801297</t>
  </si>
  <si>
    <t>02169370091</t>
  </si>
  <si>
    <t>51129102102</t>
  </si>
  <si>
    <t>51018214927</t>
  </si>
  <si>
    <t>51068832420</t>
  </si>
  <si>
    <t>49947985542</t>
  </si>
  <si>
    <t>35149167062</t>
  </si>
  <si>
    <t>41129512194</t>
  </si>
  <si>
    <t>41078841701</t>
  </si>
  <si>
    <t>41078720509</t>
  </si>
  <si>
    <t>43977708809</t>
  </si>
  <si>
    <t>43856678933</t>
  </si>
  <si>
    <t>20018220325</t>
  </si>
  <si>
    <t>41946907171</t>
  </si>
  <si>
    <t>41997713262</t>
  </si>
  <si>
    <t>75988234417</t>
  </si>
  <si>
    <t>04988089100</t>
  </si>
  <si>
    <t>05210256300</t>
  </si>
  <si>
    <t>41037706763</t>
  </si>
  <si>
    <t>41887305757</t>
  </si>
  <si>
    <t>41108501796</t>
  </si>
  <si>
    <t>41917246690</t>
  </si>
  <si>
    <t>41967630348</t>
  </si>
  <si>
    <t>19159217355</t>
  </si>
  <si>
    <t>58169958806</t>
  </si>
  <si>
    <t>41108611686</t>
  </si>
  <si>
    <t>JOSE LUIS</t>
  </si>
  <si>
    <t>RAUL</t>
  </si>
  <si>
    <t>JUAN RAMON</t>
  </si>
  <si>
    <t>RENE</t>
  </si>
  <si>
    <t>WILMAR</t>
  </si>
  <si>
    <t>JOSE MISSAEL</t>
  </si>
  <si>
    <t>PEDRO ANGEL</t>
  </si>
  <si>
    <t>FRANCISCO JAVIER</t>
  </si>
  <si>
    <t>KEVIN ALEXIS</t>
  </si>
  <si>
    <t>JORGE ALEJANDRO</t>
  </si>
  <si>
    <t>RUBEN</t>
  </si>
  <si>
    <t>VICTOR ANDRES</t>
  </si>
  <si>
    <t>JORGE DANIEL</t>
  </si>
  <si>
    <t>JOSE GUILLERMO</t>
  </si>
  <si>
    <t>JULIO CESAR</t>
  </si>
  <si>
    <t>LUIS ADRIAN</t>
  </si>
  <si>
    <t>HUMBERTO</t>
  </si>
  <si>
    <t>IVAN MICHELL</t>
  </si>
  <si>
    <t>JUAN DE DIOS</t>
  </si>
  <si>
    <t>SERGIO</t>
  </si>
  <si>
    <t>JOSE MARTIN</t>
  </si>
  <si>
    <t>JOSE ANGEL</t>
  </si>
  <si>
    <t>PRUDENCIO</t>
  </si>
  <si>
    <t>ANTONIO ISMAEL</t>
  </si>
  <si>
    <t>GONZALO</t>
  </si>
  <si>
    <t>IVAN RENE</t>
  </si>
  <si>
    <t>JOSE ALEJANDRO</t>
  </si>
  <si>
    <t>CARLOS GERARDO</t>
  </si>
  <si>
    <t>JOSE ARTURO</t>
  </si>
  <si>
    <t>JOSE ELPIDIO</t>
  </si>
  <si>
    <t>JUAN LUIS</t>
  </si>
  <si>
    <t>ARISTEO</t>
  </si>
  <si>
    <t>JOSE</t>
  </si>
  <si>
    <t>JOSE ABELARDO</t>
  </si>
  <si>
    <t>IRVING JONATHAN</t>
  </si>
  <si>
    <t>ROMAN</t>
  </si>
  <si>
    <t>MIGUEL</t>
  </si>
  <si>
    <t>ISIDRO</t>
  </si>
  <si>
    <t>FEDERICO</t>
  </si>
  <si>
    <t>RITO</t>
  </si>
  <si>
    <t>JOSE ALBERTO</t>
  </si>
  <si>
    <t>LUCERO</t>
  </si>
  <si>
    <t>JAVIER DARIO</t>
  </si>
  <si>
    <t>JUAN MANUEL</t>
  </si>
  <si>
    <t>CHRISTIAN DAVID</t>
  </si>
  <si>
    <t>FRANCISCO</t>
  </si>
  <si>
    <t>JOSE HIRVING</t>
  </si>
  <si>
    <t>VALERIA GUADALUPE</t>
  </si>
  <si>
    <t>JOSE JORGE LUIS</t>
  </si>
  <si>
    <t>CARLOS</t>
  </si>
  <si>
    <t>LUIS</t>
  </si>
  <si>
    <t>LEONARDO</t>
  </si>
  <si>
    <t>ESTEBAN ALBERTO</t>
  </si>
  <si>
    <t>GERARDO ALEJANDRO</t>
  </si>
  <si>
    <t>CRISTIAN EDUARDO</t>
  </si>
  <si>
    <t>ALEJANDRO</t>
  </si>
  <si>
    <t>MAURICIO DE JESUS</t>
  </si>
  <si>
    <t>MISAEL</t>
  </si>
  <si>
    <t>JESUS SALVADOR</t>
  </si>
  <si>
    <t>JOSE JUAN</t>
  </si>
  <si>
    <t>DANIELA GUADALUPE</t>
  </si>
  <si>
    <t>GILBERTO</t>
  </si>
  <si>
    <t>REGINO</t>
  </si>
  <si>
    <t>JOSE ISIDRO</t>
  </si>
  <si>
    <t>IVON YADIRA</t>
  </si>
  <si>
    <t>EDGAR OMAR</t>
  </si>
  <si>
    <t>EDGAR CERVANDO</t>
  </si>
  <si>
    <t>EMMANUEL</t>
  </si>
  <si>
    <t>FELIPE DE JESUS</t>
  </si>
  <si>
    <t>ALMA VALERIA</t>
  </si>
  <si>
    <t>ARTURO CONRADO</t>
  </si>
  <si>
    <t>IGNACIO</t>
  </si>
  <si>
    <t>MARGARITA</t>
  </si>
  <si>
    <t>CARLOS ALEJANDRO</t>
  </si>
  <si>
    <t>EMILIANO</t>
  </si>
  <si>
    <t>KARINA DENISE</t>
  </si>
  <si>
    <t>GUILLERMO OBED</t>
  </si>
  <si>
    <t>EZEQUIEL</t>
  </si>
  <si>
    <t>MARIA MONICA</t>
  </si>
  <si>
    <t>OBED ELIEZER</t>
  </si>
  <si>
    <t>PEDRO LUIS</t>
  </si>
  <si>
    <t>JUAN JOSE</t>
  </si>
  <si>
    <t>JOSE PORFIRIO</t>
  </si>
  <si>
    <t>HECTOR OSWALDO</t>
  </si>
  <si>
    <t>LUIS ANTONIO</t>
  </si>
  <si>
    <t>MARIO ALBERTO</t>
  </si>
  <si>
    <t>VICTOR ANGEL</t>
  </si>
  <si>
    <t>GUILLERMO</t>
  </si>
  <si>
    <t>EMILIO</t>
  </si>
  <si>
    <t>ADRIANA ARACELY</t>
  </si>
  <si>
    <t>JUAN FELIPE</t>
  </si>
  <si>
    <t>CESAR ELIOMAR</t>
  </si>
  <si>
    <t>JUAN FERNANDO</t>
  </si>
  <si>
    <t>ANTONIO REYNALDO</t>
  </si>
  <si>
    <t>ARTURO</t>
  </si>
  <si>
    <t>WILLIAM</t>
  </si>
  <si>
    <t>EDGAR GABRIEL</t>
  </si>
  <si>
    <t>ANGEL ADAN</t>
  </si>
  <si>
    <t>LUIS GERARDO</t>
  </si>
  <si>
    <t>GLORIA ALICIA</t>
  </si>
  <si>
    <t>MA. EDITH</t>
  </si>
  <si>
    <t>VICTOR EDUARDO</t>
  </si>
  <si>
    <t>JUAN MIGUEL</t>
  </si>
  <si>
    <t>ERNESTO</t>
  </si>
  <si>
    <t>FATIMA LIZETH</t>
  </si>
  <si>
    <t>LUIS DANIEL</t>
  </si>
  <si>
    <t>EDUARDO RAMIRO</t>
  </si>
  <si>
    <t>JOSE MANUEL</t>
  </si>
  <si>
    <t>JORGE MIGUEL</t>
  </si>
  <si>
    <t>J. GUADALUPE</t>
  </si>
  <si>
    <t>BENITO</t>
  </si>
  <si>
    <t>JUAN</t>
  </si>
  <si>
    <t>JOSE SALVADOR</t>
  </si>
  <si>
    <t>FILIBERTO</t>
  </si>
  <si>
    <t xml:space="preserve">ARTURO  </t>
  </si>
  <si>
    <t>JUAN MARCELO</t>
  </si>
  <si>
    <t>DAVID DEL REFUGIO</t>
  </si>
  <si>
    <t>GRISELDA ELIZABETH</t>
  </si>
  <si>
    <t>FABIAN MICHEL</t>
  </si>
  <si>
    <t>JOSE CONSTANTINO ROMAN</t>
  </si>
  <si>
    <t>JESUS DANIEL</t>
  </si>
  <si>
    <t>JUAN MARTIN</t>
  </si>
  <si>
    <t>RODRIGO ALBERTO</t>
  </si>
  <si>
    <t>JESUS ALFREDO</t>
  </si>
  <si>
    <t>JUAN EDUARDO</t>
  </si>
  <si>
    <t>FLORENTINO</t>
  </si>
  <si>
    <t>ANGEL ADRIEL</t>
  </si>
  <si>
    <t>JESUS</t>
  </si>
  <si>
    <t>VENANCIO</t>
  </si>
  <si>
    <t>CAMILO</t>
  </si>
  <si>
    <t>FROYLAN</t>
  </si>
  <si>
    <t>CRISTOBAL</t>
  </si>
  <si>
    <t>PLACIDO</t>
  </si>
  <si>
    <t>ZITA</t>
  </si>
  <si>
    <t>JOSE FRANCISCO</t>
  </si>
  <si>
    <t>LORENZO</t>
  </si>
  <si>
    <t>OSCAR</t>
  </si>
  <si>
    <t>JUANA ISABEL</t>
  </si>
  <si>
    <t>MARTHA SILVIA</t>
  </si>
  <si>
    <t>HECTOR</t>
  </si>
  <si>
    <t>ISMAEL</t>
  </si>
  <si>
    <t xml:space="preserve"> MATEO</t>
  </si>
  <si>
    <t>NEREIDA</t>
  </si>
  <si>
    <t xml:space="preserve"> MA NOEMI</t>
  </si>
  <si>
    <t>JUAN JESUS</t>
  </si>
  <si>
    <t xml:space="preserve"> CARLO OMAR</t>
  </si>
  <si>
    <t>NOHEMI</t>
  </si>
  <si>
    <t xml:space="preserve"> TERESA ABIGAIL</t>
  </si>
  <si>
    <t>JAVIER EDUARDO</t>
  </si>
  <si>
    <t>DULCE ANNGE</t>
  </si>
  <si>
    <t>RODOLFO</t>
  </si>
  <si>
    <t>JORGE</t>
  </si>
  <si>
    <t>LIZETH ARACELY</t>
  </si>
  <si>
    <t>VANESSA</t>
  </si>
  <si>
    <t>NERY CELIA</t>
  </si>
  <si>
    <t>MARIA YESENIA</t>
  </si>
  <si>
    <t>DAVID EMMANUEL</t>
  </si>
  <si>
    <t>MIGUEL ALFREDO</t>
  </si>
  <si>
    <t>LAURA ANGELICA</t>
  </si>
  <si>
    <t>LUZ ANDREA</t>
  </si>
  <si>
    <t>GRISELDA ABIGAIL</t>
  </si>
  <si>
    <t>FELIPE</t>
  </si>
  <si>
    <t>FABIOLA ALEJANDRA</t>
  </si>
  <si>
    <t>JESUS RAMON</t>
  </si>
  <si>
    <t>IRVING JOEL</t>
  </si>
  <si>
    <t>MARICELA</t>
  </si>
  <si>
    <t>MARIA JOSE</t>
  </si>
  <si>
    <t>JORGE ARTURO</t>
  </si>
  <si>
    <t>SAUL TRINIDAD</t>
  </si>
  <si>
    <t>SAIDE LIZETT</t>
  </si>
  <si>
    <t>JIMENA</t>
  </si>
  <si>
    <t>KARINA ESMERALDA</t>
  </si>
  <si>
    <t>DALILA</t>
  </si>
  <si>
    <t>MELANY</t>
  </si>
  <si>
    <t>SANDRA</t>
  </si>
  <si>
    <t>ALBERTO ERNESTO</t>
  </si>
  <si>
    <t>EDGAR</t>
  </si>
  <si>
    <t>LILIANA LIZBETH</t>
  </si>
  <si>
    <t>MARIA DE JESUS</t>
  </si>
  <si>
    <t xml:space="preserve">MAYRA JANET </t>
  </si>
  <si>
    <t>MONICA BERENICE</t>
  </si>
  <si>
    <t>MAYRA ALEJANDRA</t>
  </si>
  <si>
    <t>JENNIFER MARISOL</t>
  </si>
  <si>
    <t>MARIA GUADALUPE</t>
  </si>
  <si>
    <t>NORMA</t>
  </si>
  <si>
    <t>ROSA MARIA</t>
  </si>
  <si>
    <t>ISABEL</t>
  </si>
  <si>
    <t xml:space="preserve"> CAROLINA</t>
  </si>
  <si>
    <t xml:space="preserve"> ELIZABETH</t>
  </si>
  <si>
    <t>DAVID</t>
  </si>
  <si>
    <t>MARIELA</t>
  </si>
  <si>
    <t>NOEMY VIRGINIA</t>
  </si>
  <si>
    <t>DIANA IVONNE</t>
  </si>
  <si>
    <t>MARISELA</t>
  </si>
  <si>
    <t>MARIA MAGDALENA</t>
  </si>
  <si>
    <t>NIDIA MELISSA</t>
  </si>
  <si>
    <t xml:space="preserve"> KARLA ELIZABETH</t>
  </si>
  <si>
    <t>TANIA PATRICIA</t>
  </si>
  <si>
    <t>MARIA GRISELDA</t>
  </si>
  <si>
    <t>ENOC</t>
  </si>
  <si>
    <t>SANJUANA GUADALUPE</t>
  </si>
  <si>
    <t xml:space="preserve"> MARIO ALBERTO</t>
  </si>
  <si>
    <t xml:space="preserve"> EDGAR GERARDO</t>
  </si>
  <si>
    <t>FRANCISCO EDILBERTO</t>
  </si>
  <si>
    <t>EDITH</t>
  </si>
  <si>
    <t>JUAN LUIS RODRIGO</t>
  </si>
  <si>
    <t>LAURA MONSERRAT</t>
  </si>
  <si>
    <t xml:space="preserve">PAOLA </t>
  </si>
  <si>
    <t>EARVIN MISAEL</t>
  </si>
  <si>
    <t>SELENNE FABIOLA</t>
  </si>
  <si>
    <t>GABRIELA</t>
  </si>
  <si>
    <t>ALDO AYARABH</t>
  </si>
  <si>
    <t>YVETT</t>
  </si>
  <si>
    <t>LUZ MARIA</t>
  </si>
  <si>
    <t>PEDRO FELIX</t>
  </si>
  <si>
    <t>ULISES ANTONIO</t>
  </si>
  <si>
    <t>JUAN AUCENCIO</t>
  </si>
  <si>
    <t>MONICA ALMA</t>
  </si>
  <si>
    <t>BEATRIZ ADRIANA</t>
  </si>
  <si>
    <t>GLORIA IVETTE</t>
  </si>
  <si>
    <t>MIRNA LUZ</t>
  </si>
  <si>
    <t>JORGE ARMANDO</t>
  </si>
  <si>
    <t>HUGO ALBERTO</t>
  </si>
  <si>
    <t>JUAN PEDRO</t>
  </si>
  <si>
    <t>ALAN MANUEL</t>
  </si>
  <si>
    <t>ALFREDO EMMANUEL</t>
  </si>
  <si>
    <t>ROCIO IMELDA</t>
  </si>
  <si>
    <t>MA DE LOURDES ERIKA</t>
  </si>
  <si>
    <t>ENRIQUE</t>
  </si>
  <si>
    <t>VERONICA ELIZABETH</t>
  </si>
  <si>
    <t>CRISTINA</t>
  </si>
  <si>
    <t>JESUS ARMANDO</t>
  </si>
  <si>
    <t>KAROLA</t>
  </si>
  <si>
    <t>DAMARIS EUNICE</t>
  </si>
  <si>
    <t>ANA KAREN</t>
  </si>
  <si>
    <t>LUIS ENRIQUE</t>
  </si>
  <si>
    <t>SUSANA</t>
  </si>
  <si>
    <t>JAIME EDUARDO</t>
  </si>
  <si>
    <t>CECILIA</t>
  </si>
  <si>
    <t>ADOLFO</t>
  </si>
  <si>
    <t>EDUARDO IVAN</t>
  </si>
  <si>
    <t>ESTHER</t>
  </si>
  <si>
    <t>MARTHA MARIA</t>
  </si>
  <si>
    <t>FELIPE OSWALDO</t>
  </si>
  <si>
    <t>ALMA JOANA</t>
  </si>
  <si>
    <t>MARIA FERNANDA</t>
  </si>
  <si>
    <t>HUGO PABLO</t>
  </si>
  <si>
    <t xml:space="preserve">ALBERTO  </t>
  </si>
  <si>
    <t>ANGEL ALBERTO</t>
  </si>
  <si>
    <t>LILIANA SELENE</t>
  </si>
  <si>
    <t>M</t>
  </si>
  <si>
    <t>F</t>
  </si>
  <si>
    <t>VIUDO</t>
  </si>
  <si>
    <t>VIUDA</t>
  </si>
  <si>
    <t>DIVORCIADA</t>
  </si>
  <si>
    <t>SEPARADA</t>
  </si>
  <si>
    <t>DIVORCIADO</t>
  </si>
  <si>
    <t>Calle Valentín Amador Número 300, Colonia El Morro, Código Postal 78434, Soledad de Graciano Sánchez, San Luis Potosí</t>
  </si>
  <si>
    <t>AV SALK, # 4015 -49  FRACC. AGUAJE,  C.P. 78370  SAN LUIS POTOSI, S.L.P.</t>
  </si>
  <si>
    <t>PROL. LA FRAGUA #229  COL. JULIAN CARRILLO,  C.P. 78142 SAN LUIS POTOSI, S.L.P.</t>
  </si>
  <si>
    <t>C FRANCISCO I MADERO #8 BARRIO LA CALAVERA. VILLA HIDALGO, SLP CP 78964</t>
  </si>
  <si>
    <t>CALLE VICENTE GUERRERO #204  COL. SAN ANTONIO,  C.P. 78436  SOLEDAD DE GRACIANO SANCHEZ, S.L.P.</t>
  </si>
  <si>
    <t>CALLE ADELAIDO HERNANDEZ S/N  EL CARRIZAL, C.P. 91630  EMILIANO ZAPATA, VERACRUZ</t>
  </si>
  <si>
    <t>CALLE CARRANZA #8 COL. LA PURISIMA,  C.P. 78432  SOLEDAD DE GRACIANO SANCHEZ, S.L.P.</t>
  </si>
  <si>
    <t>PROL. ISABEL VALDEZ #477, FRACC. EL SAUCE, C.P.78110, SAN LUIS POTOSI, SAN LUIS POTOSI</t>
  </si>
  <si>
    <t>EMILIANO ZAPATA #260, FRACCION ZAPOTE, C.P. 79482, EL ZAPOTE, SAN LUIS POTOSI</t>
  </si>
  <si>
    <t>PROL BEGONIA #215, LOS GIRASOLES, CP.78109, SAN LUIS POTOSI, SLP</t>
  </si>
  <si>
    <t>ADRIANO #552, REYES, CP. 78170. SAN LUIS POTOSÍ, SLP.</t>
  </si>
  <si>
    <t>SEBASTIAN BRAVO #2B, ESCALERILLAS, CP.78418, ESCALERILLAS, SAN LUIS POTOSI</t>
  </si>
  <si>
    <t>CTO DE BARI NUMERO 311, COL. VILLAS DE SAN LORENZO, C.P. 78433, SOLEDAD DE GRACIANO SANCHEZ, SAN LUIS POTOSI</t>
  </si>
  <si>
    <t>CALLE JUAN BUSTAMANTE, NUMERO 334, COL. VILLAS DE SOLEDAD, C.P. 784340, SOLEDAD DE GRACIANO SANCHEZ, SAN LUIS POTOSI</t>
  </si>
  <si>
    <t>CALLE FRANCISCO SILVA #35 COL. SOLIDARIDAD,  C.P. 45580  TLAQUEPAQUE, JAL.</t>
  </si>
  <si>
    <t>CALLE ALVARO OBREGON #38  COL. LOPEZ MATEOS,  C.P. 45580 TLAQUEPAQUE, JAL.</t>
  </si>
  <si>
    <t>CALLE REAL DE LOS PERONES #996  FRACC. ALBORADA. C.P. 45500, SAN PEDRO TLAQUEPAQUE, JAL.</t>
  </si>
  <si>
    <t>CALLE GOB. CURIEL #4158 DEP. 34  COL. MIRAVALLES, C.P. 44990 GUADALAJARA, JAL.</t>
  </si>
  <si>
    <t>CALLE TEPEYAC #225  COL. GUADALUPE EJIDAL, TLAQUEPAQUE, JAL.</t>
  </si>
  <si>
    <t>PROLONGACION MARCOS LARA #142, COL. SANTA PAULA, CP.45420, TONALA, JALISCO</t>
  </si>
  <si>
    <t>JUAN ESCUTIA #96, COL. EL SALTO, C.P. 45400, TONALA , JALISCO</t>
  </si>
  <si>
    <t>GARZA #110 54A, C.P.45685, CIMA SERENA. C.P.45685, EL SALTO, JALISCO</t>
  </si>
  <si>
    <t>FCO. SARCO #6 LOTE 78, EL TERRERO, C.P. 45696, EL SALTO, JALISCO</t>
  </si>
  <si>
    <t>CIRCUITO DE LOS PINOS #125COL. JACARANDAS SLP. CP. 78136</t>
  </si>
  <si>
    <t>CASTILLO DEL MOMBELTRAN #477 3, PARQUES DEL CASTILLO, C.P. 45685, PARQUES DEL CASTILLO, JALISCO</t>
  </si>
  <si>
    <t>FCO. I MADERO #389, INFONAVIT LA MEZA, C.P. 45680, EL SALTO, JALISCO</t>
  </si>
  <si>
    <t>CTO DEL MESERO #30, PARQUES DEL TRIUNFO, C.P. 45680, LA VIZCAYA, JALISCO</t>
  </si>
  <si>
    <t>CTO S MALICIOSA SUR #418 ET 8-C, CHULAVISTA, C.P. 45653, TLAJOMULCO DE ZUÑIGA, JALISCO</t>
  </si>
  <si>
    <t>FCO VILLA 58 # 31-D, CAMPO BELLO, C.P.45685, CAMPO BELLO, JALISCO</t>
  </si>
  <si>
    <t>ORIOL #89 17-B, CIMA SERENA, C.P. 45685, EL SALTO, JALISCO</t>
  </si>
  <si>
    <t>ABEJERO #46-E, CIMA SERENA, C.P. 45685, EL SALTO, JALISCO</t>
  </si>
  <si>
    <t>AV. CIMA SERENA #121 - 25 B MZ 4 LT 2 NIV 04, CIMA SERENA, C.P. 45685, EL SALTO, JALISCO</t>
  </si>
  <si>
    <t>CTO MONTE CERVINO NORTE #319-B, FRACC. LOMAS DEL MIRADOR, C.P 45645. TLAJOMULCO DE ZUÑIGA, JALISCO</t>
  </si>
  <si>
    <t>ORIOL #381 INT 23A, CIMA SERENA, CP. 45680, EL CASTILLO, JALISCO.</t>
  </si>
  <si>
    <t>CERRO DEL ELEFANTE 157, CHULAVISTA, CP 45653, TLAJOMULCO DE ZUÑIGA, JALISCO</t>
  </si>
  <si>
    <t>PARDELA 37 C, #CIMA SERENA, CP. 45685, EL SALTO, JALISCO</t>
  </si>
  <si>
    <t>MORELOS 197 INT A, EL SALTO, CP. 45680, EL SALTO JALISCO</t>
  </si>
  <si>
    <t>CAMINO DE LOS ALAMOS, #310 INT 11, LA AZUCENA, CP 45680, EL SALTO, JALISCO</t>
  </si>
  <si>
    <t>HELIODORO HERNANDEZ #145, SAN JOSE DEL 15, CP . 45696, EL SALTO , JALISCO</t>
  </si>
  <si>
    <t>1RA PRIVADA DE CADMIO #213, MORALES, C.P.78470, SAN LUIS POTOSI, SAN LUIS POTOSI</t>
  </si>
  <si>
    <t>ROBINA NO. 92 JACARANDA RICARDO FLORES CAMPO BELLO C.P. 45685, CAMPO BELLO JALISCO</t>
  </si>
  <si>
    <t>VILLA MANCHESTAR 525 C.P. 45653, LOS CANTARITOS TLAJOMULCO DE ZUÑIGA JALISCO</t>
  </si>
  <si>
    <t>CALLE CERRO AZUFRE NO 205, CHULAVISTA, JALISCO C.P.45653</t>
  </si>
  <si>
    <t xml:space="preserve">AV ECUADOR 3B LAS ROSAS FLOR D SN LUIS CHULAVISTA, TLAJOMULCO DE ZUÑIGA, JALISCO, C.P. 45653 </t>
  </si>
  <si>
    <t>PRIV 5 DE FEB 4A JESUS GARCIA, EL CASTILLO, EL CASTILLO JALISCO C.P. 45686</t>
  </si>
  <si>
    <t>CALLE ARCO DEL TRIUNFO #215 A,  COL. ARCOS DE SAN PEDRO,  C.P. 78435  SOLEDAD DE GRACIANO SANCHEZ, S.L.P.</t>
  </si>
  <si>
    <t>CALLE 70 #307  CIUDAD 2000, C.P. 78394  VILLA DE POZOS, S.L.P.</t>
  </si>
  <si>
    <t>CALLE VENUSTIANO CARRANZA #917  SAN ANTONIO, C.P. 78318  SOLEDAD DE GRACIANO SANCHEZ, S.L.P.</t>
  </si>
  <si>
    <t>PRIVADA SAN PEDRO #221  FRACC. SAN FRANCISCO,  C.P. 78435  SOLEDAD DE GRACIANO SANCHEZ, S.L.P.</t>
  </si>
  <si>
    <t>CALLE TERCERA CERRADA DE FRANCISCO VILLA #24  COL. LIBERTAD,  C.P. 54407 NICOLAS ROMERO, EDO. MEX.</t>
  </si>
  <si>
    <t>CALLE CERRO AZUL #490  COL. BELLAS LOMAS,  C.P. 78364 SAN LUIS POTOSI, S.L.P.</t>
  </si>
  <si>
    <t>CALLE LAS MORENAS #45  COL. TERCERA GRANDE,  C.P. 78143  SAN LUIS POTOSI, S.L.P.</t>
  </si>
  <si>
    <t xml:space="preserve">CALLE SAN ROLANDO NO. 1008-A VILLAS DE SANFRANCISCO CP.  SOLEDAD DE GRACIANO SANCHEZ </t>
  </si>
  <si>
    <t>CALLE OPAÑO 306 VALLE DORADO CP.78399 SLP,SLP</t>
  </si>
  <si>
    <t>PONCIANO ARRIAGA #400-A CP 7843, LEONA VICARIO Y LIBERTAD, CDA DL HIUERTAS, CP 78235, SOLEDAD DE GRACIANO, SLP</t>
  </si>
  <si>
    <t>FRANCISCO FIERRO #224, MORRO, C.P. 78434, SOLEDAD DE GRACIANO SANCHEZ, SLP</t>
  </si>
  <si>
    <t>PASEO VALLE DE BAGRES #171, LOS SILOS, C.P. 78394, SAN LUIS POTOSI, SAN LUIS POTOSI</t>
  </si>
  <si>
    <t>PROL. CIRCUITO ORIENTE #1072 A, HERMENEGILDO J AL., C.P.78390, SOLEDAD DE GRACIANO SANCHEZ, SAN LUIS POTOSÍ</t>
  </si>
  <si>
    <t>AV. DESIERTO DEL MAYRAM #711-A, FRACC. VALLE DE LOS CACTUS, C.P. 78421, SAN LUIS POTOSÍ, SAN LUIS POTOSÍ</t>
  </si>
  <si>
    <t>CALLE 2  QUINTA REAL #109-A, QUINTAS DE LA HACIENDA, CP. 78438 SOLEDAD DE GRACIANO SANCHEZ, SLP.</t>
  </si>
  <si>
    <t>PRIVADA EL LAUREL #103, FRACC. EL LAUREL, SOLEDAD DE GRACIANO SANCHEZ, C.P. 78430, SOLEDAD DE GRACIANO SANCHEZ, SLP</t>
  </si>
  <si>
    <t>C VENUSTIANO CARRANZA S/N, LOC  LA PARADA, CP 78458, AHUALULCO, SLP</t>
  </si>
  <si>
    <t>AV. DE LA PLATA #107- A, RIO DE PLATA, C.P.78415, SOLEDAD DE GRACIANO SANCHEZ, SLP</t>
  </si>
  <si>
    <t>CALLE JOSE SAUZ #12 COL. LOMAS DEL TAPATIO, C.P. 45628  TLAQUEPAQUE JAL.</t>
  </si>
  <si>
    <t>CALLE CAPULIN #212  COL. LAS HUERTAS,  C.P. 45589  TLAQUEPAQUE, JAL.</t>
  </si>
  <si>
    <t>CALLE RIO SENA #30  EL VERGELITO, C.P. 45595  SAN PEDRO TLAQUEPAQUE, JAL.</t>
  </si>
  <si>
    <t>LUIS PEREZ VERDIA 664, LADRON DE GUEVARA, C.P. 44600, GUADALAJARA JALISCO</t>
  </si>
  <si>
    <t>CALLE JICAMA #79-A, COL. LA MESA COLORADA,  C.P. 45189,  ZAPOPAN, JAL.</t>
  </si>
  <si>
    <t>JOSE SAUZ #12, JARDINES DEL TAPATIO, C.P. 45065, TLAQUEPAQUE, JALISCO</t>
  </si>
  <si>
    <t>RIO COLOTLAN #86, EL VERGEL, C.P. 45595, TLAQUEPAQUE JALISCO</t>
  </si>
  <si>
    <t>LOMA ALEGRE #61-A, LOMAS DEL CUATRO, C.P. 45599, TLAQUEPAQUE, JALISCO</t>
  </si>
  <si>
    <t>CLL VILLA DE JUAREZ #141, COL. SAN LUIS I, SDG, CP. 78438</t>
  </si>
  <si>
    <t>FEDERICO ALATORRES #1272, COL. ECHEVERRÍA, CP 44970, GUADALAJARA, JALISCO</t>
  </si>
  <si>
    <t>SAN BERNARDO #17, SANTA ROSA DEL VALLE, CP 45690, EL SALTO, JALISCO.</t>
  </si>
  <si>
    <t>LOMA DE MIRAVALLLE #852, LOMAS DEL CUATRO, CP. 45599, TLAQUEPAQUE, JALISCO</t>
  </si>
  <si>
    <t>FUENTE TLAXCALA #1587, VILLFONTANA, CP. 45615, TLAQUEPAQUE, JALISCO</t>
  </si>
  <si>
    <t>LAZARO CARDENAS #9, SANTO DOMINGO, CP. 79460, SANTO DOMINGO SLP</t>
  </si>
  <si>
    <t>PAVON #6, VILLAR, CP 79429, VILLAR , SLP</t>
  </si>
  <si>
    <t>GENERAL CARDENAS #12, PRIVADA DE ALBERTO DE AVILA, CP. 79440, CERRITOS, SLP</t>
  </si>
  <si>
    <t>MORELOS #515, VILLA JUAREZ , CP 79460, VILLA JUAREZ, SLP</t>
  </si>
  <si>
    <t>Calle Camino de la Plata Número 111, Colonia Villas de Nuestra Señora de la Asunción, Código Postal 20126, Aguascalientes, Aguascalientes</t>
  </si>
  <si>
    <t>CALLE ROSA VALDES DAVILA #136  COL. MUJERES ILUSTRES,  C.P 20299  AGUASCALIENTES, AGS.</t>
  </si>
  <si>
    <t>CALLE INDIRA GANDHI #101  COL. MUJERES ILUSTRES,  C.P. 20299  AGUASCALIENTES, AGS.</t>
  </si>
  <si>
    <t>CALLE MANUEL FELGUEREZ #110  COL. PINTORES MEXICANOS, C.P. 20170  AGUASCALIENTES, AGS.</t>
  </si>
  <si>
    <t>CALLE PERAMA #108-C  COL. PASEOS DE SAN ANTONIO,  C.P. 20298  AGUASCALIENTES, AGS.</t>
  </si>
  <si>
    <t>2A. PLAZA UXMAL #107 B  MORELOS INFONAVIT,  C.P. 20264  AGUASCALIENTES, AGS.</t>
  </si>
  <si>
    <t>MONTE VINSON #318-B, VILLA MONTAÑA, C.P. 20126, AGUASCALIENTES, AGUASCALIENTES</t>
  </si>
  <si>
    <t>HUEHUETLAN #4, ESTRADA, C.P. 78432, ESTRADA, SAN LUIS POTOSI</t>
  </si>
  <si>
    <t>CALLE JILGUERO,  VENTA DEL ASTILLERO,  C.P. 45220  ZAPOPAN, JAL.</t>
  </si>
  <si>
    <t>CALLE TULIPAN #964  COL. ORGANO,  C.P. 45508  TLAQUEPAQUE, JAL.</t>
  </si>
  <si>
    <t>CALLE MORELOS #127  LA VENTA DEL ASTILLERO, C.P. 45220  ZAPOPAN, JAL.</t>
  </si>
  <si>
    <t>CARRE ARROYO AMARILLO  #274 D  COL. RUISEÑORES,  C.P. 45350  TALA, JAL.</t>
  </si>
  <si>
    <t>CALLE FERROCARRIL LETRA D COL. VENTA DEL ASTILLERO, C.P. 45221  ZAPOPAN, JAL.</t>
  </si>
  <si>
    <t>CALLE ARROYO APOLO #289 B, FRACC. RUISEÑORES,  C.P. 45350 TALA, JALISCO.</t>
  </si>
  <si>
    <t>JARDINES DE VILLA FRANCA #217, VALLE IMPERIAL, CP. 45134, ZAPOPAN , JALISCO</t>
  </si>
  <si>
    <t>SIERRA MADRE ORIENTAL #313, FRACC. KA SIERRA, C.P. 78438, SOLDEDAD DE GRACIANO SANCHEZ, S.L.P</t>
  </si>
  <si>
    <t>CTO. ENCINOS #2000 92, COND. NIXCONGO, LOS ENCINOS (MUNI ESCOBEDO), C.P.76150, LOS ENCINOS, QRO.</t>
  </si>
  <si>
    <t xml:space="preserve">CALLE PASIONISTAS #109 FRACCIONAMIENTO LA PROVIDENCIA, C.P.   MATEHUALA, SLP </t>
  </si>
  <si>
    <t>CALLE GOLFO DE MEXICO #103  COL. LA LAGUNITA,  C.P. 78770  MATEHUALA, S.L.P.</t>
  </si>
  <si>
    <t>MANUEL ACUÑA #224, JOL. JUAREZ, C.P. 78750, MATEHUALA, SAN LUIS POTOSI</t>
  </si>
  <si>
    <t>CALLE ANDADOR SIERRA LEONA #5 COL. OLLERIA, C.P. 78726 MATEHUALA, S.L.P.</t>
  </si>
  <si>
    <t>SAN FRANCISCO #100, HACIENDA RANCHO NUEVO, C.P.78802, MATEHUALA, SAN LUIS POTOSI</t>
  </si>
  <si>
    <t>CARLOS VIVANCO #609, LA CONCEPCION, C.P.78819, MATEHUALA, SAN LUIS POTOSI</t>
  </si>
  <si>
    <t>SAN FRANCISCO #104 B, LA HACIENDA , CP. 78802, MATEHUALA, SLP</t>
  </si>
  <si>
    <t>M VAZQUEZ NO. 119 MENDEZ Y JUAN SARABIA, CENTRO SURES C.P 78700. MATEHUALA S.L.P</t>
  </si>
  <si>
    <t>CALLE QUINTO CENTENARIO DE AMERICA #505 COL. EMILIANO ZAPATA, SALINAS VICTORIA C.P. 65500 N.L.</t>
  </si>
  <si>
    <t>CALLE CEDROS #114-B BOSQUES DE CASTILLA, C.P. 65503 SALINAS VICTORIA, N.L.</t>
  </si>
  <si>
    <t>PASEO SAN ISIDRO #494  PASEO DE SAN ISIDRO, C.P. 64103  SALINAS VICTORIA, N.L.</t>
  </si>
  <si>
    <t>CALLE QUINOA #523 D PASEO DE SAN ISIDRO, C.P. 64103, SALINAS VICTORIA, N.L.</t>
  </si>
  <si>
    <t>CALLE FELIPE ANGELES # 209  MOISES SAENZ, C.P. 66613  APODACA, N.L.</t>
  </si>
  <si>
    <t>BEDUINO #104-A, BOSQUES DE CASTILLA, SALINAS VICTORIA, C.P. 65515, MONTERREY, N.L.</t>
  </si>
  <si>
    <t>JARDINES DEL DESIERTO #233, COL. JARDINES DE MONTERREY, CP. 66613, APODACA, NUEVO LEON.</t>
  </si>
  <si>
    <t xml:space="preserve">EUCALIPTO #472, COL BOSQUES DE LOS NOGALES, SALINAS VICTORIA NUEVO LEON </t>
  </si>
  <si>
    <t>PASEO DEL MARQUES SUR #23-73, FRACCIONAMIENTO PASEOS DEL MARQUES, C,P, 76245, EL MARQUES, QUERETARO</t>
  </si>
  <si>
    <t>PRADERAS DEL MEZQUITAL SNM, LOURDES, C.P. 76927, CORREGIDORA, QUERETARO</t>
  </si>
  <si>
    <t>MA APOLONIA #1, COL. SAGRADO JESUS, CP 76246,EL COLORADO, QRO</t>
  </si>
  <si>
    <t>COLIMA MZA 8 L 19, MARTINREZ DE LA LIBERTAD , CP. 76150, QUERETARO, QRO.</t>
  </si>
  <si>
    <t xml:space="preserve">GARDENIAS SN, LA NEGRETA, CP. 76907, CORREGIDORA, QUERETARO. </t>
  </si>
  <si>
    <t>PROL. MARIANO ARISTA #8, , COL. LAS FLORES, C.P. 78430, SOLEDAD DE GRACIANO SANCHEZ, SAN LUIS POTOSI</t>
  </si>
  <si>
    <t>DEL PACTO 12-M 32-0, COL UNIDAD NACIONAL, CP 76148, SANTIAGO DE QUERÉTARO, QRO</t>
  </si>
  <si>
    <t>ARCANGEL SAN URIEL #20, COL. PRADERAS DE LOS ANGELES, CP. 76907, LOS ANGELES, CORREGIDORA QUERÉTARO</t>
  </si>
  <si>
    <t>SEGUNDO BARRIO DE DOLORES #200, CANADA LA, CP. 76240, QUERETARIO, QRO</t>
  </si>
  <si>
    <t>SAN MATEO  11, COL. LA PIEDAD, CP. 76246, QUERÉTARO, QRO</t>
  </si>
  <si>
    <t>COL.Miguel Hidalgo # 5 , calle Guerrero  la Piedad el Marques CP: 76246</t>
  </si>
  <si>
    <t>CDA. DE LAS FLORES #157-A, LAS FLORES, C.P.78109, SAN LUIS POTOSI, SAN LUIS POTOSI</t>
  </si>
  <si>
    <t>Calle Laureles Número 208, Colonia El Bosque, Código Postal 79626, Rioverde, San Luis Potosí</t>
  </si>
  <si>
    <t>IGNACIO ZARAGOZA #104  EJ. SAN JOSE DEL TAPANCO, C.P. 79600  RIOVERDE, S.L.P.</t>
  </si>
  <si>
    <t>HDA. SANTO DOMINGO #243  FRACC. DR. GABRIEL MARTINEZ, C.P. 79610  RIOVERDE, S.L.P.</t>
  </si>
  <si>
    <t>CALLE GONZALES EAQ FLOR DE PALMA #301  COL. LAS PALMAS,  C.P. 79610 RIOVERDE, S.L.P.</t>
  </si>
  <si>
    <t>CALLE FLORES BELLAS #156 COL. VISTA HERMOSA,  C.P. 79650  CD. FERNANDEZ, S.L.P.</t>
  </si>
  <si>
    <t>HDA. DEL JABALI #135 FRACC. DR. GABRIEL MARTINEZ  C.P. 79610  RIOVERDE, S.L.P.</t>
  </si>
  <si>
    <t>CALLE CTO. LOS ENCINOS #25-A  PUERTA REAL, C.P. 78430  SOLEDAD DE GRACIANO SANCHEZ, S.L.P.</t>
  </si>
  <si>
    <t>CAMINO A LOS SALITRILLOS #203  LOC. RIOVERDE, C.P. 79610  RIOVERDE, S.L.P.</t>
  </si>
  <si>
    <t>CALLE CERRITOS #101 CARLOS JONGUITUD BARRIOS Y EMILIANO ZAPATA, C.P. 79650  CD. FERNANDEZ, S.L.P.</t>
  </si>
  <si>
    <t>AND. DE LA FLORA #216 MEDIA LUNE EL AGUAJE PUENTE DEL CARMEN, 79617 RIOVERDE SLP</t>
  </si>
  <si>
    <t>EMILIANO ZAPATA #217, PIPILA CUAUHTEMOC, PUENTE DEL CARMEN, C.P. 79617, SLP</t>
  </si>
  <si>
    <t>PRIV. DE LARA #734, SAN MARTIN SOL BO PRIMERO, EL REFUGIO, C.P.79650, EL REFUGIO SLP</t>
  </si>
  <si>
    <t>PROL. DE MELCHOR OCAMPO #106, FRACC. REAL DE XIMENA, CD. FERNANDEZ</t>
  </si>
  <si>
    <t>4A. PRIV. PROL. MATAMOROS #109 EL REFUGIO CD. FERNANDEZ, C.P. 79650</t>
  </si>
  <si>
    <t>CALLE SALIDA DEL SOL, # 115  COL. 16 DE SEPTIEMBRE,  C.P. 78430  SOLEDAD DE GRACIANO SANCHEZ, S.L.P.</t>
  </si>
  <si>
    <t>AV DE LAS AMERICAS # 26  COL. RANCHO NUEVO,  C.P. 78430  SOLEDAD DE GRACIANO SANCHEZ, S.L.P.</t>
  </si>
  <si>
    <t>PROL. RINCONCITO #320  COL. RANCHITO DE LA CRUZ,  C.P. 78138  SAN LUIS POTOSI, S.L.P.</t>
  </si>
  <si>
    <t>PROLONGACION PEDRO DE GANTE # 125 B  COL. SOLEDAD DE GRACIANO SANCHEZ,  C.P. 78430  SOLEDAD DE GRACIANO SANCHEZ, S.L.P.</t>
  </si>
  <si>
    <t>CALLE ZARAGOZA #705  COL. SOLEDAD DE GRACIANO SANCHEZ,  C.P. 78370  SOLEDAD DE GRACIANO SANCHEZ, S.L.P.</t>
  </si>
  <si>
    <t>PEDRO DE GARNTE 406-B COL. EXPROPIACION PETROLERA C.P. 78430 SOLEDAD DE GRACIANO SANCHEZ, S.L.P.</t>
  </si>
  <si>
    <t>CALLE PONCIANO ARRIAGA #1156-C  COL. POTOSI RIOVERDE,  C.P. 78039  SAN LUIS POTOSI, S.L.P.</t>
  </si>
  <si>
    <t>PONCIANO ARRIAGA #1156, DEL POTOSI, C.P.78174, SAN LUIS POTOSI, SLP</t>
  </si>
  <si>
    <t>PLAZA DEL RIO #4509, PAVON, C.P. 78434, SOLEDAD DE GRACIANO SANCHEZ, SAN LUIS POTOSI</t>
  </si>
  <si>
    <t>PROL. BUSTAMANTE #1020 - B, SOLEDAD DE GRACIANO SANCHEZ, C.P. 78430, SOLEDAD DE GRACIANO SANCHEZ, SAN LUIS POTOSI</t>
  </si>
  <si>
    <t>20 DE NOVIEMBRE LOTE 21, SAN JOSE DEL BARRO, C.P. 78433, SOLEDAD DE GRACIANO SANCHEZ, SAN LUIS POTOSI</t>
  </si>
  <si>
    <t>VICENTE GUERRERO #112, ZAPOTE,  CP, 78430, SOLEDAD DE GRACIANO SANCHEZ, SAN LUIS POTOSI</t>
  </si>
  <si>
    <t>LOS BRAVOS #18A, GENERAL I MARTINEZ, CP. 78360, SOLEDAD DE GRACIANO SANCHEZ, SLP</t>
  </si>
  <si>
    <t>CARLOS TOVAR #20, SOLEDAD DE GRACIANO SANCHEZ, CP 78430, SOLEDAD DE GRACIANO SANCHEZ, SLP</t>
  </si>
  <si>
    <t>FCO I MADERO #230, LA PILA, CP. 78420, LA PILA, SLP</t>
  </si>
  <si>
    <t>MARIANO ARISTA #109 F, EXPROPIEACIÓN PETROLERA, CP. 78430, SOLEDAD DE GRACIANO SANCHEZ, SLP</t>
  </si>
  <si>
    <t>PROL. P ARRIAGA, # 1156 C, POTOSI RIO VERDE, CP. 78174, SAN LUIS POTOSI, SLP</t>
  </si>
  <si>
    <t>PROL SENEGAL NO 229 FRACC SIMON DIAZ EL AGUAJE C.P.78380 SAN LUIS POTOSI</t>
  </si>
  <si>
    <t>CALLE FRANCISCO I. MADERO S/N  EJ. EL AZULEJO, C.P. 79030 CD. VALLES, S.L.P.</t>
  </si>
  <si>
    <t>CALLE DALIA EZQ LOPEZ MATEO #116  COL. DORACELY,  C.P. 79020  CD. VALLES, S.L.P.</t>
  </si>
  <si>
    <t>JUAN RAMIRO ROBLEDO #4. COL. SOLIDARIDAD C.P. 79028 VALLES, SAN LUIS POTOSI</t>
  </si>
  <si>
    <t>CALLE PRINCIPAL S/N  EJ. LA TOCONALA C.P. 79268  CIUDAD VALLES, S.L.P.</t>
  </si>
  <si>
    <t>CALLE EGIPTO #21 COL. LAZARO CARDENAS, C.P. 79020  CD. VALLES, S.L.P.</t>
  </si>
  <si>
    <t>CALLE ALCATRAZ #308  COL. POPULAR SOLIDARIDAD,  C.P. 79020  CD. VALLES, S.L.P.</t>
  </si>
  <si>
    <t>CALLE RAFAEL IRIARTE #111 COL. LAS AGUILAS, C.P. 79060  CIUDAD VALLES, S.L.P.</t>
  </si>
  <si>
    <t>CALLE PICO DE ORIZABA #98  COL. BELLAVISTA, C.P. 79090  CD. VALLES, S.L.P.</t>
  </si>
  <si>
    <t>DOM CON EJ LA TOCONAL 9, X EL RANCHO PARAISO, LATOCONALA EJ C.P.79000, EJ. LA TOCONALA, S.L.P.</t>
  </si>
  <si>
    <t>CALLE LIC. BENITO JUAREZ GARCIA , LOS OTATES,  C.P. 79250  EJIDO LA LIMA, S.L.P.</t>
  </si>
  <si>
    <t>FRAY JERONIMO DE MENDIETA #415 FRACC. VILLAREAL DE SANTIGAO, C.P. 79050 CD. VALLES, S.L.P.</t>
  </si>
  <si>
    <t>TIERRA Y LIBERTAD 203 A CP.790, ESQUINA AGUSTIN MELGAR, RECUPERACION ANFER C.P. 79050, CD VALLES, SLP</t>
  </si>
  <si>
    <t xml:space="preserve">WASHINGTON #717,FRACC. VEINTIUNO, CP. 79028, </t>
  </si>
  <si>
    <t>CALLE CAMPECHE , ESQUINA CHILPANCINGO SN, COL SAN RAFAEL, CP. 79060, CD VALLES, SLP</t>
  </si>
  <si>
    <t>2A. PRIV. FRANCISCO VILLA #100  COL. DAMIAN CARMONA,  C.P. 78174  SAN LUIS POTOSI, S.L.P.</t>
  </si>
  <si>
    <t>C. MOLA #230 FRACC. HUERTA REAL, SAN LUIS POTOSI, CP. 78230</t>
  </si>
  <si>
    <t>INSURGENTES # 1121 COL. FERROCARRILERA,  C.P. 78310  SAN LUIS POTOSI, S.L.P.</t>
  </si>
  <si>
    <t>CIRC. HURACAN #192,  FRACC. MONTEREAL, C.P 78394  SAN LUIS POTOSI, S.L.P.</t>
  </si>
  <si>
    <t>FUENTE ALTA #108, COL. BALCONES DEL VALLE, C.P. 78280  SAN LUIS POTOSI, S.L.P.</t>
  </si>
  <si>
    <t>ANGEL ABEL 2C,  CLAUSTROS DE SAN MIGUEL, C.P. 54719  CUAUTITLAN IZCALLI, EDO. MEX.</t>
  </si>
  <si>
    <t>CALLE DE LOS FRUTALES #255  RINCONADA DE LOS OLIVOS, C.P. 78389  SAN LUIS POTOSI, S.L.P.</t>
  </si>
  <si>
    <t>3A PRIVADA VICTORIA #116  COL. TERCERA CHICA,  C.P. 78100  SAN LUIS POTOSI, S.L.P.</t>
  </si>
  <si>
    <t>PASEO DE LOS COLORINES #262,  COL. COLORINES, C.P. 78389 SAN LUIS POTOSI, S.L.P.</t>
  </si>
  <si>
    <t>SAN RAFAEL # 1133-B  COL. LA CONSTANCIA, C.P. 78430 SOLEDAD DE GRACIANO SANCHEZ, S.L.P.</t>
  </si>
  <si>
    <t>TEHUACAN #308, HH FF 3A. SECC, C.P. 78436 SOLEDAD DE GRACIANO SANCHEZ, S.L.P.</t>
  </si>
  <si>
    <t>ACERINA #742 COL. VALLE DORADO , SLP, CP78399</t>
  </si>
  <si>
    <t>CALLE 2 DE MAYO #25 COL. CENTRO, C.P. 78418 ESCALERILLAS, S.L.P.</t>
  </si>
  <si>
    <t>MACEDONIO CASTRO #405- A  COL. LAS HIGUERAS, C.P. 78430  SOLEDAD DE GRACIANO SANCHEZ, S.L.P.</t>
  </si>
  <si>
    <t>CIRCUITO COLIBRI #103 RESIDENCIAL EL CANTO, SGS, CP. 78434</t>
  </si>
  <si>
    <t>CALLE LAGO CHALCO #123 FRACC. RESIDENCIAL LOS LAGOS, C.P. 78397  SAN LUIS POTOSI, S.L.P.</t>
  </si>
  <si>
    <t>CALLE SAN VICENTE MARTIR #128 FRACC. SAUZALITO, C.P. 78116  SAN LUIS POTOSI, S.L.P.</t>
  </si>
  <si>
    <t>CALLE MONTE XANIC #124  FRACC. VIÑEDOS DEL ZAPOTE,  C.P. 78430  SOLEDAD DE GRACIANO SANCHEZ, S.L.P.</t>
  </si>
  <si>
    <t>2a. CERRADA DE ESTACION JIMULCO #108 PRIVADAS DE SANTA FE,  C.P. 78438  SOLEDAD DE GRACIANO SANCHEZ, S.L.P.</t>
  </si>
  <si>
    <t>CALLE BENITO JUAREZ #12, VALLE DE LAS PALOMAS,  C.P. 78983  ARMADILLO DE LOS INFANTE, S.L.P.</t>
  </si>
  <si>
    <t>CIRCUITO TOLEDO #204, FRACC. VILLAS DE SAN LORENZO, SGS, CP. 78433</t>
  </si>
  <si>
    <t>AV. CURIE #109  FRACC. VALLE DEL POTOSI, C.P. 78379  SAN LUIS POTOSI, S.L.P.</t>
  </si>
  <si>
    <t>3ER PRIVADA DE AMAPOLAS #137 COL. SALAZARES, C.P. 78115 SAN LUIS POTOSI. S.L.P.</t>
  </si>
  <si>
    <t>CALLE CRISANTEMO #160  CTO. AMAPOLAS, VALLE DE JACARANDAS, SAN LUIS POTOSI, S.L.P.</t>
  </si>
  <si>
    <t>CALLE DAMIAN CARMONA #975 INT. 3B BARRIO DE SANTIAGO, C.P. 78049 SAN LUIS POTOSI, S.L.P.</t>
  </si>
  <si>
    <t>C. CONSUELO #3 COL. RANCHO NUEVO, SOLEDAD DE GRACIANO SANCHES CP.78430</t>
  </si>
  <si>
    <t>PLAZA DEL RIO #104-1 EDIFICIO 4 DEP 104, C.P. 78434, RANCHO PAVON, SOLEDAD DE GRACIANO, SLP</t>
  </si>
  <si>
    <t>MOLINO DEL REY #254 MOLINOS DEL REY,  C.P. 78147  SAN LUIS POTOSI, S.L.P.</t>
  </si>
  <si>
    <t>CTO. JACARANDAS #248, BUGAMBILIAS RESIDENCIAL, SOLEDAD DE GRACIANO SANCHEZ, SAN LUIS POTOSI</t>
  </si>
  <si>
    <t>CTO. SAN RAGUEL #124 D, LA VIRGEN, C.P.78430, SOLEDAD DE GRACIANO SANCHEZ, SAN LUIS POTOSI</t>
  </si>
  <si>
    <t>PLAN DE AGUA PRIETA #3386, RES ERVOLUCION, TLAQUEPAQUE, JALISCO, C.P. 45580</t>
  </si>
  <si>
    <t>AV OBSERVATORIO OTE. #172, DEL LLANO, C.P. 78377, SAN LUIS POTOSI, SAN LUIS POTOSI</t>
  </si>
  <si>
    <t>ALBERTO C TORRES #279, OJO CALIENTE, C.P.79563, OJO CALIENTE, SAN LUIS POTOSI</t>
  </si>
  <si>
    <t>CICUITO SAN LUCAS #153 A, FRACC. VALLE DE SANTA LUCIA, C.P. 78433, SOLEDAD DE GRACIANO SANCHEZ, SAN LUIS POTOSI</t>
  </si>
  <si>
    <t>PALMA LATINA #326, VALLE DE LA PALMA, C.P. 78439, SOLEDAD DE GRACIANO SANCHEZ, SAN LUIS POTOSI</t>
  </si>
  <si>
    <t>AV. MATEHUALA #835, COL. FRESNOS, C.P. 78433, SOLEDAD DE GRACIANO SANCHEZ, SLP</t>
  </si>
  <si>
    <t>BOSQUES DE BAVARIA #156, SOLEDAD DE GRACIANO SANCHEZ, C.P. 78430, SOLEDAD DE GRACIANO SANCHES, SAN LUIS POTOSI</t>
  </si>
  <si>
    <t>LUIS G. URBINA #124, COL. ISSSTE, C.P. 78280, SAN LUIS POTOSÍ, SAN LUIS POTOSÍ</t>
  </si>
  <si>
    <t>SALINAS#1, ESTRADA, CP. 78432, ESTRADA, SLP</t>
  </si>
  <si>
    <t>ARAUCARIA 432, COLINAS DEL BOSQUE, CP. 78438, SOLEDAD DE GRACIANO SANCHEZ, SLP</t>
  </si>
  <si>
    <t>OLIVAR #109, COL. PUERTA REAL, CP. 78430, SOLEDAD DE GRACIANO SANCHEZ, SLP</t>
  </si>
  <si>
    <t>MONGOLIA # 228, JARDINES DE MA CECILIA, CP 78117. SAN LUIS POTOSI, SLP</t>
  </si>
  <si>
    <t>JUAN PABLO #102 B, COL. JUAN PABLO, C.P. 78136, SAN LUIS POTOSI, SAN LUIS POTOSI</t>
  </si>
  <si>
    <t>EUCALIPTO #43 HUITZATARITO, HUITZATARITO GUANAJUATO C.P. 36970</t>
  </si>
  <si>
    <t>CUAUHTEMOC C83 D 302, PBO SN JN ARAGON Y J FRANCISCO 16 DE SEPTIEMBRE EJ DE SAN JUAN DE ARAG, CIUDAD DE MÉXICO C.P 07940</t>
  </si>
  <si>
    <t>PZA P ELIAS CALLES C 4 A, LAZARO CARDENAS Y 2 DE ABRIL, SAN ANTONIO C.P. 78436, SOLEDAD DE GRACIANO SANCHEZ, SLP.</t>
  </si>
  <si>
    <t>CALLE IGNACIO CALDERON #1438  COL. PASEOS DEL SOL,  C.P. 45079  ZAPOPAN, JAL.</t>
  </si>
  <si>
    <t>PROL. JILGUEROS OTE. #150 LA VENTA DEL ASTILLERO,  C.P. 45220 ZAPOPAN, JAL.</t>
  </si>
  <si>
    <t>CALLE CAMINO A LAS GRANJAS #368  CORTIJO SAN AGUSTIN, C.P. 45645  TLAJOMULCO DE ZUÑIGA, JAL.</t>
  </si>
  <si>
    <t>CALLE MORELOS #15  SATA CRUZ DEL ASTILLERO, C.P. 45360  EL ARENAL, JAL.</t>
  </si>
  <si>
    <t>PRIV. HIDALGO #6  LOC. SANTA CRUZ DEL ASTILLERO,  C.P. 45360  ZAPOPAN, JAL.</t>
  </si>
  <si>
    <t>CALLE TABACHINES #290  COL. LA VENTA DEL ASTILLERO, C.P. 45221  ZAPOPAN, JAL.</t>
  </si>
  <si>
    <t>CALLE ARAUCARIA #14 COL. JARDINES DE TALA, C.P. 45300  TALA, JAL.</t>
  </si>
  <si>
    <t>CALLE ART. 123 #212  FRACC. INFONAVIT 2, C.P. 79080  CIUDAD VALLES, S.L.P.</t>
  </si>
  <si>
    <t>CALLE MADERO #97  ZONA CENTRO,  C.P. 79000  CIUDAD VALLES, S.L.P.</t>
  </si>
  <si>
    <t>CALLE. SAN MAURICIO #232 FRACC. SAN ANGEL 2 CP.79094 CD. VALLES SAN LUIS POTOSI</t>
  </si>
  <si>
    <t>CALLE GAVIAS #34 COL. EMILIANO ZAPATA  C.P. 79020  CIUDAD VALLES, S.L.P.</t>
  </si>
  <si>
    <t>CALLE MINERVA #210 FRACC. DEL CARMEN 1  C.P. 79069  CIUDAD VALLES, S.L.P.</t>
  </si>
  <si>
    <t>CALLE PARAGUAY #46  COL. LAZARO CARDENAS,  C.P. 79020  CD. VALLES, S.L.P.</t>
  </si>
  <si>
    <t>BICENTENARIO #513, LOS NARANJOS FRACC., 79090, CIUDAD VALLES, SAN LUIS POTOSI</t>
  </si>
  <si>
    <t>CALLE JUAN RULFO #199  FRACC. CERRO ALTO,  C.P. 20179  AGUASCALIENTES, AGS.</t>
  </si>
  <si>
    <t>AV. LA PAZ #204 INT. 163  RES. SANTA MONICA,  C.P. 20286  AGUASCALIENTES, AGS.</t>
  </si>
  <si>
    <t>CALLE MOCTEZUMA #4 COL. TROJES DE ALONSO, C.P. 20116  AGUASCALIENTES, AGS.</t>
  </si>
  <si>
    <t>CALLE CULTURA CHALCA #154, MIRADOR DE LAS CULTURAS II,  C.P. 20174  AGUASCALIENTES, AGS.</t>
  </si>
  <si>
    <t>CALLE NOGAL #123  FRACC. LOS OLIVOS,  C.P. 79610  RIOVERDE, S.L.P.</t>
  </si>
  <si>
    <t>CALLE GUADALUPANOS #131 FRACC. LOS FRAILES,  C.P. 79610  RIOVERDE, S.L.P.</t>
  </si>
  <si>
    <t>ANDADOR MANDARINA #402   INFONAVIT LOS NARANJOS, C.P. 79613  RIOVERDE, S.L.P.</t>
  </si>
  <si>
    <t>MORELOS #37 BARRIO DE SANTIAGO  C.P. 79680 SAN CIRO DE ACOSTA, SLP</t>
  </si>
  <si>
    <t>AND. AZAHARES #406, COL INFONAVIT LOS NARANJOS, CP:79610, RIOVERDE, SLP</t>
  </si>
  <si>
    <t>PVDA HIDALGO #5, PUENTE DEL CARMEN, CP, 79617, PUENTE DEL CARMEN, SLP</t>
  </si>
  <si>
    <t>ALDAMA 149 E,  ZONA CENTRO, CP. 79610. RIOVERDE, SAN LUIS POTOSÍ</t>
  </si>
  <si>
    <t xml:space="preserve">CALLE DURAZNO #217 COL. OLIVAR DE LAS ANIMAS, C.P, 78790 MATEHUALA, S.L.P.  </t>
  </si>
  <si>
    <t>FRAY BARTOLOMÉ DE LAS CASAS #1701B , COL GUADALUPE, C.P.78720, MATEHUALA, S.L.P</t>
  </si>
  <si>
    <t>CALLE RIO SAN FERNANDO #601 COL. OLIVAR DE LAS ANIMAS, C.P. 78790  MTEHUALA, S.L.P.</t>
  </si>
  <si>
    <t>LOC LA CRUZ S/N, C.P. 78537, CEDRAL  S.L.P.</t>
  </si>
  <si>
    <t>CALLE DIEGO RIVERA #252  COL. VALLE DE LA DICHOSA,  C.P. 78779  MATEHUALA, S.L.P.</t>
  </si>
  <si>
    <t>ANDADOR HILDA ANDERSON DE ROJAS #100, LA DICHOSA, CP. 78779, MATEHUALA , SLP</t>
  </si>
  <si>
    <t>CALLECIRCUITO TORINO NO. 196 FRAC. CATARA C.P.78421</t>
  </si>
  <si>
    <t>CALLE TURISMO #113  VALLE DEL TECNOLOGICO,  C.P. 78137  SAN LUIS POTOSI, S.L.P.</t>
  </si>
  <si>
    <t>CTO. SAN GABRIEL #1187 FRACC. HUERTA DEL ANGEL, C.P. 78433 SOLEDAD DE GRACIANO SANCHEZ, S.L.P.</t>
  </si>
  <si>
    <t>PEDRO DE ANDA #140, POLANCO AG 05A., CP 78220, SAN LUIS POTOSI, SAN LUIS POTOSI</t>
  </si>
  <si>
    <t>PROL. NEGRETE #1021 INT 5, REAL PROVIDENCIA, SOLEDAD DE GRACIANO SANCHEZ, SAN LUIS POTOSI</t>
  </si>
  <si>
    <t>CEDROS #137, COL. JACARANDAS, C.P.78148, SAN LUIS POTOSI, SAN LUIS POTOSI</t>
  </si>
  <si>
    <t>PRIV. STA. ISABEL #111, UHM J. OTHON, C.P. 78176, SAN LUIS POTOSI, SAN LUIS POTOSI</t>
  </si>
  <si>
    <t>6tA. PRIV. VERGEL DEL SOL #141, BARRIO VERGEL, 78100, SAN LUIS POTOSI, SLP</t>
  </si>
  <si>
    <t>CALLE LADERAS #437  COL. VALLE DE LAS PALMAS,  C.P. 66635  APODACA, N.L.</t>
  </si>
  <si>
    <t>CALLE JARDINES DEL CEREZO #277  COL. JARDINES DE MONTERREY,  C.P. 66600  APODACA, N.L.</t>
  </si>
  <si>
    <t>LOS AMARANTOS #277, LOS AMARANTOS 2 E, CP 6613, APODACA, N.L.</t>
  </si>
  <si>
    <t>CALLE AGUA MARINA 1129 COL. VALLE DORADO,  C.P. 78399 SAN LUIS POTOSI, S.L.P.</t>
  </si>
  <si>
    <t>MONTREAL #206, FRACC. RENACERES RESID., C.P. 66614, APODACA NL, NUEVO LEON</t>
  </si>
  <si>
    <t>PLAYA CALETA #114.COL. DESARROLLO SAN PABLO. QUERETARO, QRO, C.P. 76125</t>
  </si>
  <si>
    <t>CTO. CANTO CALABRIA #1103 - 37, TRES CANTOS FRACC. C.P. 76177, SONTERRA FRACC. QUERETARO</t>
  </si>
  <si>
    <t>STO. DOMINGO #104, VISTA ALEGRE 1 2 Y 3A 8, CP76074, QUERETARO, QUERETATO</t>
  </si>
  <si>
    <t xml:space="preserve"> COND. SAN ANTONIO 120 #108  FRACC. LA ESTANCIA,  C.P. 38185 APASEO EL GRANDE, GTO.</t>
  </si>
  <si>
    <t>PASEOS DE MALAGA #26 120, PASEOS DEL MARQUES, C.P. 76150, PASEOS DEL MARQUES, QUERETARO</t>
  </si>
  <si>
    <t>DURANGO POB MIRANDA, COL. PRADOS D MIRANDA 4, C.P. 76240, NUEVO HORIZONTE, QUERETARO</t>
  </si>
  <si>
    <t>AV 3RO MILENIUM 103 INT 204 CP. FRACC LOMAS DEL TECNOLOGICO</t>
  </si>
  <si>
    <t>CALLE DOMINICA #103-A  COL. MISION DEL PALMAR,  C.P. 78394 VILLA DE POZOS, S.L.P.</t>
  </si>
  <si>
    <t>CIRC. VIÑEDO DE MENDOZA #204 VILLA DE POZOS, C.P. 78394 SAN LUIS POTOSI, S.L.P.</t>
  </si>
  <si>
    <t>CALLE PINOT #122  FRACC. HDA LOS MORALES,  C.P. 78438  SOLEDAD DE GRACIANO SANCHEZ, S.L.P.</t>
  </si>
  <si>
    <t>PROL. VALENTIN AMADOR #1352  3-2   AZALEAS,  C.P. 78436  SOLEDAD DE GRACIANO SANCHEZ, S.L.P.</t>
  </si>
  <si>
    <t>JOSEFA O DE DOMINGUEZ #101, TERCERA CHICA, C.P.78100, SAN LUIS POTOSI, SAN LUIS POTOSI</t>
  </si>
  <si>
    <t>GARCIA DIEGO #620-A, TEQUISQUIAPAN, C.P. 78250, SAN LUIS POTOSI, SAN LUIS POTOSI</t>
  </si>
  <si>
    <t>MORELOS #5, MANZANILLAS, CP. 79407, CERRITOS, SLP</t>
  </si>
  <si>
    <t>CALLE BEGONIA #324 COL. LAS FLORES, C.P.  78109  SAN LUIS POTOSI, S.L.P.</t>
  </si>
  <si>
    <t>CALLE JUAREZ #3438 COL. LOMA BONITA EJIDAL,  C.P. 45085   ZAPOPAN, JAL.</t>
  </si>
  <si>
    <t>CALLE ISLA CONTOY #3140, PARQUES COLON, C.P. 45608, SAN PEDRO TLAQUEPAQUE, JALISCO</t>
  </si>
  <si>
    <t>CALLE FUENTE TLAXCALA #1587, VILLA FONTANA, SAN PEDRO TLAQUEPAQUE, C.P. 45615, JALISCO</t>
  </si>
  <si>
    <t>AV. CULTURA MAYA #308 Int. 14 MZ-8 LT-5, COL. MIRADOR DE LAS CULTURAS I FRACC.</t>
  </si>
  <si>
    <t>CARR. NOGALES #21-A CRUCERO DE AMECA, C.P. 45350  ZAPOPAN, JAL</t>
  </si>
  <si>
    <t>CONDOMINIO LAGO VICTORIA #18  COL. LA ARBOLADA,  C.P. 45653  TLAJOMULCO DE ZUÑIGA, JAL.</t>
  </si>
  <si>
    <t>CTO, CHOLUL OESTE #72-A, PASEO DE VALLE, C.P. 45410, TONALA, JALISCO</t>
  </si>
  <si>
    <t>JILGUEROS #13, CIMA SERENA, C.P. 46685, EL SALTO, JALISCO</t>
  </si>
  <si>
    <t>PRIV. RIO VERDE #50, JARAL DE PAISANOS, C.P. 78470, JARAL DE PAISANOS, S.L.P.</t>
  </si>
  <si>
    <t>ALDAMA 224 INT A, EL SALTO, CP. 45680, EL SALTO , JALISCO</t>
  </si>
  <si>
    <t>CALLE GONZALO CURIEL #116 FRACC. JARDINES DEL ESTADIO, C.P. 78280  SAN LUIS POTOSI, S.L.P.</t>
  </si>
  <si>
    <t>CALLE PALMAS #153  COL. JACARANDAS,  C.P. 78140  SAN LUIS POTOSI, S.L.P.</t>
  </si>
  <si>
    <t>Calle Ramón Cano Olvera Número 155, Fraccionamiento  Arcoíris, Código Postal 78394, San Luis Potosí, San Luis Potosí</t>
  </si>
  <si>
    <t>AV. FRANCISCO MARTINEZ #1013  AGUA REAL,  C.P. 78385  SAN LUIS POTOSI, S.L.P.</t>
  </si>
  <si>
    <t>CALLE VASCO DE QUIROGA #349 COL. INDUSTRIAL AVIACION,  C.P. 78140  SAN LUIS POTOSI, S.L.P.</t>
  </si>
  <si>
    <t>BARRIO DE SANTIAGO #176  FRACC. SAN PEDRO,  C.P. 78178   SAN LUIS POTOSI, S.L.P.</t>
  </si>
  <si>
    <t>CTO. SANTA CLARA #149  FRACC. SANTA CLARA,  C.P. 78436  SOLEDAD DE GRACIANO SANCHEZ, S.L.P.</t>
  </si>
  <si>
    <t>NOGAL #129 RES. BUGAMBILIAS, C.P. 78430 SOLEDAD DE GRACIANO, S.LP.</t>
  </si>
  <si>
    <t>CALLE LISBOA #1033 FRACC. MINAS DEL REAL, C.P. 78396  SAN LUIS POTOSI, S.L.P.</t>
  </si>
  <si>
    <t>CALLE AGUAMARINA #133  FRACC. INDUSTRIAS,  C.P. 78395 SAN LUIS POTOSI, S.L.P.</t>
  </si>
  <si>
    <t>CALLE ARCO DE BELEN #105  COL. ARCOS DE SAN PEDRO, C.P. 78434  SOLEDAD DE GRACIANO SANCEHZ, S.L.P.</t>
  </si>
  <si>
    <t>CALLE PASEO DEL ECUESTRE #339  FRACC. VALLE DEL ECUESTRE, C.P. 78433 SOLEDAD DE GRACIANO SANCHEZ, S.L.P.</t>
  </si>
  <si>
    <t>CALLE VIA VENETO #268 FRACC. VILLAS VICENZA,  C.P. 78174  SAN LUIS POTOSI, S.L.P.</t>
  </si>
  <si>
    <t>MARIANO AVILA #605 DPTO. 1  TEQUISQUIAPAN, 78250  SAN LUIS POTOSI, S.L.P.</t>
  </si>
  <si>
    <t>MONTE MAYOR #104, LOMAS CUARTA SECC., 78216, SLP, SLP</t>
  </si>
  <si>
    <t>GARAMBULLO #372, FRACC. HACIENDA DEL MEZQUITAL, C.P.78180, SLP, SLP</t>
  </si>
  <si>
    <t>A. CERRADA SAN MARIN #119, COL. SAN FELIPE, C.P. 89433, SOLEDAD DE GRACIANO SANCHEZ, SAN LUIS POTOSI</t>
  </si>
  <si>
    <t>LAZARO CARDENAS #2687, COL RIVAS GUILLEN, CP. 78780, SOLEDAD DE GRACIANO SANCHEZ, SLP.</t>
  </si>
  <si>
    <t>CALLE 3, PRIV LOS ANGELES 108 C, LA VIRGEN, CP. 78430, SOLEDAD DE GRACIANO SANCHEZ, SLP</t>
  </si>
  <si>
    <t>CIRC. LAGO ARAREKO #128, COL. LAGO XOCHIMILCO, C.P. 78427, POZOS, SAN LUIS POTOSI</t>
  </si>
  <si>
    <t>CALLE GONZALO CURIEL #115  COL. ESTADIO,  C.P. 78280  SAN LUIS POTOSI, S.L.P.</t>
  </si>
  <si>
    <t>CALLE 2A. PRIV. AGUSTIN VERA #146  COL. TEQUISQUIAPAN,  C.P. 78230  SAN LUIS POTOSI, S.L.P.</t>
  </si>
  <si>
    <t>VALLEJO #45, RNDA X AEROPUERTO, C.P. 78100, RINCONADA, SLP</t>
  </si>
  <si>
    <t>PRIV. DE CIRUELOS #110, FRACC. TECNOLOGICO, SAN LUIS POTOSI, SAN LUIS POTOSI</t>
  </si>
  <si>
    <t>PROL. MARIANO JIMENEZ # 1828  COL. BALCONES DEL VALLE,  C.P.78280  SAN LUIS POTOSI, S.L.P.</t>
  </si>
  <si>
    <t>LOGISTICA</t>
  </si>
  <si>
    <t>TRASCABO</t>
  </si>
  <si>
    <t>DIESEL</t>
  </si>
  <si>
    <t>ADMINISTRACION/CYC</t>
  </si>
  <si>
    <t xml:space="preserve">ADMINISTRACION  </t>
  </si>
  <si>
    <t xml:space="preserve">PRODUCCION  </t>
  </si>
  <si>
    <t>JOSE IGNACIO DOMINGUEZ</t>
  </si>
  <si>
    <t>JORGE ARMANDO MIRELES</t>
  </si>
  <si>
    <t>JUAN ANTONIO TRISTAN</t>
  </si>
  <si>
    <t>HUMBERTO RANGEL</t>
  </si>
  <si>
    <t>MONICA DELGADILLO</t>
  </si>
  <si>
    <t>JORGE GUANTE</t>
  </si>
  <si>
    <t>ANTONIO TRISTAN</t>
  </si>
  <si>
    <t>FIDEL CABRERA</t>
  </si>
  <si>
    <t>OSVALDO GARCIA LOPEZ</t>
  </si>
  <si>
    <t>SALVADOR PICHARDO</t>
  </si>
  <si>
    <t>EDGAR OMAR PAREDES</t>
  </si>
  <si>
    <t>VERONICA MENDEZ</t>
  </si>
  <si>
    <t>MARIO OBREGON</t>
  </si>
  <si>
    <t>EDILBERTO</t>
  </si>
  <si>
    <t>MARIO ALBERTO QUINTERO</t>
  </si>
  <si>
    <t>RAUL BALDERAS</t>
  </si>
  <si>
    <t>ERNESTO ZUÑIGA</t>
  </si>
  <si>
    <t>ISAAC SALAZAR</t>
  </si>
  <si>
    <t>RODRIGO SANCHEZ</t>
  </si>
  <si>
    <t>MISAEL DEL ANGEL</t>
  </si>
  <si>
    <t>FLORENTINO MOCTEZUMA</t>
  </si>
  <si>
    <t>CAROLINA RESENDIZ</t>
  </si>
  <si>
    <t>BENJAMIN SANCHEZ</t>
  </si>
  <si>
    <t>EDUARDO VEGA</t>
  </si>
  <si>
    <t>RODOLFO GONZALEZ</t>
  </si>
  <si>
    <t>MANUEL TOLEDO</t>
  </si>
  <si>
    <t>HECTOR LIMON</t>
  </si>
  <si>
    <t>ENRIQUE ALVAREZ</t>
  </si>
  <si>
    <t>TERESA RODRIGUEZ</t>
  </si>
  <si>
    <t>EDUARDO SALINAS</t>
  </si>
  <si>
    <t>MAYRA SALCIDO</t>
  </si>
  <si>
    <t>JOSE LEON CHAPA</t>
  </si>
  <si>
    <t>JOSE CHAPA</t>
  </si>
  <si>
    <t>JORGE GARCIA</t>
  </si>
  <si>
    <t>CARLOS RICO</t>
  </si>
  <si>
    <t>OSCAR VILCHIS</t>
  </si>
  <si>
    <t>MARIA ARAIZA</t>
  </si>
  <si>
    <t>LILIANA RAMOS</t>
  </si>
  <si>
    <t>JESUS TORRES</t>
  </si>
  <si>
    <t>ROCIO GONZALEZ</t>
  </si>
  <si>
    <t>CARMEN MARTINEZ</t>
  </si>
  <si>
    <t>VERONICA SOTO</t>
  </si>
  <si>
    <t>SECUNDARIA TRUNCA</t>
  </si>
  <si>
    <t xml:space="preserve">BACHILLERATO </t>
  </si>
  <si>
    <t>INGENIERIA EN DESARROLLO E INNOVACION EMPRESARIAL</t>
  </si>
  <si>
    <t>LICENCIATURA TRUNCA</t>
  </si>
  <si>
    <t>CONTADOR PRIVADO</t>
  </si>
  <si>
    <t>CONTADOR PUBLICO</t>
  </si>
  <si>
    <t>TECNICO EN INFORMATICA</t>
  </si>
  <si>
    <t>PROFESIONISTA</t>
  </si>
  <si>
    <t>LICENCIATURA EN CIENCIAS DE LA COMUNICACIÓN</t>
  </si>
  <si>
    <t>IAS SEMANAL</t>
  </si>
  <si>
    <t>ASIMILABLE</t>
  </si>
  <si>
    <t>CIUDAD VALLES, S.L.P.</t>
  </si>
  <si>
    <t xml:space="preserve">AV. 18 DE MARZO No. 704, COL. LA NOGALERA  C.P. 44470, GUADALAJARA, JALISCO </t>
  </si>
  <si>
    <t>EJE 128 S/N ZONA INDUSTRIAL SAN LUIS POTOSI. C.P. 78412</t>
  </si>
  <si>
    <t>EJE 128 S/N ZONA INDUSTRIAL SAN LUIS POTOSI. C.P. 78408</t>
  </si>
  <si>
    <t>EJE 128 S/N ZONA INDUSTRIAL SAN LUIS POTOSI. C.P. 78415</t>
  </si>
  <si>
    <t>EJE 128 S/N ZONA INDUSTRIAL SAN LUIS POTOSI. C.P. 78395</t>
  </si>
  <si>
    <t>EJE 128 S/N ZONA INDUSTRIAL SAN LUIS POTOSI. C.P. 78416</t>
  </si>
  <si>
    <t>JOSÉ MA. CHÁVEZ # 3306  CD. INDUSTRIAL, C.P. 20190 AGUASCALIENTES, AGS</t>
  </si>
  <si>
    <t>JOSÉ MA. CHÁVEZ # 3306  CD INDUSTRIAL  20190      AGUASCALIENTES, AGS</t>
  </si>
  <si>
    <t>ARAMBERRI #132- A COL. CENTRO,  C.P. 78700  MATEHUALA, S.L.P.</t>
  </si>
  <si>
    <t>AV. RAUL SALINAS #121-B  COL.CELESTINO GASCA, C.P. 66055  ESCOBEDO, N.L.</t>
  </si>
  <si>
    <t xml:space="preserve"> Luis Neri s/n (entre Juárez Sur y Madero Sur), Zona Centro, Rioverde, S.L.P. C.P. 79610</t>
  </si>
  <si>
    <t xml:space="preserve"> BUSTAMANTE NO. 901 SOLEDAD DE GRACIANO SÁNCHEZ, SLP</t>
  </si>
  <si>
    <t>CARRETERA VALLES-TAMPICO KM 1 COL. BELLA VISTA, CD. VALLES, S.L.P.</t>
  </si>
  <si>
    <t>JOSE BUSTAMANTE #305  COL. LAGUNITA,  C.P. 78770  MATEHUALA, S.L.P.</t>
  </si>
  <si>
    <t>NEZAHUALCOYOTL 39. LOCALIDAD: CUMBRES DE CONIN TERCERA SECCION, MUNICIO DEL MARQUES, QUERETARO, C.P. 76246</t>
  </si>
  <si>
    <t>EJE 128 S/N ZONA INDUSTRIAL SAN LUIS POTOSI. C.P. 78396</t>
  </si>
  <si>
    <t>EJE 128 S/N ZONA INDUSTRIAL SAN LUIS POTOSI. C.P. 78399</t>
  </si>
  <si>
    <t>EJE 128 S/N ZONA INDUSTRIAL SAN LUIS POTOSI. C.P. 78397</t>
  </si>
  <si>
    <t>EJE 128 S/N ZONA INDUSTRIAL SAN LUIS POTOSI. C.P. 78404</t>
  </si>
  <si>
    <t>LUNES A VIERNES</t>
  </si>
  <si>
    <t>NORA DIANA HERNANDEZ GONZALEZ</t>
  </si>
  <si>
    <t>MARIA MAYELA JASSO MIRANDA</t>
  </si>
  <si>
    <t>MARIANA YAÑES SALAS</t>
  </si>
  <si>
    <t>MIRIAM DEL ROCIO BARRERA PALOMO</t>
  </si>
  <si>
    <t>CITLALLI CASTRO GARCIA</t>
  </si>
  <si>
    <t>YAZMIN CARDEÑA HERNANDEZ</t>
  </si>
  <si>
    <t>VANESSA ABIGAIL MUÑOZ AGUILAR</t>
  </si>
  <si>
    <t>ANA KAREN MIRELES ARANDA</t>
  </si>
  <si>
    <t>MARIELA JUAREZ GAMEZ</t>
  </si>
  <si>
    <t>ELIZABETH VICUÑA TORRES</t>
  </si>
  <si>
    <t>YOLANDA ARACELI MORENO RIVERA</t>
  </si>
  <si>
    <t>ALEJANDRA CERDA RAMOS</t>
  </si>
  <si>
    <t>MARICELA CHAVEZ RIVERA</t>
  </si>
  <si>
    <t>MARTHA SARAHI VAZQUEZ RIOS</t>
  </si>
  <si>
    <t>BERTHA ALICIA GONZALEZ PADILLA</t>
  </si>
  <si>
    <t>ANAYELI DEL CARMEN VALDEZ VAZQUEZ</t>
  </si>
  <si>
    <t>YOLANDA RUIZ RODRIGUEZ</t>
  </si>
  <si>
    <t>ROCIO CRUZ AVILES</t>
  </si>
  <si>
    <t>PATRICIA SARAI BARBA LLAMAS</t>
  </si>
  <si>
    <t>BLANCA PAOLA RAMIREZ CORONADO</t>
  </si>
  <si>
    <t>ANA MARIA GUADALUPE VALDEZ CASTILLO</t>
  </si>
  <si>
    <t>ASAID MONSERRATH MONROY CASTILLO</t>
  </si>
  <si>
    <t>JOSEFINA NAVARRO PEREZ</t>
  </si>
  <si>
    <t>NANCY GUADALUPE MIRANDA VAZQUEZ</t>
  </si>
  <si>
    <t>PAOLA ESMERALDA SANCHEZ GOMEZ</t>
  </si>
  <si>
    <t>ALONDRA BERENICE GALICIA</t>
  </si>
  <si>
    <t>PATRICIA VELAZQUEZ LOPEZ</t>
  </si>
  <si>
    <t>MARIA DOLORES SOLIS REBOLLO</t>
  </si>
  <si>
    <t>RUTH VENEGAS ALDRETE</t>
  </si>
  <si>
    <t>ESMERALDA TORRES ALEGRIA</t>
  </si>
  <si>
    <t>OLGA GUADALUPE ARTEAGA MEDRANO</t>
  </si>
  <si>
    <t>VICTORINA SANCHEZ CHINO</t>
  </si>
  <si>
    <t>JESABEL ELIENAI AGUILAR VAZQUEZ</t>
  </si>
  <si>
    <t>NORMA VALDIVIA RAMIREZ</t>
  </si>
  <si>
    <t>MAYRA CAROLINA VARGAS BAÑUELOS</t>
  </si>
  <si>
    <t>NARDA TERESA REYES IÑIGUEZ</t>
  </si>
  <si>
    <t>ELENA JOCELINE ROCHA BARAJAS</t>
  </si>
  <si>
    <t>JUANA MARIA LOZA MAYORGA</t>
  </si>
  <si>
    <t>BRENDA BERENICE CRUZ ORNELAS</t>
  </si>
  <si>
    <t>MARIA ROSALINA HERNANDEZ JUAREZ</t>
  </si>
  <si>
    <t>PATRICA FLORES UDAVE</t>
  </si>
  <si>
    <t>AZUCENA GARCIA PEREZ</t>
  </si>
  <si>
    <t>MARTHA YOLANDA LOMELI DIAZ</t>
  </si>
  <si>
    <t>MA ASUNCION RODRIGUEZ ALFARO</t>
  </si>
  <si>
    <t>LILIANA SANDOVAL RODRIGUEZ</t>
  </si>
  <si>
    <t>EDUARDO DANIEL ESPINOZA GUTIERREZ</t>
  </si>
  <si>
    <t>CECILIA PEREZ RAMOS</t>
  </si>
  <si>
    <t>CLAUDIA MARLENE LLANAS ARANDA</t>
  </si>
  <si>
    <t>ALEJANDRINA LEMOS RODRIGUEZ</t>
  </si>
  <si>
    <t>ISRAEL EZAU MEJIA MARTINEZ</t>
  </si>
  <si>
    <t>DULCE ANALY ALAVRZE GEL</t>
  </si>
  <si>
    <t>SONIA CASTILLO BAEZ</t>
  </si>
  <si>
    <t>JAVIER CASRILLO MACIAS</t>
  </si>
  <si>
    <t>JESSICA GUADALUPE VELAZQUEZ TORRES</t>
  </si>
  <si>
    <t>MARIANA ELIZABETH LOREDO VAZQUEZ</t>
  </si>
  <si>
    <t>ELSA MA RODRIGUEZ ALBINO</t>
  </si>
  <si>
    <t>ELVIA PATRICIA BRIONES TORRES</t>
  </si>
  <si>
    <t>LILIA ANGELICA MARTINEZ GUTIERREZ</t>
  </si>
  <si>
    <t>ORALIA PEREZ SILOS</t>
  </si>
  <si>
    <t>ASZUCENA RODRIGUEZ OLIVERA</t>
  </si>
  <si>
    <t>KARINA ELIZABETH EZCALANTE CARRILLO</t>
  </si>
  <si>
    <t>GLORIA VELAZQUEZ RAMIREZ</t>
  </si>
  <si>
    <t>ALICIA JIMENEZ MARTINEZ</t>
  </si>
  <si>
    <t>ANGELICA YESENIA MULGADO PADILLA</t>
  </si>
  <si>
    <t>ANGELICA GUADALUPE JAIMES VILLA</t>
  </si>
  <si>
    <t>NATALIA YOSELIN RAMIREZ ORTEGA</t>
  </si>
  <si>
    <t>FATIMA YULIANA RODRIGUEZ GARCIA</t>
  </si>
  <si>
    <t>ANA ROSA SANDOVAL LOMELI</t>
  </si>
  <si>
    <t>GABRIEL HERNANDEZ RODRIGUEZ</t>
  </si>
  <si>
    <t xml:space="preserve">MARIA GUADALUPE JIMENEZ </t>
  </si>
  <si>
    <t>OBDULIA MARTINEZ MARTINEZ</t>
  </si>
  <si>
    <t>PATROCINIO PALMA HERNANDEZ</t>
  </si>
  <si>
    <t>LUZ JIMENA GONZALEZ JUAREZ</t>
  </si>
  <si>
    <t xml:space="preserve">ROSA MARIA TORRES CASTRO </t>
  </si>
  <si>
    <t>SILVIA HERNANDEZ</t>
  </si>
  <si>
    <t>DIANA ELIZABETH SLVA MACHUCA</t>
  </si>
  <si>
    <t>FRANCISCO JAVIER LOERA DOMINGUEZ</t>
  </si>
  <si>
    <t>CECILIA GUADALUPE COLUNGA DE LOS SANTOS</t>
  </si>
  <si>
    <t>NANCY ALEJANDRA MUÑOZ LOPEZ</t>
  </si>
  <si>
    <t>CRISTAL DEL PILAR DIAZ LOZANO</t>
  </si>
  <si>
    <t>ANTONIA HERNANDEZ PEREZ</t>
  </si>
  <si>
    <t>JOSE MANUEL RODRIGUEZ MOSQUEDA</t>
  </si>
  <si>
    <t>IMELDA GARCIA RIVAS</t>
  </si>
  <si>
    <t>MA JUANA MENDOZA VAZQUEZ</t>
  </si>
  <si>
    <t>MIRIAM ALEJANDRA GUIZAR CAMARILLO</t>
  </si>
  <si>
    <t>NICOLLE ASTRID RODRIGUEZ ESPARZA</t>
  </si>
  <si>
    <t>VICTOR DANIEL TORRES ALVARADO</t>
  </si>
  <si>
    <t>JESSICA JAZMIN GUERRERO ZAMORA</t>
  </si>
  <si>
    <t xml:space="preserve">MARIA DEL ROCIO CAMARILLO GAYTAN </t>
  </si>
  <si>
    <t>HERLINDA RODRIGUEZ RODRIGUEZ</t>
  </si>
  <si>
    <t>VICTOR RODRIGUEZ CUELLO</t>
  </si>
  <si>
    <t>MARIA FERNANDA MORALES AREVALO</t>
  </si>
  <si>
    <t>JAZMIN ALEJANDRA CORONADO CISNEROS</t>
  </si>
  <si>
    <t>PERLA KARINA TORRES LOPEZ</t>
  </si>
  <si>
    <t>ESTEFANY DAYAN RIVAS RANGEL</t>
  </si>
  <si>
    <t>NORMA MARGARITA RODRIGUEZ</t>
  </si>
  <si>
    <t>MA. DEL SOCORRO MARTINEZ JUAREZ</t>
  </si>
  <si>
    <t>CONCEPCION GUADALUPE VEGA ANAYA</t>
  </si>
  <si>
    <t>MARIA DEL CARMEN SAUCEDA CARRANZA</t>
  </si>
  <si>
    <t>ARMINDA DE LA ROSA HERNANDEZ</t>
  </si>
  <si>
    <t>LILIANA RUIZ BLANCO</t>
  </si>
  <si>
    <t>MIRIAM LIZETH AMARO ALONSO</t>
  </si>
  <si>
    <t>CARMELA LORENZO BUENO</t>
  </si>
  <si>
    <t>MAYOLO JACOBO ALVAREZ</t>
  </si>
  <si>
    <t>JUANA MARIA GARCIA TREJO</t>
  </si>
  <si>
    <t>MAYTE GONZALEZ LOPEZ</t>
  </si>
  <si>
    <t>MARIA GENOVEVA MARTINEZ TORRES</t>
  </si>
  <si>
    <t>CLARA LUZ PEREZ PAEZ</t>
  </si>
  <si>
    <t>CRISTINA OLVERA MORALES</t>
  </si>
  <si>
    <t>HARIM NOHEMI MENDEZ GONZALEZ</t>
  </si>
  <si>
    <t>MARIA DEL CARMEN RUBIO</t>
  </si>
  <si>
    <t>MIGUEL ANGEL RODRIGUEZ T</t>
  </si>
  <si>
    <t>ERICA PEDRAZA HERNANDEZ</t>
  </si>
  <si>
    <t>MARICRUZ TORRES RANGEL</t>
  </si>
  <si>
    <t>YOBANI JANETH HERNANDEZ CASTILLO</t>
  </si>
  <si>
    <t>PEDRO HERNANDEZ REYNA</t>
  </si>
  <si>
    <t>CESAR ALEJANDRO GUTIERREZ ANGUIANO</t>
  </si>
  <si>
    <t>MINERVA RESENDIZ GONZALEZ</t>
  </si>
  <si>
    <t>JESSICA GUADALUPE JUAREZ CASTRO</t>
  </si>
  <si>
    <t>ERIKA GUTIERREZ MENDEZ</t>
  </si>
  <si>
    <t>JOSEFINA GONZALEZ MARTINEZ</t>
  </si>
  <si>
    <t>BRENDA MARGARITA MONTAÑO MARTINEZ</t>
  </si>
  <si>
    <t>JOSE RICARDO RETAMOZA ZACARIAS</t>
  </si>
  <si>
    <t>ANGELICA VEGA MATA</t>
  </si>
  <si>
    <t>DULCE ESPERANZA CHAVARRIA PEREZ</t>
  </si>
  <si>
    <t>YESSENIA SILVA ALVAREZ</t>
  </si>
  <si>
    <t>MARIA GUADALUPE HERNANDEZ CHAVEZ</t>
  </si>
  <si>
    <t>ANALLELY MARTINEZ ALVARADO</t>
  </si>
  <si>
    <t>MA. ALEJANDRA MEDELLIN PADRON</t>
  </si>
  <si>
    <t>LAURA MARIA PLATA OVIEDO</t>
  </si>
  <si>
    <t>CLAUDA ELIZABETH SILVA RAMIREZ</t>
  </si>
  <si>
    <t>ELVIRA GUEL CRUZ</t>
  </si>
  <si>
    <t>MARIA MAGDALENA RAMIREZ MONSIVAIS</t>
  </si>
  <si>
    <t>MARIA DE LOS ANGELES LOPEZ RODRIGUEZ</t>
  </si>
  <si>
    <t>MA GUADALUPE RODRÍGUEZ RODRÍGUEZ</t>
  </si>
  <si>
    <t>BRENDA ESPINOZA GONZALEZ</t>
  </si>
  <si>
    <t xml:space="preserve">MARIA ELENA SALAZAR MARQUEZ </t>
  </si>
  <si>
    <t>VIVIANA BRAVO AGUILAR</t>
  </si>
  <si>
    <t>JOSE JUAREZ GARCIA</t>
  </si>
  <si>
    <t>MA DE LOS ANGELES RIVERA LOPEZ</t>
  </si>
  <si>
    <t>YANELE JANETH CADENAS MONSIVAIS</t>
  </si>
  <si>
    <t>JUAN MARCELO LOPEZ LOPEZ</t>
  </si>
  <si>
    <t>Vianey Salazar Maldonado</t>
  </si>
  <si>
    <t>MA. DEL PILAR MARTINEZ SANCHEZ</t>
  </si>
  <si>
    <t>ANITA HERNANDEZ FLORES</t>
  </si>
  <si>
    <t>FELICIANA MARTINEZ SANTIAGO</t>
  </si>
  <si>
    <t>NEREIDA SANTIAGO HERNANDEZ</t>
  </si>
  <si>
    <t>FRANCISCO HERNANDEZ HERNANDEZ</t>
  </si>
  <si>
    <t>FELICITAS ESPINOSA CORONADO</t>
  </si>
  <si>
    <t xml:space="preserve">MARIA GUADALUPE GARCIA FERNANDEZ </t>
  </si>
  <si>
    <t xml:space="preserve">CAYETANO GUERRERO MENDEZ </t>
  </si>
  <si>
    <t>MA. MARTHA VIDALES GARCIA</t>
  </si>
  <si>
    <t>DULCE ESMERALDA NOYOLA HERNANDEZ</t>
  </si>
  <si>
    <t>KARLA RUBI ORTIZ ROCHA</t>
  </si>
  <si>
    <t>JOSE ANGEL MUÑOS PIÑA</t>
  </si>
  <si>
    <t>MARTHA HERNANDEZ CRUZ</t>
  </si>
  <si>
    <t>DULCE ARELY MARTINEZ SANCHEZ</t>
  </si>
  <si>
    <t>MARIA GUADALUPE BRISEÑO TORRES</t>
  </si>
  <si>
    <t>LUISA FERNANDA RODRIGUEZ TOVAR                  
WENCESLAO RODRIGUEZ TOVAR
VALERIA RODRIGUEZ TOVAR</t>
  </si>
  <si>
    <t>SYLVA ALEXA PONDLER</t>
  </si>
  <si>
    <t>HECTOR ABISAI LIMON PEREZ</t>
  </si>
  <si>
    <t>JUANITA DE LA CRUZ QUINTANA SANCHEZ
BENJAMIN BERNABE LOREDO QUINTANA</t>
  </si>
  <si>
    <t>DANYISABEL HERNANDEZ MOCTEZUMA                DANYISABEL MOCTEZUMA CANTU             ELENA SANCHEZ MORIN</t>
  </si>
  <si>
    <t>BARTOLA OLIVA PONCE                              ORTEGA OLIVA JOSE EMILIO</t>
  </si>
  <si>
    <t>HERNANDEZ HERNANDEZ RITA                      INES HERNANDEZ HERNANDEZ</t>
  </si>
  <si>
    <t>DIANA MENDEZ MARTINEZ</t>
  </si>
  <si>
    <t>MARIA MAGADALENA SOLIS ELIZONDO           LUZ MARIA ILVERA GALVAN</t>
  </si>
  <si>
    <t>VICENTE SOTO ZUÑIGA                                         MARIA CLARA MARTINEZ ROCHA</t>
  </si>
  <si>
    <t>GABRIELA ESTRADA CHAVEZ                        NICASIO ESCAMILLA LORENZO</t>
  </si>
  <si>
    <t>ERENDIRA GUADALUPE MORENO RIVERA</t>
  </si>
  <si>
    <t>OFELIA PESCINA RANGEL</t>
  </si>
  <si>
    <t>KARLA ESPINOSA GARCIA</t>
  </si>
  <si>
    <t>BEATRIZ ADRIANA MALDONADO OLIVERA</t>
  </si>
  <si>
    <t>ROSA MA. CORTEZ RODRIGUEZ</t>
  </si>
  <si>
    <t>HUMBERTO MIRANDA CEPEDA</t>
  </si>
  <si>
    <t>TOMASA TORRES HERNANDEZ</t>
  </si>
  <si>
    <t>ESMERALDA NALLELY JASSO BLANCO</t>
  </si>
  <si>
    <t>LILIA NOHEMI HERNANDEZ ARIAS</t>
  </si>
  <si>
    <t>JUANA IMELDA LECHUGA POLO</t>
  </si>
  <si>
    <t>ZENAIDA HERNANDEZ RIOS</t>
  </si>
  <si>
    <t>MARIA REBECA OLVERA LOPEZ</t>
  </si>
  <si>
    <t>MARIA FERNANDA SOTO BUSTOS</t>
  </si>
  <si>
    <t>MA. EVA NERI URESTI</t>
  </si>
  <si>
    <t>JAVIER ARMANDO GONZALEZ ALVAREZ</t>
  </si>
  <si>
    <t>ANA LILIA HERNANDEZ GUADARRAMA</t>
  </si>
  <si>
    <t>LUZ MARIA RODRIGUEZ BUENDIA</t>
  </si>
  <si>
    <t>FABIAN ALEXANDER GAMBOA MIRANDA</t>
  </si>
  <si>
    <t>JOSE DE JESUS LOPEZ HERALDEZ</t>
  </si>
  <si>
    <t>ESTHER ZAVALA SERNA</t>
  </si>
  <si>
    <t>ANGEL OSIEL GONZALEZ SANCHEZ</t>
  </si>
  <si>
    <t>LUZ DEL CARMEN PUENTE MENDOZA</t>
  </si>
  <si>
    <t>FRANCISCO CORONADO GARCIA</t>
  </si>
  <si>
    <t>DIANA ARELY RUIZ PEREZ</t>
  </si>
  <si>
    <t>OBED FRANCISCO RENDON MEDINA</t>
  </si>
  <si>
    <t>ELVIA ANGELICA ARANDA GARZA</t>
  </si>
  <si>
    <t>MA BELEN CUADROS SANCHEZ</t>
  </si>
  <si>
    <t>EMMA HANIEL GONZALEZ BACA</t>
  </si>
  <si>
    <t>JESUS ADRIANA MATA CASTILLO</t>
  </si>
  <si>
    <t>MARTHA MARGARITA PALACIOS RODRIGUEZ</t>
  </si>
  <si>
    <t>REINA GALLARDO MOSQUEDA</t>
  </si>
  <si>
    <t>PAULINA NAVA LOPEZ</t>
  </si>
  <si>
    <t>MARIELENA MUÑIZ TORRES</t>
  </si>
  <si>
    <t>CESAR MARTIN CORONADO RAMIREZ</t>
  </si>
  <si>
    <t>CARLOS ALBERTO HERRERA CORTES</t>
  </si>
  <si>
    <t xml:space="preserve">NA </t>
  </si>
  <si>
    <t>ANA MARIA PASCUAL FLORES</t>
  </si>
  <si>
    <t>JUANA MARIA SORIA RAMIREZ</t>
  </si>
  <si>
    <t>MARIA CECILIA RUIZ TERRONES</t>
  </si>
  <si>
    <t>LEOBARDA MARGARITA GARCIA MARTINEZ</t>
  </si>
  <si>
    <t>ARACELI VILLALON PAULIN</t>
  </si>
  <si>
    <t>IRVING ARTURO BRIONES DE LA CRUZ</t>
  </si>
  <si>
    <t>KENIA VANESA DUEÑAS VILLASANA</t>
  </si>
  <si>
    <t>LUCIA AZUA DOMINGUEZ</t>
  </si>
  <si>
    <t>MA. DEL SOCORRO HUERTA HUERTA</t>
  </si>
  <si>
    <t>RAUL ANTONIO VILLALOBOS MARTINEZ</t>
  </si>
  <si>
    <t>VIVIANA PEREZ MEDINA</t>
  </si>
  <si>
    <t>MA. TERESEA GONZALEZ DE LIRA</t>
  </si>
  <si>
    <t>JOSE AURELIO MARTINEZ MARTINEZ</t>
  </si>
  <si>
    <t>JOSE JULIAN HERNANDEZ ARIAS</t>
  </si>
  <si>
    <t>PEDRO ABEL GOMEZ IBARRA</t>
  </si>
  <si>
    <t xml:space="preserve">ANA LILIA RODRIGUEZ HERNANDEZ </t>
  </si>
  <si>
    <t>CARLOS EDUARDO SOLDEVILLA PACHECO</t>
  </si>
  <si>
    <t>CATALINA DIAZ TORRES</t>
  </si>
  <si>
    <t>ITIEL ANDRADE MARTINEZ</t>
  </si>
  <si>
    <t>MA. GUADALUPE CANDIA MATA</t>
  </si>
  <si>
    <t xml:space="preserve">ROCIO DEL CARMEN DE LEON PUENTE </t>
  </si>
  <si>
    <t>MARIA TERESA ESPINOZA PEREZ</t>
  </si>
  <si>
    <t>MARIA NAYELI RODRIGUEZ OLIVA</t>
  </si>
  <si>
    <t>MARIA ELIA GLORIA CAMARILLO</t>
  </si>
  <si>
    <t>FRANSIS DAMARY LUNA RODRIGUEZ</t>
  </si>
  <si>
    <t>MONICA MONSIVAIS RODRIGUEZ</t>
  </si>
  <si>
    <t>OFELIA DIAZ REYES</t>
  </si>
  <si>
    <t>OYUKI WONG PENSADO</t>
  </si>
  <si>
    <t>LUZ MARIA RAMIEREZ ARTEAGA</t>
  </si>
  <si>
    <t>RENE NAVARRO ALMENDAREZ</t>
  </si>
  <si>
    <t>CELIA HERRERA MARCIAL</t>
  </si>
  <si>
    <t>LORENZA BUENO RAMIREZ</t>
  </si>
  <si>
    <t>IRMA PICAZZO CORRAL</t>
  </si>
  <si>
    <t>MARIA DE LA LUZ ROSAS TINAJERO</t>
  </si>
  <si>
    <t>ALMA ROSA REYES GUERRERO</t>
  </si>
  <si>
    <t>JESSICA SELENE CASTILLO GARCIA</t>
  </si>
  <si>
    <t>BEATRIZ RUIZ RIOS</t>
  </si>
  <si>
    <t>Littzy yaneth rodriguez ambriz</t>
  </si>
  <si>
    <t>ROBERTO SERGRIO MIRANDA GARCIA</t>
  </si>
  <si>
    <t>YRASEMA NOHEMY HERNANDEZ ROJAS</t>
  </si>
  <si>
    <t>CARMEN ADRIANA LUGO GONZALEZ</t>
  </si>
  <si>
    <t>FATIMA LOPEZ ROMERO</t>
  </si>
  <si>
    <t>EDITH CRESPO RANGEL</t>
  </si>
  <si>
    <t>GUADALUPE ITZEL HERNANDEZ RODRIGUEZ</t>
  </si>
  <si>
    <t>MICHELLE ARREGUIN SERRANO, IVONNE ARREGUIN SERRANO</t>
  </si>
  <si>
    <t>TANIA ERENDIRA MARTINEZ SANCHEZ</t>
  </si>
  <si>
    <t>ANGELICA RAMIREZ SIFUENTES</t>
  </si>
  <si>
    <t>MARIBEL FABIOLA MANCILLA SOLANO</t>
  </si>
  <si>
    <t>MICHELLE ANDREA OBREGON DELGADILLO</t>
  </si>
  <si>
    <t>FELIPE DE JESUS HERNANDEZ SANCHEZ</t>
  </si>
  <si>
    <t>KEVIN EDMUNDO MERCADO TORRES</t>
  </si>
  <si>
    <t>ALBERTINA ALVAREZ MANZANO</t>
  </si>
  <si>
    <t>IRMA EDITH REYNOSO LOPEZ</t>
  </si>
  <si>
    <t>KARINA CARDENAS PARRA</t>
  </si>
  <si>
    <t>MARIPAZ SOFIA ORTEGA MORA</t>
  </si>
  <si>
    <t>GRACIELA RIVERA ARELLANO</t>
  </si>
  <si>
    <t>IRMA CAMACHO BRISEÑO</t>
  </si>
  <si>
    <t>KARINA OCAMPO VALDEZ</t>
  </si>
  <si>
    <t>NANCY XITLALI CHAVEZ MENDEZ 50% ZOEM JOVANNY SANCHEZ GRACIAN 50%</t>
  </si>
  <si>
    <t>LORENA TORRES SANTANA</t>
  </si>
  <si>
    <t>ERENDIRA NATALI LIMON VIERA</t>
  </si>
  <si>
    <t>MANUELA CRUZ CASTILLO</t>
  </si>
  <si>
    <t>ERICKA GUADALUPE TORRES VALDEZ</t>
  </si>
  <si>
    <t>JAIME GAMALIEL SOLIS LARA</t>
  </si>
  <si>
    <t>JAIME MACIAS OVIEDO</t>
  </si>
  <si>
    <t>MARIA DEL CONSUELO PADRON MERCADO</t>
  </si>
  <si>
    <t>GILBERTO BLANCO ALFARO</t>
  </si>
  <si>
    <t>MARIA DEL CARMEN DIAZ MERCADO</t>
  </si>
  <si>
    <t>JOSE SALVADOR LOPEZ LUJAN</t>
  </si>
  <si>
    <t>LUZ MAGALI CRUZ HERNANDEZ</t>
  </si>
  <si>
    <t>JOSE EDUARDO MALDONADO RAMIREZ</t>
  </si>
  <si>
    <t>KARLA CITLALIC ARVIZU GONZALEZ</t>
  </si>
  <si>
    <t>MARGARITA ORTIZ MALDONADO</t>
  </si>
  <si>
    <t>MARIA DE LOURDES GAMEZ JUAREZ</t>
  </si>
  <si>
    <t>ANETTE VAZQUEZ ANAYA</t>
  </si>
  <si>
    <t>LUZ MARIA REYNA ARQUIETA</t>
  </si>
  <si>
    <t>FONACOT</t>
  </si>
  <si>
    <t>TOTAL DE NUMERO DE HIJOS</t>
  </si>
  <si>
    <t>TELEFONO DE EMERGENCIA</t>
  </si>
  <si>
    <t xml:space="preserve">DOMINGOS </t>
  </si>
  <si>
    <t>444 142 1421</t>
  </si>
  <si>
    <t>444 423 9999</t>
  </si>
  <si>
    <t>444 1 706090</t>
  </si>
  <si>
    <t>444 202 1506</t>
  </si>
  <si>
    <t>228 365 4436</t>
  </si>
  <si>
    <t>444 717 4242</t>
  </si>
  <si>
    <t>444 496 2389</t>
  </si>
  <si>
    <t>444 336 3756</t>
  </si>
  <si>
    <t>332 817 5218</t>
  </si>
  <si>
    <t>33 2211 4379</t>
  </si>
  <si>
    <t>33 3601 6745</t>
  </si>
  <si>
    <t>33 1874 4918</t>
  </si>
  <si>
    <t>33 3484 0111</t>
  </si>
  <si>
    <t>332 851 3156</t>
  </si>
  <si>
    <t>331 071 1951</t>
  </si>
  <si>
    <t>332 577 7653</t>
  </si>
  <si>
    <t>332 800 3145</t>
  </si>
  <si>
    <t>444 600 4185</t>
  </si>
  <si>
    <t>332 670 2843</t>
  </si>
  <si>
    <t>332 158 8154</t>
  </si>
  <si>
    <t>331 460 7371</t>
  </si>
  <si>
    <t>331 395 9994</t>
  </si>
  <si>
    <t>331 583 2361</t>
  </si>
  <si>
    <t>557 185 5754</t>
  </si>
  <si>
    <t>334 296 5107</t>
  </si>
  <si>
    <t>333 140 7157</t>
  </si>
  <si>
    <t>0012243319004</t>
  </si>
  <si>
    <t>444 122 3603</t>
  </si>
  <si>
    <t>444 312 2687</t>
  </si>
  <si>
    <t>55 1277 4275</t>
  </si>
  <si>
    <t>444 618 7795</t>
  </si>
  <si>
    <t>444 192 2021</t>
  </si>
  <si>
    <t>444 325 4465</t>
  </si>
  <si>
    <t>444 4386844</t>
  </si>
  <si>
    <t>444 288 1933</t>
  </si>
  <si>
    <t>444 467 3813</t>
  </si>
  <si>
    <t>444 154 3200</t>
  </si>
  <si>
    <t>444 448 2032</t>
  </si>
  <si>
    <t>444 434 3792</t>
  </si>
  <si>
    <t>444 325 2749</t>
  </si>
  <si>
    <t>33 2255 0833</t>
  </si>
  <si>
    <t>33 2321 3523</t>
  </si>
  <si>
    <t>33 2492 6446</t>
  </si>
  <si>
    <t>333 028 7090</t>
  </si>
  <si>
    <t>332 054 6047</t>
  </si>
  <si>
    <t>332 171 6149</t>
  </si>
  <si>
    <t>332 477 7413</t>
  </si>
  <si>
    <t>444 296 2205</t>
  </si>
  <si>
    <t>33 2805 6099</t>
  </si>
  <si>
    <t>486 115 9421</t>
  </si>
  <si>
    <t>449 541 0782</t>
  </si>
  <si>
    <t>496 129 8429</t>
  </si>
  <si>
    <t>449 106 3724</t>
  </si>
  <si>
    <t>449 186 2746</t>
  </si>
  <si>
    <t>449 212 5590</t>
  </si>
  <si>
    <t>449 868 3283</t>
  </si>
  <si>
    <t>449 753 4097</t>
  </si>
  <si>
    <t>444 293 0420</t>
  </si>
  <si>
    <t>33 2155 9087</t>
  </si>
  <si>
    <t>33 1409 7572</t>
  </si>
  <si>
    <t>33 1474 6845</t>
  </si>
  <si>
    <t>33 2977 2203</t>
  </si>
  <si>
    <t>33 2920 2529</t>
  </si>
  <si>
    <t>33 3064 5294</t>
  </si>
  <si>
    <t>444 580 3606</t>
  </si>
  <si>
    <t>442 831 0699</t>
  </si>
  <si>
    <t>488 109 0070</t>
  </si>
  <si>
    <t>488 105 7102</t>
  </si>
  <si>
    <t>488 100 5398</t>
  </si>
  <si>
    <t>488 128 8432</t>
  </si>
  <si>
    <t>488 128 3267</t>
  </si>
  <si>
    <t>488 129 2410</t>
  </si>
  <si>
    <t>488 114 5990</t>
  </si>
  <si>
    <t>81 3553 1097</t>
  </si>
  <si>
    <t>811 300 9493</t>
  </si>
  <si>
    <t>446 333 4410</t>
  </si>
  <si>
    <t>442 669 0270</t>
  </si>
  <si>
    <t>444 431 0641</t>
  </si>
  <si>
    <t>442 110 6891</t>
  </si>
  <si>
    <t>444 221 4355</t>
  </si>
  <si>
    <t>487 143 8209</t>
  </si>
  <si>
    <t>487 145 4419</t>
  </si>
  <si>
    <t>487 129 6099</t>
  </si>
  <si>
    <t>487 125 0210</t>
  </si>
  <si>
    <t>487 147 4566</t>
  </si>
  <si>
    <t>667 474 3230</t>
  </si>
  <si>
    <t>487 138 0323</t>
  </si>
  <si>
    <t>487 104 5051</t>
  </si>
  <si>
    <t>487 112 2923</t>
  </si>
  <si>
    <t>487 107 4072</t>
  </si>
  <si>
    <t>487 144 3812</t>
  </si>
  <si>
    <t>486 104 1145</t>
  </si>
  <si>
    <t>125 4262 2041</t>
  </si>
  <si>
    <t>444 111 1278</t>
  </si>
  <si>
    <t>444 406 3288</t>
  </si>
  <si>
    <t>444 220 0670</t>
  </si>
  <si>
    <t>444 333 4992</t>
  </si>
  <si>
    <t>444 405 0278</t>
  </si>
  <si>
    <t>444 379 8806</t>
  </si>
  <si>
    <t>444 574 0890</t>
  </si>
  <si>
    <t>481 113 8719</t>
  </si>
  <si>
    <t>481 156 7704</t>
  </si>
  <si>
    <t>481 116 6450</t>
  </si>
  <si>
    <t>481 124 7113</t>
  </si>
  <si>
    <t>481 100 4109</t>
  </si>
  <si>
    <t>481 103 0652</t>
  </si>
  <si>
    <t>481 122 9243</t>
  </si>
  <si>
    <t>481 101 6205</t>
  </si>
  <si>
    <t>481 147 7480</t>
  </si>
  <si>
    <t>481 117 8192</t>
  </si>
  <si>
    <t>481 1466340</t>
  </si>
  <si>
    <t>481 113 4148</t>
  </si>
  <si>
    <t>444 316 2437</t>
  </si>
  <si>
    <t>444 432 2004</t>
  </si>
  <si>
    <t>444 512 0893</t>
  </si>
  <si>
    <t>444 239 9731</t>
  </si>
  <si>
    <t>444 425 9906</t>
  </si>
  <si>
    <t>444 245 3663</t>
  </si>
  <si>
    <t>444 204 4284</t>
  </si>
  <si>
    <t>444 250 5124</t>
  </si>
  <si>
    <t>444 634 6848</t>
  </si>
  <si>
    <t>444 174 6955</t>
  </si>
  <si>
    <t>444 120 0293</t>
  </si>
  <si>
    <t>722 189 4582</t>
  </si>
  <si>
    <t>444 318 0571</t>
  </si>
  <si>
    <t>444 495 1457</t>
  </si>
  <si>
    <t>444 437 7640</t>
  </si>
  <si>
    <t>444 654 1405</t>
  </si>
  <si>
    <t>444 2322511</t>
  </si>
  <si>
    <t>444 577 8675</t>
  </si>
  <si>
    <t>444 683 6673</t>
  </si>
  <si>
    <t>444 200 2969</t>
  </si>
  <si>
    <t>444 546 7033</t>
  </si>
  <si>
    <t>444 307 4893</t>
  </si>
  <si>
    <t>444 668 5786</t>
  </si>
  <si>
    <t>444 221 7898</t>
  </si>
  <si>
    <t>444 113 1071</t>
  </si>
  <si>
    <t>486 100 8498</t>
  </si>
  <si>
    <t>444 223 4810</t>
  </si>
  <si>
    <t>332 204 6177</t>
  </si>
  <si>
    <t>444 224 8261</t>
  </si>
  <si>
    <t>444 247 1187</t>
  </si>
  <si>
    <t>444 263 1584</t>
  </si>
  <si>
    <t>444 686 7047</t>
  </si>
  <si>
    <t>444 231 2576</t>
  </si>
  <si>
    <t>444 121 7636</t>
  </si>
  <si>
    <t>444 109 3558</t>
  </si>
  <si>
    <t>813 972 9022</t>
  </si>
  <si>
    <t>444 233 4203</t>
  </si>
  <si>
    <t>33 3952 9627</t>
  </si>
  <si>
    <t>331 409 7664</t>
  </si>
  <si>
    <t>33 3808 7586</t>
  </si>
  <si>
    <t>33 1231 0403</t>
  </si>
  <si>
    <t>33 1237 6247</t>
  </si>
  <si>
    <t>33 2905 8839</t>
  </si>
  <si>
    <t>38 4102 2595</t>
  </si>
  <si>
    <t>481 115 0388</t>
  </si>
  <si>
    <t>481 116 6009</t>
  </si>
  <si>
    <t>481-113-0467</t>
  </si>
  <si>
    <t>481 107 5717</t>
  </si>
  <si>
    <t>481 155 1427</t>
  </si>
  <si>
    <t>481 111 1799</t>
  </si>
  <si>
    <t>481 113 4116</t>
  </si>
  <si>
    <t>449 211 9503</t>
  </si>
  <si>
    <t>449 911 0465</t>
  </si>
  <si>
    <t>444 177 7654</t>
  </si>
  <si>
    <t>449 283 3179</t>
  </si>
  <si>
    <t>487 107 0321</t>
  </si>
  <si>
    <t>444 181 4970</t>
  </si>
  <si>
    <t>487 114 3091</t>
  </si>
  <si>
    <t>487 104 5710</t>
  </si>
  <si>
    <t>488 88 98593</t>
  </si>
  <si>
    <t>444 427 0276</t>
  </si>
  <si>
    <t>813 870 5928</t>
  </si>
  <si>
    <t>488 126 4572</t>
  </si>
  <si>
    <t xml:space="preserve">488 111 8536 </t>
  </si>
  <si>
    <t>81 3416 5834</t>
  </si>
  <si>
    <t>488 101 8855</t>
  </si>
  <si>
    <t>444 302 5119</t>
  </si>
  <si>
    <t>444 670 5159</t>
  </si>
  <si>
    <t>444 329 2012</t>
  </si>
  <si>
    <t>444 300 5249</t>
  </si>
  <si>
    <t>444 178 1885</t>
  </si>
  <si>
    <t>444 886 5991</t>
  </si>
  <si>
    <t>444 850 1167</t>
  </si>
  <si>
    <t>812 384 9160</t>
  </si>
  <si>
    <t>444 169 3876</t>
  </si>
  <si>
    <t>811 656 0470</t>
  </si>
  <si>
    <t>442 3630827</t>
  </si>
  <si>
    <t>442 747 4762</t>
  </si>
  <si>
    <t>442 394 8002</t>
  </si>
  <si>
    <t>442 585 9595</t>
  </si>
  <si>
    <t>442 328 7801</t>
  </si>
  <si>
    <t>833 261 8438</t>
  </si>
  <si>
    <t>444 829 2242</t>
  </si>
  <si>
    <t>444 579 4483</t>
  </si>
  <si>
    <t>444 801 6094</t>
  </si>
  <si>
    <t>444 222 2022</t>
  </si>
  <si>
    <t>444 165 5457</t>
  </si>
  <si>
    <t>444 656 1891</t>
  </si>
  <si>
    <t>444 140 9584</t>
  </si>
  <si>
    <t>33 28 34 58 93</t>
  </si>
  <si>
    <t>333 441 6353</t>
  </si>
  <si>
    <t>33 1545 2707</t>
  </si>
  <si>
    <t>331 185 2020</t>
  </si>
  <si>
    <t>33 1365 3203</t>
  </si>
  <si>
    <t>333 235 1343</t>
  </si>
  <si>
    <t>332 507 4531</t>
  </si>
  <si>
    <t>444 584 2666</t>
  </si>
  <si>
    <t>444 238 6109</t>
  </si>
  <si>
    <t>444 165 6284</t>
  </si>
  <si>
    <t>444 844 0848</t>
  </si>
  <si>
    <t>444 171 9896</t>
  </si>
  <si>
    <t>444 175 0514</t>
  </si>
  <si>
    <t>444 203 0746</t>
  </si>
  <si>
    <t>444 803 5144</t>
  </si>
  <si>
    <t>444 142 1764</t>
  </si>
  <si>
    <t>444 204 1508</t>
  </si>
  <si>
    <t>444 7143132</t>
  </si>
  <si>
    <t>444 174 6157</t>
  </si>
  <si>
    <t>444 303 5354</t>
  </si>
  <si>
    <t>444 300 0676</t>
  </si>
  <si>
    <t>444 802 5115</t>
  </si>
  <si>
    <t>444 391 5546</t>
  </si>
  <si>
    <t>444 292 5071</t>
  </si>
  <si>
    <t>444 541 8647</t>
  </si>
  <si>
    <t>552 502 8458</t>
  </si>
  <si>
    <t>444 311 6133</t>
  </si>
  <si>
    <t>444 347 0504</t>
  </si>
  <si>
    <t>444 209 8106</t>
  </si>
  <si>
    <t>444 242 4878</t>
  </si>
  <si>
    <t>444 430 7783</t>
  </si>
  <si>
    <t>gaytanmartinezjoseluis@gmail.com</t>
  </si>
  <si>
    <t>rulasjr01@gmail.com</t>
  </si>
  <si>
    <t>ramon.medina.sa0467@gmail.com</t>
  </si>
  <si>
    <t>melitosanchez78@gmail.com</t>
  </si>
  <si>
    <t>elecrenehdz@gmail.com</t>
  </si>
  <si>
    <t>mosaico-1520@hotmail.com</t>
  </si>
  <si>
    <t xml:space="preserve">jacobowilmar9@gmail.com </t>
  </si>
  <si>
    <t>bravolimonjosemissael@gmail.com</t>
  </si>
  <si>
    <t>santillanpedro447@gmail.com</t>
  </si>
  <si>
    <t>81joseluisgonzalez31@gmail.com</t>
  </si>
  <si>
    <t>jbantonio150@gmail.com</t>
  </si>
  <si>
    <t>km3895967@gmail.com</t>
  </si>
  <si>
    <t>george_25k@yahoo.com.mx</t>
  </si>
  <si>
    <t>1964rubensanchez@gmail.com</t>
  </si>
  <si>
    <t>mrtalex0708@gmail.com</t>
  </si>
  <si>
    <t>vegherrera19@gmail.com.mx</t>
  </si>
  <si>
    <t>vianc1302@gmail.com</t>
  </si>
  <si>
    <t>hugodiaz389@hotmail.com</t>
  </si>
  <si>
    <t>dv271504@gmail.com</t>
  </si>
  <si>
    <t>jgmfranco@hotmail.com</t>
  </si>
  <si>
    <t>perespantojajuliocesar@gmail.com</t>
  </si>
  <si>
    <t>baciliofernando338@gmail.com</t>
  </si>
  <si>
    <t>luis.adrian2villareal@gmail.com</t>
  </si>
  <si>
    <t>mfsa3945@gmail.com</t>
  </si>
  <si>
    <t>michelvalle346@gmail.com</t>
  </si>
  <si>
    <t>ivanmichellmartinez@gmail.com</t>
  </si>
  <si>
    <t>juandedioscamachobriseno5@gmail.com</t>
  </si>
  <si>
    <t>fernandoalejandrevelazquez1@gmail.com</t>
  </si>
  <si>
    <t>cruzsergio1881@gmail.com</t>
  </si>
  <si>
    <t>carlos.rocker15@gmail.com</t>
  </si>
  <si>
    <t>martintranquilo28@gmail.com</t>
  </si>
  <si>
    <t>angelinfra90@gmail.com</t>
  </si>
  <si>
    <t>prudenciovargsadiaz87@gmail.com</t>
  </si>
  <si>
    <t>saa300061@gmail.com</t>
  </si>
  <si>
    <t>gonzalohernandez1726@gmail.com</t>
  </si>
  <si>
    <t>oceguedarene835@gmail.com</t>
  </si>
  <si>
    <t>josemanuelinigueznavarros@gmail.com</t>
  </si>
  <si>
    <t>jarajose0690@gmail.com</t>
  </si>
  <si>
    <t>solracc1983@outlook.es</t>
  </si>
  <si>
    <t>arturomadrigal050@gmail.com</t>
  </si>
  <si>
    <t>linah6971@gmail.com</t>
  </si>
  <si>
    <t>deymarzambrano337@gmail.com</t>
  </si>
  <si>
    <t>garciaperezaristeo66@gmail.com</t>
  </si>
  <si>
    <t>ppgurrion@gmail.com</t>
  </si>
  <si>
    <t>jp7612902@gmail.com</t>
  </si>
  <si>
    <t>irvingjonathanhernandeztolenti@gmail.com</t>
  </si>
  <si>
    <t>riveraroman666@gmail.com</t>
  </si>
  <si>
    <t>miguelramirezgutierrez7@gmail.com</t>
  </si>
  <si>
    <t>chilogsm@gmail.com</t>
  </si>
  <si>
    <t>aguilarflores326@gmail.com</t>
  </si>
  <si>
    <t>federicoramosmedina2@gamail.com</t>
  </si>
  <si>
    <t>mayo1q40806@gmail.com</t>
  </si>
  <si>
    <t>ramirezpecinaj@gmail.com</t>
  </si>
  <si>
    <t>luceritoobonito66@gmail.com</t>
  </si>
  <si>
    <t>UC39267@gmail.com</t>
  </si>
  <si>
    <t>manuelvt36@gmail.com</t>
  </si>
  <si>
    <t>cristain2025@gmail.com</t>
  </si>
  <si>
    <t>familiar.reynagardz@gmail.com</t>
  </si>
  <si>
    <t>josecamarillobriones1@gmail.com</t>
  </si>
  <si>
    <t>valera.acosta01@gmail.com</t>
  </si>
  <si>
    <t>carlosceron.s@gmail.com</t>
  </si>
  <si>
    <t>ezcalantek272@gmail.com</t>
  </si>
  <si>
    <t>diazleonardo528@gmail.coM</t>
  </si>
  <si>
    <t>estebanalbertogonzalezvazquez@gmail.com</t>
  </si>
  <si>
    <t>chumikis.90uyuy@gmail.com</t>
  </si>
  <si>
    <t>franciscojavierchavesdeavila@gmail.com</t>
  </si>
  <si>
    <t>lopezguerrerocristianeduardo4@gmail.com</t>
  </si>
  <si>
    <t>manriquea840@gmail.com</t>
  </si>
  <si>
    <t>maurovargas12n17@gmail.com</t>
  </si>
  <si>
    <t>missaelhd@gmail.com</t>
  </si>
  <si>
    <t>jimejesus65789@gmail.com</t>
  </si>
  <si>
    <t>jc913439@gmail.com</t>
  </si>
  <si>
    <t>franciscop573890@gmail.com</t>
  </si>
  <si>
    <t>danielagortegamora@gmail.com</t>
  </si>
  <si>
    <t>junimurillo8@gmail.com</t>
  </si>
  <si>
    <t xml:space="preserve">ginotorres85@gmail.com </t>
  </si>
  <si>
    <t>4861159421az@gmail.com</t>
  </si>
  <si>
    <t>miguel123almazan@gmail.com</t>
  </si>
  <si>
    <t>ivonyadiramorales@gmail.com</t>
  </si>
  <si>
    <t>el.tepo.28@gmail.com</t>
  </si>
  <si>
    <t>edgarcervando2@gmail.com</t>
  </si>
  <si>
    <t>juanmanuelfabianromo@gmail.com</t>
  </si>
  <si>
    <t xml:space="preserve">emmanuelgallegos50@gmail.com </t>
  </si>
  <si>
    <t>juanrmcch@gmail.com</t>
  </si>
  <si>
    <t>torresgarciafelipedejesus02@gmail.com</t>
  </si>
  <si>
    <t>almagalaviz832@hotmail.com</t>
  </si>
  <si>
    <t>arturoconrradohernandezgalvan@gmail.com</t>
  </si>
  <si>
    <t>ignacioreynoso297@gmail.com</t>
  </si>
  <si>
    <t>3mmmjfox@gmail.com</t>
  </si>
  <si>
    <t>walaz18_@hotmail.com</t>
  </si>
  <si>
    <t>margarita171167@gmail.com</t>
  </si>
  <si>
    <t>carlosalejandrovarela_054@gmail.com</t>
  </si>
  <si>
    <t>emilianoaraiza@hotmail.com</t>
  </si>
  <si>
    <t>karriemzc@gmail.com</t>
  </si>
  <si>
    <t>omc_8_3@outlook.com</t>
  </si>
  <si>
    <t>ezequielinfante50@gmail.com</t>
  </si>
  <si>
    <t>martinezmonicat8@gmail.com</t>
  </si>
  <si>
    <t>obedeliezerrodriguezmendoza1@gmail.com</t>
  </si>
  <si>
    <t>medranomedinaluis80@gmail.com</t>
  </si>
  <si>
    <t>molinacastillojuanjose081@gmail.com</t>
  </si>
  <si>
    <t>jpam1408@gmail.com</t>
  </si>
  <si>
    <t>om19932025@gmail.com</t>
  </si>
  <si>
    <t>luisrdz980.cas@gmail.com</t>
  </si>
  <si>
    <t>marioquintero2709@gmail.com</t>
  </si>
  <si>
    <t>bbapollo358@gmail.com</t>
  </si>
  <si>
    <t>gonzalezguillermo9568@gmail.com</t>
  </si>
  <si>
    <t>emiliohdz1991@gmail.com</t>
  </si>
  <si>
    <t>ara-rosas@live.com</t>
  </si>
  <si>
    <t>jfhdzfelipe@gmail.com</t>
  </si>
  <si>
    <t>aliomarnanoski@gmail.com</t>
  </si>
  <si>
    <t>romanpereslerenzo372@gmail.com</t>
  </si>
  <si>
    <t>fernandojacobogutierrez@gmail.com</t>
  </si>
  <si>
    <t>mendozaluizfernando714@gmail.com</t>
  </si>
  <si>
    <t>tony09segundo@gmail.com</t>
  </si>
  <si>
    <t>arturo.cam.rys02@gmail.com</t>
  </si>
  <si>
    <t>gera1614q@gmail.com</t>
  </si>
  <si>
    <t>xarenihelena@gmail.com</t>
  </si>
  <si>
    <t>padan4260@gmail.com</t>
  </si>
  <si>
    <t>miguelrdgz0828@gmail.com</t>
  </si>
  <si>
    <t>gerajim721@gmail.com</t>
  </si>
  <si>
    <t>duendemega0805@gmail.com</t>
  </si>
  <si>
    <t>yobaniyaneht@gmail.com</t>
  </si>
  <si>
    <t>gonzalessanchezalicia@gmail.com</t>
  </si>
  <si>
    <t>edithanguiano9@gmail.com</t>
  </si>
  <si>
    <t>humbertocharcastorres@gmail.com</t>
  </si>
  <si>
    <t>vichdz1883@gmail.com</t>
  </si>
  <si>
    <t>aguillonjuan04@gmail.com</t>
  </si>
  <si>
    <t>isaiasrodri085@gmail.com</t>
  </si>
  <si>
    <t>ernestozl8802@gmail.com</t>
  </si>
  <si>
    <t>fatimacarrillog@gmail.com</t>
  </si>
  <si>
    <t>guevaragabriel643@gmail.com</t>
  </si>
  <si>
    <t>camarilloblasl@gmail.com</t>
  </si>
  <si>
    <t>erreyes45@gmail.com</t>
  </si>
  <si>
    <t>sergioturrubiartes487@gmail.com</t>
  </si>
  <si>
    <t>jg4140460@hotmail.com</t>
  </si>
  <si>
    <t>jorgemedellin776@gmail.com</t>
  </si>
  <si>
    <t>platayaky@gmail.com</t>
  </si>
  <si>
    <t>salazarbenito694@gmail.com</t>
  </si>
  <si>
    <t>guerreroneri79@gmail.com</t>
  </si>
  <si>
    <t>jtorresmoyeda@gmail.com</t>
  </si>
  <si>
    <t>sg2034660@gmail.com</t>
  </si>
  <si>
    <t>filibertoce120794@gmail.com</t>
  </si>
  <si>
    <t>arturogr250584@gmail.com</t>
  </si>
  <si>
    <t>juanmarcelo-lopez@outlook.com</t>
  </si>
  <si>
    <t>dl8909357@gmail.com</t>
  </si>
  <si>
    <t>hectorllamas960@gmail.com</t>
  </si>
  <si>
    <t>santillanrodriguezq1@gmail.com</t>
  </si>
  <si>
    <t>sandaterodriguezmariajose08@gmail.com</t>
  </si>
  <si>
    <t>constantinoroman92@gmail.com</t>
  </si>
  <si>
    <t>dr0202986@gmail.com</t>
  </si>
  <si>
    <t>jmartin1111@gmail.com</t>
  </si>
  <si>
    <t>riveroalber9@gmail.com</t>
  </si>
  <si>
    <t>jesusalfredocamachobandino0@gmail.com</t>
  </si>
  <si>
    <t>elviraguelcruz8@gmail.com</t>
  </si>
  <si>
    <t>loeracarlos.1982@gmail.com</t>
  </si>
  <si>
    <t>Moctezumad55@gmail.com</t>
  </si>
  <si>
    <t>adriel_flores24@hotmail.com</t>
  </si>
  <si>
    <t>valentinjesus333@gmail.com</t>
  </si>
  <si>
    <t>venacabrera110995@gmail.com</t>
  </si>
  <si>
    <t>hdz618182@gmail.com</t>
  </si>
  <si>
    <t>camilo_diaz71@hotmail.com</t>
  </si>
  <si>
    <t>froylanmart1980@gmail.com</t>
  </si>
  <si>
    <t>antonio_guerrero_r@hotmail.com</t>
  </si>
  <si>
    <t>cristibal.vilades19@gmail.com</t>
  </si>
  <si>
    <t>hplacido357@gmail.com</t>
  </si>
  <si>
    <t>zitarochalopez@gmail.com</t>
  </si>
  <si>
    <t>josefranciscomuñozpina@gmail.com</t>
  </si>
  <si>
    <t>lohecru@hotmail.com</t>
  </si>
  <si>
    <t>oscarmartinez6633@gmail.com</t>
  </si>
  <si>
    <t>jisabel3@hotmail.com</t>
  </si>
  <si>
    <t>tuchi09.fjrr@gmail.com</t>
  </si>
  <si>
    <t>martha_torrca@hotmail.com</t>
  </si>
  <si>
    <t>hectorlimonmendez@gmail.com</t>
  </si>
  <si>
    <t>cadiekny@gmail.com</t>
  </si>
  <si>
    <t>21.mhdezs@gmail.com</t>
  </si>
  <si>
    <t>nereida.ortega@hotmail.com</t>
  </si>
  <si>
    <t>noemizascream@gmail.com</t>
  </si>
  <si>
    <t>jjesusrodriguez.930@gmail.com</t>
  </si>
  <si>
    <t>lic.carlocabrera@gmail.com</t>
  </si>
  <si>
    <t>neismf@hotmail.com</t>
  </si>
  <si>
    <t>abies1204@gmail.com</t>
  </si>
  <si>
    <t>bravoeduardo103@gmail.com</t>
  </si>
  <si>
    <t>annge_92@outlook.es</t>
  </si>
  <si>
    <t>rgonzalez.b@outlook.es</t>
  </si>
  <si>
    <t>jorgejgcruz@hotmail.com</t>
  </si>
  <si>
    <t>alonsolizeth202@gmail.com</t>
  </si>
  <si>
    <t>vane300696@gmail.com</t>
  </si>
  <si>
    <t>ngarcia_2011@hotmail.com</t>
  </si>
  <si>
    <t>yesjblanco@gmail.com</t>
  </si>
  <si>
    <t>david.tecnologico.1993@gmail.com</t>
  </si>
  <si>
    <t>miguel.riveradn1.9@gmail.com</t>
  </si>
  <si>
    <t>hrangel2204@gmail.com</t>
  </si>
  <si>
    <t>jantoniotristan@hotmail.com</t>
  </si>
  <si>
    <t>lauracervantes2193@gmail.com</t>
  </si>
  <si>
    <t>andrea.rdzn@gmail.com</t>
  </si>
  <si>
    <t>fri180317@gmail.com</t>
  </si>
  <si>
    <t>rober.crma.02@gmail.com</t>
  </si>
  <si>
    <t>ftapiacu@hotmail.com</t>
  </si>
  <si>
    <t>fabiola.alexander.gm@gmail.com</t>
  </si>
  <si>
    <t>jrlopez.mk@gmail.com</t>
  </si>
  <si>
    <t>irving_jmz@outlook.com</t>
  </si>
  <si>
    <t>mar88icela79@gmail.com</t>
  </si>
  <si>
    <t>marijo.hdz19@gmail.com</t>
  </si>
  <si>
    <t>arturo.torres08@outlook.com</t>
  </si>
  <si>
    <t>saul.trv@gmail.com</t>
  </si>
  <si>
    <t xml:space="preserve"> saidelixalvg@gmail.com</t>
  </si>
  <si>
    <t>jimena.arandag96@gmail.com</t>
  </si>
  <si>
    <t>dalilabolivares@live.com</t>
  </si>
  <si>
    <t>mgamez0334@gmail.com</t>
  </si>
  <si>
    <t>jesusmartinezm74@gmail.com</t>
  </si>
  <si>
    <t>yiysaa07@gmail.com</t>
  </si>
  <si>
    <t>ernestomoreno1@yahoo.com.mx</t>
  </si>
  <si>
    <t>edgarperezcap520@gmail.com</t>
  </si>
  <si>
    <t>lizebeth-moreno12@hotmail.com</t>
  </si>
  <si>
    <t>mayrajsl@hotmail.com</t>
  </si>
  <si>
    <t>eduardolopezsalina@hotmail.com</t>
  </si>
  <si>
    <t>bere_nice_21@hotmail.com</t>
  </si>
  <si>
    <t>rorm1905@gmail.com</t>
  </si>
  <si>
    <t>jennilop697@gmail.com</t>
  </si>
  <si>
    <t>mariaguadalup1728@gmail.com</t>
  </si>
  <si>
    <t>norma_rodriguez_cp@hotmail.com</t>
  </si>
  <si>
    <t>rossyterrones@hotmail.com</t>
  </si>
  <si>
    <t>isa_aguillon@outlook.com</t>
  </si>
  <si>
    <t>karo_villalon@hotmail.com</t>
  </si>
  <si>
    <t>patito_briones20@hotmail.com</t>
  </si>
  <si>
    <t>davidmart0812@gmail.com</t>
  </si>
  <si>
    <t>marazua5@hotmail.com</t>
  </si>
  <si>
    <t>mimish.novial@gmail.com</t>
  </si>
  <si>
    <t>rodolfo_villalobosmtz@hotmail.com</t>
  </si>
  <si>
    <t>jonathan_garcia_a@hotmail.com</t>
  </si>
  <si>
    <t>dianaivonnegg@gmail.com</t>
  </si>
  <si>
    <t>marisela.lop2901@gmail.com</t>
  </si>
  <si>
    <t>nena6.mha@gmail.com</t>
  </si>
  <si>
    <t>nidiamelissagomez@gmail.com</t>
  </si>
  <si>
    <t>karla_rh90@hotmail.com</t>
  </si>
  <si>
    <t>medinatania1791@gmail.com</t>
  </si>
  <si>
    <t>grissygd.207@gmail.com</t>
  </si>
  <si>
    <t>enyr3459@hotmail.com</t>
  </si>
  <si>
    <t>candiasg@hotmail.com</t>
  </si>
  <si>
    <t>mario__zero@hotmail.com</t>
  </si>
  <si>
    <t>edgargerry.09.22@gmail.com</t>
  </si>
  <si>
    <t>fcoedilbertogj3@gmail.com</t>
  </si>
  <si>
    <t>edigloria750@gmail.com</t>
  </si>
  <si>
    <t>hola1716@outlook.com</t>
  </si>
  <si>
    <t>jmcm29@outlook.com</t>
  </si>
  <si>
    <t>frankmtz743@gmail.com</t>
  </si>
  <si>
    <t>jmtzzazu@gmail.com</t>
  </si>
  <si>
    <t>luis.rodrigosq@gmail.com</t>
  </si>
  <si>
    <t>renatita03ta@gmail.com</t>
  </si>
  <si>
    <t>maricelaquintero72@outlook.com</t>
  </si>
  <si>
    <t>pao828286@gmail.com</t>
  </si>
  <si>
    <t>earvinmyssa60@gmail.com</t>
  </si>
  <si>
    <t>lic.angel_as@hotmail.com</t>
  </si>
  <si>
    <t>isidromedellinher@hotmail.com</t>
  </si>
  <si>
    <t>juanrosast2310@gmail.com</t>
  </si>
  <si>
    <t>gonzalez.h.isidro@hotmail.com</t>
  </si>
  <si>
    <t>sle161182@hotmail.com</t>
  </si>
  <si>
    <t>gaby5smile@hotmail.com</t>
  </si>
  <si>
    <t>o_vilchis_jimenez@hotmail.com</t>
  </si>
  <si>
    <t>movimientos.compras@gmail.com</t>
  </si>
  <si>
    <t>ylr.730420@gmail.com</t>
  </si>
  <si>
    <t>lmrangels@gmail.com</t>
  </si>
  <si>
    <t>feelruiz0612@gmail.com</t>
  </si>
  <si>
    <t xml:space="preserve"> arreguinraul@hotmail.com</t>
  </si>
  <si>
    <t xml:space="preserve">ulises.garces_79@yahoo.com </t>
  </si>
  <si>
    <t>mazaconstructores@hotmil.com</t>
  </si>
  <si>
    <t>gonzalez.juan@concretos-slp.com</t>
  </si>
  <si>
    <t>monydelgadillo@gmail.com</t>
  </si>
  <si>
    <t>hadriana037@gmail.com</t>
  </si>
  <si>
    <t>krystell.torres247@gmail.com</t>
  </si>
  <si>
    <t>jlguzmanalvarez@gmail.com</t>
  </si>
  <si>
    <t>camposreg36@gmail.com</t>
  </si>
  <si>
    <t>pacosis74@hotmail.com</t>
  </si>
  <si>
    <t>brancapfelipe@gmail.com</t>
  </si>
  <si>
    <t>glojamora@gmail.com</t>
  </si>
  <si>
    <t>david.mtz.saldivar@gmail.com</t>
  </si>
  <si>
    <t xml:space="preserve">beizamir@gmail.com </t>
  </si>
  <si>
    <t>jmireles08@yahoo.com.mx</t>
  </si>
  <si>
    <t>hugoalberto208@gmail.com</t>
  </si>
  <si>
    <t>sanchez.juanpedro@outlook.com</t>
  </si>
  <si>
    <t>alancontreras421@gmail.com</t>
  </si>
  <si>
    <t>emman_hdz933@outlook.com</t>
  </si>
  <si>
    <t>imegs@hotmail.com</t>
  </si>
  <si>
    <t>carmen2323mtz@hotmail.com</t>
  </si>
  <si>
    <t>erikahdz4410@gmail.com</t>
  </si>
  <si>
    <t>audiox30@gmail.com</t>
  </si>
  <si>
    <t>akai.verox@gmail.com</t>
  </si>
  <si>
    <t>csale72@yahoo.com.mx</t>
  </si>
  <si>
    <t>armando_val_89@hotmail.com</t>
  </si>
  <si>
    <t>kalisa1376@hotmail.com</t>
  </si>
  <si>
    <t>deeervce24@gmail.com</t>
  </si>
  <si>
    <t>ana_aud8810@hotmail.com</t>
  </si>
  <si>
    <t>valdez19828@gmail.com</t>
  </si>
  <si>
    <t>susana_mtz@hotmail.com</t>
  </si>
  <si>
    <t>lalo1003.98@gmail.com</t>
  </si>
  <si>
    <t>madrigal.cecilia02@gmail.com</t>
  </si>
  <si>
    <t>aadolfo72@gmail.com</t>
  </si>
  <si>
    <t>eblancodmz@hotmail.com</t>
  </si>
  <si>
    <t>estherglzd@hotmail.com</t>
  </si>
  <si>
    <t>mariavera.mv@gmail.com</t>
  </si>
  <si>
    <t>cp.vanegas88@gmail.com</t>
  </si>
  <si>
    <t>joanavera93@gmail.com</t>
  </si>
  <si>
    <t>mafer_arvglz@outlook.com</t>
  </si>
  <si>
    <t>hugorendon71@hotmail.com</t>
  </si>
  <si>
    <t>tenorioalberto658@gmail.com</t>
  </si>
  <si>
    <t>adelafuente74@hotmail.com</t>
  </si>
  <si>
    <t>lllyo@hotmail.com</t>
  </si>
  <si>
    <t>MAMÁ</t>
  </si>
  <si>
    <t>MEDIA HERMANA</t>
  </si>
  <si>
    <t>SOBRINO</t>
  </si>
  <si>
    <t>ESPOSO</t>
  </si>
  <si>
    <t>HIJA
HIJO
HIJA</t>
  </si>
  <si>
    <t>MAMA
HERMANO</t>
  </si>
  <si>
    <t>MADRE/ HERMANO</t>
  </si>
  <si>
    <t>MAMA
PAPA</t>
  </si>
  <si>
    <t>ESPOSA
MAMA</t>
  </si>
  <si>
    <t>PAPA
MAMA</t>
  </si>
  <si>
    <t xml:space="preserve">HERMANA </t>
  </si>
  <si>
    <t>MADRE DE  SUS HIJOS (EX )</t>
  </si>
  <si>
    <t>ABUELITA</t>
  </si>
  <si>
    <t>HIJAS</t>
  </si>
  <si>
    <t>PAREJA E HIJO</t>
  </si>
  <si>
    <t>XOCONGO</t>
  </si>
  <si>
    <t>DOM CONOCIDO DE LAS BOQUILLAS DE ORIENTE</t>
  </si>
  <si>
    <t>REY ADRIANO</t>
  </si>
  <si>
    <t>SEBASTIAN BRAVO</t>
  </si>
  <si>
    <t>VICENTE GUERRERO</t>
  </si>
  <si>
    <t xml:space="preserve">CARR A MATEHUALA KM7 </t>
  </si>
  <si>
    <t>GOBERNADOR CURIEL</t>
  </si>
  <si>
    <t>BELLAS ARTES</t>
  </si>
  <si>
    <t>TEPEYAC</t>
  </si>
  <si>
    <t>PROLONGACION MARCOS LARA</t>
  </si>
  <si>
    <t>PROLONGACION ALDAMA</t>
  </si>
  <si>
    <t>LOS MAESTROS</t>
  </si>
  <si>
    <t>CIRCUITO JARDINES DE LOS PINOS</t>
  </si>
  <si>
    <t>CARRETERA MEXICO LAREDO</t>
  </si>
  <si>
    <t>N BORLAUG SUR</t>
  </si>
  <si>
    <t>COIMBRA</t>
  </si>
  <si>
    <t>PASEO DE LAS AZUCENAS PONIENTE</t>
  </si>
  <si>
    <t>SAN ESTEBAN</t>
  </si>
  <si>
    <t>ANTONIO ROSALES</t>
  </si>
  <si>
    <t>URBANO GOMEZ</t>
  </si>
  <si>
    <t>DEL RELAMPAGO</t>
  </si>
  <si>
    <t>LOPEZ COTILLA</t>
  </si>
  <si>
    <t>VIRGINIA FABREGAS</t>
  </si>
  <si>
    <t>CARR GUADALAJARA EL CASTILLO</t>
  </si>
  <si>
    <t>EJE 128</t>
  </si>
  <si>
    <t>CALLE NIÑOS HEROES, EL CASTILLO, SAN JOSE DEL CASTILLO</t>
  </si>
  <si>
    <t>AVENIDA DE LAS TORRES, SAN ANDRES ATOTO</t>
  </si>
  <si>
    <t>CALLE EMILIANO ZAPATA, TAMAZULA, SAN JUAN BOSCO</t>
  </si>
  <si>
    <t>CINCO, ZONA INDUSTRIAL</t>
  </si>
  <si>
    <t>5 DE FEBRERO, EL CASTILLO, EL SALTO</t>
  </si>
  <si>
    <t>AV. CONSTITUCION PTE.</t>
  </si>
  <si>
    <t>ANDADOR</t>
  </si>
  <si>
    <t>PERU</t>
  </si>
  <si>
    <t>CIRCUITO ORIENTE</t>
  </si>
  <si>
    <t>MANUEL GOMEZ MORIN</t>
  </si>
  <si>
    <t>QUINTA REAL</t>
  </si>
  <si>
    <t>PASEO DEL LAUREL</t>
  </si>
  <si>
    <t>AV VENUSTIANO CARRANZA</t>
  </si>
  <si>
    <t>CALLE CHAMIZAL</t>
  </si>
  <si>
    <t>CAPULIN</t>
  </si>
  <si>
    <t>LUIS PEREZ VERDIA</t>
  </si>
  <si>
    <t>AVENIDA AMERICAS</t>
  </si>
  <si>
    <t>JOSE SAUZ</t>
  </si>
  <si>
    <t>RIO COLOTLAN</t>
  </si>
  <si>
    <t>LOMA ALEGRE</t>
  </si>
  <si>
    <t>JESUS GOYTORTUA</t>
  </si>
  <si>
    <t>AV. PATRIA</t>
  </si>
  <si>
    <t>SANTOS DELGADO</t>
  </si>
  <si>
    <t>LOMA DE MIRAVALLE</t>
  </si>
  <si>
    <t>FUENTE TLAXCALA</t>
  </si>
  <si>
    <t>KM 1 CAMINO A NATIVITAS</t>
  </si>
  <si>
    <t>AV. ALFONSO REYES</t>
  </si>
  <si>
    <t>PRIV REFORMA</t>
  </si>
  <si>
    <t>INDEPENDENCIA</t>
  </si>
  <si>
    <t>FERNANDO GOMEZ ESPARZA</t>
  </si>
  <si>
    <t>MIER Y TERAN</t>
  </si>
  <si>
    <t xml:space="preserve">ARROYO APOLO </t>
  </si>
  <si>
    <t>JARDINES DE VILLA FRANCA</t>
  </si>
  <si>
    <t>SANTA LUCIA</t>
  </si>
  <si>
    <t>NUEVA</t>
  </si>
  <si>
    <t>1 DE MAYO</t>
  </si>
  <si>
    <t>GUILLERMO GONZALEZ CAMERINA</t>
  </si>
  <si>
    <t>CARRETERA CEDRAL A NORIA DE DOLORES</t>
  </si>
  <si>
    <t>CARLOS VIVANCO</t>
  </si>
  <si>
    <t>SAN FRANCISCO</t>
  </si>
  <si>
    <t>MARIANO VAZQUEZ , SANTA BRIGIDA</t>
  </si>
  <si>
    <t>PROF. JUAN ESCAMILLA</t>
  </si>
  <si>
    <t>JARDINES DEL DESIERTO</t>
  </si>
  <si>
    <t>EUCALIPTO</t>
  </si>
  <si>
    <t>PASEO DEL MARQUES SUR</t>
  </si>
  <si>
    <t>BLVD MORELOS</t>
  </si>
  <si>
    <t>SIN NOMBRE</t>
  </si>
  <si>
    <t>CARRETERA ANTERIOR A QUERETARO</t>
  </si>
  <si>
    <t>CALZADA JOSE LIMON</t>
  </si>
  <si>
    <t>CARR LIBRE A CELAYA</t>
  </si>
  <si>
    <t>CALLE ABASOLO</t>
  </si>
  <si>
    <t>DE LA JUSTICIA</t>
  </si>
  <si>
    <t>CARR QRO SAN LUIS P</t>
  </si>
  <si>
    <t xml:space="preserve">SAN MIGUEL </t>
  </si>
  <si>
    <t>PALO BLANCO</t>
  </si>
  <si>
    <t>NARDOS</t>
  </si>
  <si>
    <t>OCAMPO SUR</t>
  </si>
  <si>
    <t>TURQUESA</t>
  </si>
  <si>
    <t>EMILIANO ZAPATA</t>
  </si>
  <si>
    <t>DE LARA</t>
  </si>
  <si>
    <t xml:space="preserve">ESCONTRIA </t>
  </si>
  <si>
    <t>JUAN ALVAREZ</t>
  </si>
  <si>
    <t>PROL BUSTAMANTE</t>
  </si>
  <si>
    <t>PALMA REAL</t>
  </si>
  <si>
    <t>CARR SAN LUIS TORREON KM 24.1</t>
  </si>
  <si>
    <t>1A PRIVADA DE PEDRO MORENO</t>
  </si>
  <si>
    <t>FCO I MADERO</t>
  </si>
  <si>
    <t>MARIANO ARISTA</t>
  </si>
  <si>
    <t>PROL. PONCIANO ARRIAGA</t>
  </si>
  <si>
    <t>BAJA CALIFORNIA, ROMA SUR</t>
  </si>
  <si>
    <t>AGATA</t>
  </si>
  <si>
    <t>ZACATECAS</t>
  </si>
  <si>
    <t>WASHINGTON</t>
  </si>
  <si>
    <t>CAMPECHE</t>
  </si>
  <si>
    <t>3A PRIVADA DE AMAPOLAS</t>
  </si>
  <si>
    <t>CRISANTEMOS</t>
  </si>
  <si>
    <t>REPUBLICA DE ECUADOR</t>
  </si>
  <si>
    <t>CALLE CONSUELO</t>
  </si>
  <si>
    <t>PLAZA DEL RIO</t>
  </si>
  <si>
    <t>MOLINO DEL REY</t>
  </si>
  <si>
    <t>CIRCUITO JACARANDAS</t>
  </si>
  <si>
    <t>CARR SLP RIOVERDE</t>
  </si>
  <si>
    <t>CALLE PLAN DE AGUA PRIETA</t>
  </si>
  <si>
    <t>OBSERVATORIO ORIENTE</t>
  </si>
  <si>
    <t>AV BENITO JUAREZ</t>
  </si>
  <si>
    <t>SAN LUCAS</t>
  </si>
  <si>
    <t>ALVARO OBREGON</t>
  </si>
  <si>
    <t>CORAS</t>
  </si>
  <si>
    <t>CHAPULTEPEC</t>
  </si>
  <si>
    <t>ALEJANDRO DE RODAS</t>
  </si>
  <si>
    <t>AV. HEROE DE NACOZARI SUR</t>
  </si>
  <si>
    <t>S/N, HUITZATARITO, SN, ABASOLO GUANAJUATO C.P. 36985</t>
  </si>
  <si>
    <t xml:space="preserve">CALLE CUAUHTEMOC </t>
  </si>
  <si>
    <t>QUETZAL, LAS JULIAS</t>
  </si>
  <si>
    <t>ARROYO CEIBA</t>
  </si>
  <si>
    <t>ARAUCARIA</t>
  </si>
  <si>
    <t>INSURGENTES SUR</t>
  </si>
  <si>
    <t>RIO EUFRATES</t>
  </si>
  <si>
    <t>CULTURA CHALCA</t>
  </si>
  <si>
    <t>CALLE TALAMANTES</t>
  </si>
  <si>
    <t>CARRETERA FEDERAL 69 JALPAN RIO VERDE KM 99.200</t>
  </si>
  <si>
    <t>ZARAGOZA</t>
  </si>
  <si>
    <t>ANDADOR HILDA ANDERSON ROJAS</t>
  </si>
  <si>
    <t>INGENIERO SALVADOR ALEJO</t>
  </si>
  <si>
    <t>HUMBOLT</t>
  </si>
  <si>
    <t>PROL NEGRETE</t>
  </si>
  <si>
    <t>CARRETERA A MEXICO</t>
  </si>
  <si>
    <t>SANTA ISABEL</t>
  </si>
  <si>
    <t>CARRETERA 57 SAN LUIS POTOSI QUERETARO</t>
  </si>
  <si>
    <t>CALLEJON STO DOMINGO</t>
  </si>
  <si>
    <t>CAMPOS ELISEOS</t>
  </si>
  <si>
    <t>MONTREAL</t>
  </si>
  <si>
    <t>RUFINO TAMAYO</t>
  </si>
  <si>
    <t>HACIENDA LA GRIEGA</t>
  </si>
  <si>
    <t>ACCESO 12 A</t>
  </si>
  <si>
    <t>JIIMENEZ</t>
  </si>
  <si>
    <t>AV. DEL TRABAJO</t>
  </si>
  <si>
    <t>JOSEFA O DE DOMINGUEZ</t>
  </si>
  <si>
    <t>HIDALGO</t>
  </si>
  <si>
    <t>MORELOS</t>
  </si>
  <si>
    <t>8 DE JULIO</t>
  </si>
  <si>
    <t>BELA BERTOK</t>
  </si>
  <si>
    <t>BLVD AGUA CTE</t>
  </si>
  <si>
    <t>CARRETERA A EL SALTO</t>
  </si>
  <si>
    <t>PRIVADA DE DURAZNO</t>
  </si>
  <si>
    <t>JUAN ALDAMA</t>
  </si>
  <si>
    <t>MONTE MAYOR</t>
  </si>
  <si>
    <t>GARAMBUYO</t>
  </si>
  <si>
    <t>SEGUNDA DE SAN MARTIN</t>
  </si>
  <si>
    <t>SAN JORGE</t>
  </si>
  <si>
    <t>CALLE 3</t>
  </si>
  <si>
    <t>UNIDAD HABITACIONAL NIÑOS HEROES</t>
  </si>
  <si>
    <t>GONZALO CURIEL</t>
  </si>
  <si>
    <t>CALLE 2A. PRIV. AGUSTIN VERA</t>
  </si>
  <si>
    <t>VALLEJO</t>
  </si>
  <si>
    <t>SANTA FELICITAS</t>
  </si>
  <si>
    <t>2B</t>
  </si>
  <si>
    <t>KM. 8.05</t>
  </si>
  <si>
    <t xml:space="preserve">527 A </t>
  </si>
  <si>
    <t>61 A</t>
  </si>
  <si>
    <t>2202 NTE</t>
  </si>
  <si>
    <t>28 A</t>
  </si>
  <si>
    <t>KM 4.5</t>
  </si>
  <si>
    <t>KM 00002</t>
  </si>
  <si>
    <t>2031 NORTE</t>
  </si>
  <si>
    <t>KM 8.5</t>
  </si>
  <si>
    <t>MZA 342 LTE 4</t>
  </si>
  <si>
    <t>104-1</t>
  </si>
  <si>
    <t>248 L24 M4</t>
  </si>
  <si>
    <t>153 A</t>
  </si>
  <si>
    <t>4 MM</t>
  </si>
  <si>
    <t>340A</t>
  </si>
  <si>
    <t>KM 4 5</t>
  </si>
  <si>
    <t>B44</t>
  </si>
  <si>
    <t>P 5</t>
  </si>
  <si>
    <t>3ER. PISO</t>
  </si>
  <si>
    <t>3 PISO</t>
  </si>
  <si>
    <t>B</t>
  </si>
  <si>
    <t>EDIFICIO 4 104</t>
  </si>
  <si>
    <t>P 17</t>
  </si>
  <si>
    <t>MEXQUITIC DE CARMONA</t>
  </si>
  <si>
    <t>CIUDAD VALLES</t>
  </si>
  <si>
    <t>CAJEME</t>
  </si>
  <si>
    <t>NAUCALPAN DE JUAREZ</t>
  </si>
  <si>
    <t xml:space="preserve">TAMAZULA DE GORDIANO </t>
  </si>
  <si>
    <t>POZA RICA DE HIDALGO</t>
  </si>
  <si>
    <t>MORELIA</t>
  </si>
  <si>
    <t>COLON</t>
  </si>
  <si>
    <t>VICTORIA</t>
  </si>
  <si>
    <t>TALA</t>
  </si>
  <si>
    <t>TAMPICO</t>
  </si>
  <si>
    <t>CEDRAL</t>
  </si>
  <si>
    <t>MATEHUALA CENTRO</t>
  </si>
  <si>
    <t>APODACA</t>
  </si>
  <si>
    <t>SALINAS VICTORIA</t>
  </si>
  <si>
    <t>ECATEPEC DE MORELOS</t>
  </si>
  <si>
    <t>JIQUIPILCO</t>
  </si>
  <si>
    <t>CULIACAN</t>
  </si>
  <si>
    <t>APASEO EL ALTO</t>
  </si>
  <si>
    <t>EL MANTE</t>
  </si>
  <si>
    <t>RIO BRAVO</t>
  </si>
  <si>
    <t>VILLA HIDALGO</t>
  </si>
  <si>
    <t>ABASOLO</t>
  </si>
  <si>
    <t>SAN NICOLAS DE LOS GARZA</t>
  </si>
  <si>
    <t>CUAUTITLAN IZCALLI</t>
  </si>
  <si>
    <t>SLP</t>
  </si>
  <si>
    <t>SONORA</t>
  </si>
  <si>
    <t>VERACRUZ</t>
  </si>
  <si>
    <t>SINALOA</t>
  </si>
  <si>
    <t>QUQRETARO</t>
  </si>
  <si>
    <t>AGS</t>
  </si>
  <si>
    <t>JALISO</t>
  </si>
  <si>
    <t>06820</t>
  </si>
  <si>
    <t>06470</t>
  </si>
  <si>
    <t>02779</t>
  </si>
  <si>
    <t>02770</t>
  </si>
  <si>
    <t>´01210</t>
  </si>
  <si>
    <t>´06760</t>
  </si>
  <si>
    <t>´01030</t>
  </si>
  <si>
    <t>78433</t>
  </si>
  <si>
    <t>78180</t>
  </si>
  <si>
    <t>ENVIADO</t>
  </si>
  <si>
    <t>RECIBIDO</t>
  </si>
  <si>
    <t>MAL FIRMADA</t>
  </si>
  <si>
    <t>OK</t>
  </si>
  <si>
    <t>CONFIRMADA</t>
  </si>
  <si>
    <t>REINGRESO 13/5/23</t>
  </si>
  <si>
    <t>2o. Reingreso</t>
  </si>
  <si>
    <t>CAMBIO A MONTACARGUISTA</t>
  </si>
  <si>
    <t>CAMBIO A NOMINA IMSS</t>
  </si>
  <si>
    <t>CAMBIO DE PUESTO</t>
  </si>
  <si>
    <t>PROMOCION DE MECANICO A COORDINADOR DE TALLER</t>
  </si>
  <si>
    <t>PLANTA/IMSS</t>
  </si>
  <si>
    <t>MODIFICACION DE PUESTO</t>
  </si>
  <si>
    <t>CAMBIO A EJECUTIVO COMERCIAL</t>
  </si>
  <si>
    <t>CAMBIO A LAT</t>
  </si>
  <si>
    <t>ANTES IAS</t>
  </si>
  <si>
    <t>ACTA ADMVA. POR FALTAS. ACTITUD DE NO COOLABORAR</t>
  </si>
  <si>
    <t>MAYOR SD</t>
  </si>
  <si>
    <t>última baja 10 oct 21 por renuncia voluntaria.</t>
  </si>
  <si>
    <t>INICIO COMO AYUDANTE GENERAL Y CAMBIA A MONTACARGUISTA EN S47 2020</t>
  </si>
  <si>
    <t>CUARTO REINGRESO. ANTERIOR 30 DE MAYO DE 2023 CON FECHA DE RENUNCIA VOLUNTRIA DEL 20 DE NOV DE 2023. SALE FUERA DEL PAIS COBRA FINIQUITO HASTA SU REINGRESO EN JULIO 2024</t>
  </si>
  <si>
    <t>renuncia voluntaria por problemas familiares</t>
  </si>
  <si>
    <t>ANTES CONTEO DE VARILLA</t>
  </si>
  <si>
    <t>CAMBIA DE CUSTOMER SERVICE A COORDINADOR DE PROYECTO CTPAT</t>
  </si>
  <si>
    <t>CAMBIA DE JEFE DE CONTROL DE COMBUSTIBLE A JEFE DE OPERACIONES</t>
  </si>
  <si>
    <t xml:space="preserve">INGRESO COMO MECANICO NOMINA SEMANAL DE 18 FEB 19 CON BAJA RV 31 (SE PAGA FINIQUITO)  MAY 23 PARA CAMBIO A NOMINA QUINCENAL </t>
  </si>
  <si>
    <t>Inicia prácticas profesionales el 24/01/2022 Concluye 02/09/2022 e ingresa el 05 sep 22 en el puesto de asistente de gerencia.</t>
  </si>
  <si>
    <t xml:space="preserve">FECHA ANTERIOR DE INGRESO 20 JUN 22 AL 02 AGO 22 </t>
  </si>
  <si>
    <t>ASISTENTE DE VENTAS EN DICOSA 16 AGO 2019</t>
  </si>
  <si>
    <t>REINGRESO POR APOYO DE RENUNCIA DE LESLIHE EN LOGISTICA</t>
  </si>
  <si>
    <t>BAJA ANTERIOR DEL 31 DE AGO 2022 POR RENUNCIA VOLUNTARIA POR CAMBIO DE EMPLEO A OTRA EMPRESA</t>
  </si>
  <si>
    <t xml:space="preserve">FECHA ANTERIOR DE INGRESO 05 NOV 2018 AL 15 DIC 22 </t>
  </si>
  <si>
    <t>INICIÓ COMO ASISTENTE DE ABASO Y LOGISTICA Y CAMBIO A EJECUTIVO DE VENTAS EN AGOSTO DE 2020</t>
  </si>
  <si>
    <t>Ingresa como operador de U.R y pasa a Superintendente en 2021</t>
  </si>
  <si>
    <t>Ingesa como Superintendente, se finiquita en agosto 2020 para iniciar en septiembre como Ejecutivo comercial.</t>
  </si>
  <si>
    <t>CAMBIO DE EMPRESA DE DICOSA A LATINO MAS MANTIENE ANTIGÜEDAD, PROMOCION INTERNA</t>
  </si>
  <si>
    <t xml:space="preserve">ALTA EN IMSS FECHA DEL 01/02/2020 </t>
  </si>
  <si>
    <t>Inició como practicante el 06 SEP 21 e ingrea en nómina IAS con sueldo de 5,500 mensual en S11/22 con horario de 8:30 a 4pm/ Cambia a nómina IMSS en Q13/22</t>
  </si>
  <si>
    <t>SEMANA 49</t>
  </si>
  <si>
    <t>11/04/2022 IAS 23 03 31</t>
  </si>
  <si>
    <t>POR RENUNCIA VOLUNTARIA</t>
  </si>
  <si>
    <t>ROGELIO ROJAS</t>
  </si>
  <si>
    <t>J. CRUZ SANTILLAN ZAPATA</t>
  </si>
  <si>
    <t xml:space="preserve">MARCO ANTONIO RIVERA BRAVO </t>
  </si>
  <si>
    <t>PERLA MELISA MARTINEZ CERDA</t>
  </si>
  <si>
    <t>MARIA DEL ROSARIO TELLO</t>
  </si>
  <si>
    <t>PATRICIA LLAMAS GONZALEZ</t>
  </si>
  <si>
    <t>DANIEL MAURICIO BRAVO ESPERICUETA</t>
  </si>
  <si>
    <t>JOSE ANGEL DELGADO GUZMAN</t>
  </si>
  <si>
    <t>MAYRA CAROLINA BAÑUELOS</t>
  </si>
  <si>
    <t>PATRICIA FLORES UDAVE</t>
  </si>
  <si>
    <t>ANGELICA PRADO RODRIGUEZ</t>
  </si>
  <si>
    <t>SATURNINO HERNANDEZ RODRIGUEZ</t>
  </si>
  <si>
    <t>JESUS RAMIREZ GUTIERREZ</t>
  </si>
  <si>
    <t>ROSA VAZQUEZ DE MEJIA</t>
  </si>
  <si>
    <t>SONIA CASTILLO ORDAZ</t>
  </si>
  <si>
    <t>LARISSA NARVAEZ JUAEZ</t>
  </si>
  <si>
    <t>GUILLERMO ACOSTA ALMENDAREZ</t>
  </si>
  <si>
    <t>AZUCENA RODRIGUEZ OLIVERA</t>
  </si>
  <si>
    <t>JOSELINE RODRIGUEZ RAMIREZ</t>
  </si>
  <si>
    <t>MARIA GUADALUPE JIMENEZ</t>
  </si>
  <si>
    <t>DIANA ELIZABETH SILVA MACHUCA</t>
  </si>
  <si>
    <t>GABRIEL FABIAN LEDEZMA</t>
  </si>
  <si>
    <t>MARIA DE LOS ANGELES MOSQUEDA</t>
  </si>
  <si>
    <t>MARIO REYES TOVAR</t>
  </si>
  <si>
    <t>FLORENTINA GUEVARA ALONZO</t>
  </si>
  <si>
    <t>ARJELIA REYES REYES</t>
  </si>
  <si>
    <t>GUSTAVO MALDONADO MARTINEZ</t>
  </si>
  <si>
    <t>SONIA GARCIA BAEZA/ SULEIMA YAHAIRA HERRERA VILLA</t>
  </si>
  <si>
    <t>MARTIN FABIAN LOPEZ</t>
  </si>
  <si>
    <t>MIRIAM ALEJANDRA GUISAR CAMARILLO</t>
  </si>
  <si>
    <t>EZEQUIEL SANDOVAL GARCIA</t>
  </si>
  <si>
    <t>HERLIINDA RODRIGUEZ RODRIGUEZ</t>
  </si>
  <si>
    <t>MARIA FERNANDA MORALES</t>
  </si>
  <si>
    <t>ANAHI CRISTINA CASTILLO</t>
  </si>
  <si>
    <t>MA DEL SOCORRO MARTINEZ JUAREZ</t>
  </si>
  <si>
    <t>ADRIAN VEGA CASTILLO</t>
  </si>
  <si>
    <t>JAQUELINE SAUSEDA</t>
  </si>
  <si>
    <t>MARIA GENOVEVA MARTINEZ</t>
  </si>
  <si>
    <t>MARIA ELENA GONZALEZ DE LA ROSA</t>
  </si>
  <si>
    <t>ADRIANA ZUÑIGA MORALES</t>
  </si>
  <si>
    <t>YOBANI JANET HERNANDEZ CASTILLO</t>
  </si>
  <si>
    <t>CESAR GUTIERREZ MENDOZA</t>
  </si>
  <si>
    <t>ELEUTERIA SAAVEDRA CORTEZ</t>
  </si>
  <si>
    <t>ANA MARIA TRISTAN SALAZAR</t>
  </si>
  <si>
    <t>HILARIA MOYEDA CASTAÑEDA</t>
  </si>
  <si>
    <t>REYNA GUADALUPE RAMIREZ LOREDO</t>
  </si>
  <si>
    <t>MONICA LIZBETH MEDINA GALLARDO</t>
  </si>
  <si>
    <t>CLAUDIA ELIZABETH SILVA RAMIREZ</t>
  </si>
  <si>
    <t>HECTOR LLAMAS ANDRADE</t>
  </si>
  <si>
    <t>MARIA ELENA SALAZAR MARQUEZ</t>
  </si>
  <si>
    <t>MA. DE LOS ANGELES RIVERA LOPEZ</t>
  </si>
  <si>
    <t>YANELE CADENAS MONSIVAIS</t>
  </si>
  <si>
    <t>KENYA DIAZ GONZALEZ</t>
  </si>
  <si>
    <t>MARTHA ALICIA GONZALEZ  ESPINOZA</t>
  </si>
  <si>
    <t>MARIA ANGELICA VELARDE LOPEZ</t>
  </si>
  <si>
    <t>JOSE ANGEL MUÑOZ PÍÑA</t>
  </si>
  <si>
    <t>LETICIA GUTIERREZ SANTIAGO</t>
  </si>
  <si>
    <t>MA. GUADALUPE BRISEÑO TORRES</t>
  </si>
  <si>
    <t>DENISSE LOREDO</t>
  </si>
  <si>
    <t>ALICIA TORRES CASTILLO</t>
  </si>
  <si>
    <t>RUMUALDA PEREZ PESCINA</t>
  </si>
  <si>
    <t xml:space="preserve">BENJAMIN BERNABE LOREDO QUINTANA </t>
  </si>
  <si>
    <t>JOSE EMILIO ORTEGA OLIVA</t>
  </si>
  <si>
    <t>RITA HERNANDEZ</t>
  </si>
  <si>
    <t>CLAUDIA RODRIGUEZ SALAZAR</t>
  </si>
  <si>
    <t xml:space="preserve">MARIA MAGDALENA SOLIS ELIZONDO </t>
  </si>
  <si>
    <t>HUGO CESAR FIGUERO GARCIA</t>
  </si>
  <si>
    <t>GABRIELA ESTRADA CHAVEZ</t>
  </si>
  <si>
    <t>BEATRIZ HERNANDEZ BRAVO</t>
  </si>
  <si>
    <t>CLAUDIA CORTEZ</t>
  </si>
  <si>
    <t>MIGUEL RIVERA HERNANDEZ</t>
  </si>
  <si>
    <t>MARIA REBECA OLVERA PEREZ</t>
  </si>
  <si>
    <t>CATALINA MIRANDA DE GAMBOA</t>
  </si>
  <si>
    <t>MARTHA ELVIRA RUIZ VAZQUEZ</t>
  </si>
  <si>
    <t>KAIN BACA OLIVARES</t>
  </si>
  <si>
    <t>ROSA MARIA GONZALEZ DIMAS</t>
  </si>
  <si>
    <t>MANUEL GUEL LOPEZ</t>
  </si>
  <si>
    <t>EDGAR URIEL PEREZ NAVA</t>
  </si>
  <si>
    <t>MARIANA SARAHI ESQUIVEL ARAIZA</t>
  </si>
  <si>
    <t>MARITN SIGALA CRUZ</t>
  </si>
  <si>
    <t>KARLA FABIOLA PEREZ</t>
  </si>
  <si>
    <t>CORC</t>
  </si>
  <si>
    <t>ROSA MARIA REYES SANDOVAL</t>
  </si>
  <si>
    <t>JOSE IGNACIO ORTIZ ROCHA</t>
  </si>
  <si>
    <t>ARACELY VILLALON PAULIN</t>
  </si>
  <si>
    <t>VENANCIA CASTILLO MARTINEZ</t>
  </si>
  <si>
    <t>MA DEL SOCORRO HUERTA HUERTA</t>
  </si>
  <si>
    <t>SANDRA LUCIA VILLALOBOS MARTINEZ</t>
  </si>
  <si>
    <t>OSCAR GAYTAN</t>
  </si>
  <si>
    <t xml:space="preserve">MA. GUILLERMINA HERNANDEZ ARIAS </t>
  </si>
  <si>
    <t>ANA LILIA RODRIGUEZ HERNANDEZ</t>
  </si>
  <si>
    <t>ITAI ANDRADE</t>
  </si>
  <si>
    <t>ALVARO OBREGON PRIETO</t>
  </si>
  <si>
    <t>MARIA TERESA ESPINOSA PEREZ</t>
  </si>
  <si>
    <t>ANA MARIA JASSO RODRIGUEZ</t>
  </si>
  <si>
    <t>YOLANDA ESPARZA GLORIA</t>
  </si>
  <si>
    <t xml:space="preserve">ERICK ALIAN LOBO ROQUE </t>
  </si>
  <si>
    <t>IVANA ALEJANDRA ALEMAN BUENO</t>
  </si>
  <si>
    <t xml:space="preserve">SANTIAGO AMAYA SAUCEDO </t>
  </si>
  <si>
    <t>ALMA ROSA REYES GUZMAN</t>
  </si>
  <si>
    <t>Norberto Marin Moreno</t>
  </si>
  <si>
    <t>NAYELIA CRESPO RANGEL</t>
  </si>
  <si>
    <t>RAUL ARREGUIN RODRIGUEZ</t>
  </si>
  <si>
    <t>ENRIQUE HERNANDEZ RODRIGUEZ</t>
  </si>
  <si>
    <t>MA DEL CARMEN LOPEZ CRUZ</t>
  </si>
  <si>
    <t>SELENE DEVELISSE TORRES URIBE</t>
  </si>
  <si>
    <t>GRISELDA GUZMAN ALVAREZ</t>
  </si>
  <si>
    <t>FABIOLA CAMPOS REGINO</t>
  </si>
  <si>
    <t>MARIA DEL ROSARIO ISABELES</t>
  </si>
  <si>
    <t>JOSE IVAN REYES NUÑEZ</t>
  </si>
  <si>
    <t>NANCY XITLALY CHAVEZ MENDEZ</t>
  </si>
  <si>
    <t>VICTOR MAURICIO SOTO VAZQUEZ</t>
  </si>
  <si>
    <t>ANDRES BELTRAN BARAJAS</t>
  </si>
  <si>
    <t>MONICA LINARES SANCHEZ/ KARINA LINARES</t>
  </si>
  <si>
    <t>CARMEN ESPARZA</t>
  </si>
  <si>
    <t>JOSE LUIS TORRES ZAVALA</t>
  </si>
  <si>
    <t>RICARDO ARTURO ARCEAGA IBARRA</t>
  </si>
  <si>
    <t>KARLA CITLALIC GONZALEZ SALAS</t>
  </si>
  <si>
    <t xml:space="preserve">CONYUGE </t>
  </si>
  <si>
    <t>NOVIA</t>
  </si>
  <si>
    <t>MADRE/ESPOSA</t>
  </si>
  <si>
    <t>CONYUNGE</t>
  </si>
  <si>
    <t>AMIGO</t>
  </si>
  <si>
    <t xml:space="preserve">AMIGO </t>
  </si>
  <si>
    <t>ABUELA</t>
  </si>
  <si>
    <t>HERMANA/ PRIMA</t>
  </si>
  <si>
    <t>444 109 0425</t>
  </si>
  <si>
    <t>444 448 1547</t>
  </si>
  <si>
    <t>444 449 6861</t>
  </si>
  <si>
    <t>486 855 2020</t>
  </si>
  <si>
    <t>489 125 8841</t>
  </si>
  <si>
    <t>279 108 8233</t>
  </si>
  <si>
    <t>444 640 5891</t>
  </si>
  <si>
    <t>444 628 6842</t>
  </si>
  <si>
    <t>444 658 5284</t>
  </si>
  <si>
    <t>333 689 5855</t>
  </si>
  <si>
    <t>33 2339 3711</t>
  </si>
  <si>
    <t>33 2268 0952</t>
  </si>
  <si>
    <t>33 2677 2151</t>
  </si>
  <si>
    <t>33 2453 4430</t>
  </si>
  <si>
    <t>332 825 8227</t>
  </si>
  <si>
    <t>333 732 1919</t>
  </si>
  <si>
    <t>331 995 1482</t>
  </si>
  <si>
    <t>331 107 8961</t>
  </si>
  <si>
    <t>444 843 3347</t>
  </si>
  <si>
    <t>334 277 6928</t>
  </si>
  <si>
    <t>333 732 2733</t>
  </si>
  <si>
    <t>334 465 6803</t>
  </si>
  <si>
    <t>331 572 1752</t>
  </si>
  <si>
    <t>332 490 9288</t>
  </si>
  <si>
    <t>331 890 3384</t>
  </si>
  <si>
    <t>332 108 3754</t>
  </si>
  <si>
    <t>932 105 8317</t>
  </si>
  <si>
    <t>444 121 7228</t>
  </si>
  <si>
    <t>444 209 9944</t>
  </si>
  <si>
    <t>444 125 4995</t>
  </si>
  <si>
    <t>782 101 6349</t>
  </si>
  <si>
    <t>444 320 5152</t>
  </si>
  <si>
    <t>444 850 5712</t>
  </si>
  <si>
    <t>444 691 1996</t>
  </si>
  <si>
    <t>444 619 5556</t>
  </si>
  <si>
    <t>444 148 2315</t>
  </si>
  <si>
    <t>444 687 2203</t>
  </si>
  <si>
    <t>444 862 7392</t>
  </si>
  <si>
    <t>444 661 2073</t>
  </si>
  <si>
    <t>444 819 9752</t>
  </si>
  <si>
    <t>444 193 2160</t>
  </si>
  <si>
    <t>33 2925 8357</t>
  </si>
  <si>
    <t>33 2340 6684</t>
  </si>
  <si>
    <t>33 2903 6039</t>
  </si>
  <si>
    <t>332 847 3900</t>
  </si>
  <si>
    <t>33 3176 0360</t>
  </si>
  <si>
    <t>334 339 4105</t>
  </si>
  <si>
    <t>334 514 5040</t>
  </si>
  <si>
    <t>331 713 1105</t>
  </si>
  <si>
    <t>444 616 1921</t>
  </si>
  <si>
    <t>486 113 36 35</t>
  </si>
  <si>
    <t>449 343 64 14</t>
  </si>
  <si>
    <t>449 502 9443</t>
  </si>
  <si>
    <t>449 216 9378</t>
  </si>
  <si>
    <t>449 191 5184</t>
  </si>
  <si>
    <t>449 393 3375</t>
  </si>
  <si>
    <t>449 138 0506</t>
  </si>
  <si>
    <t>449 116 5278</t>
  </si>
  <si>
    <t>444 103 3469</t>
  </si>
  <si>
    <t>33 1438 2383</t>
  </si>
  <si>
    <t>33 1331 2860</t>
  </si>
  <si>
    <t>33 1084 6169</t>
  </si>
  <si>
    <t>33 2250 9400/ 33 2977 2202</t>
  </si>
  <si>
    <t>33 1772 5732</t>
  </si>
  <si>
    <t>33 1388 2839</t>
  </si>
  <si>
    <t>444 432 9774</t>
  </si>
  <si>
    <t>442 831 0710</t>
  </si>
  <si>
    <t>488 136 4445</t>
  </si>
  <si>
    <t>488 131 8680</t>
  </si>
  <si>
    <t>488 142 8418</t>
  </si>
  <si>
    <t>488 109 2457</t>
  </si>
  <si>
    <t>488 145 1151</t>
  </si>
  <si>
    <t>488 124 1426</t>
  </si>
  <si>
    <t>488 105 9838</t>
  </si>
  <si>
    <t>84 52 0438</t>
  </si>
  <si>
    <t>81 3282 9210</t>
  </si>
  <si>
    <t>81 2360 0401</t>
  </si>
  <si>
    <t>813 874 7341</t>
  </si>
  <si>
    <t>729 923 4021</t>
  </si>
  <si>
    <t>442 665 1456</t>
  </si>
  <si>
    <t>444 501 8491</t>
  </si>
  <si>
    <t>442 317 3462</t>
  </si>
  <si>
    <t>487 109 9469</t>
  </si>
  <si>
    <t>487 140 8497</t>
  </si>
  <si>
    <t xml:space="preserve">487 134 6475 </t>
  </si>
  <si>
    <t>487 143 0236</t>
  </si>
  <si>
    <t>487 134 6526</t>
  </si>
  <si>
    <t>487 156 5013</t>
  </si>
  <si>
    <t>444 530 3547</t>
  </si>
  <si>
    <t>487 147 7184</t>
  </si>
  <si>
    <t>487 126 7482</t>
  </si>
  <si>
    <t>487 109 5873</t>
  </si>
  <si>
    <t>487 128 6256</t>
  </si>
  <si>
    <t>487 132 3936</t>
  </si>
  <si>
    <t>487 105 1796</t>
  </si>
  <si>
    <t>444 276 8781</t>
  </si>
  <si>
    <t>444 637 4756</t>
  </si>
  <si>
    <t>444 370 0029</t>
  </si>
  <si>
    <t>444 306 2194</t>
  </si>
  <si>
    <t>444 235 5267</t>
  </si>
  <si>
    <t>444 578 7939</t>
  </si>
  <si>
    <t>444 406 3287</t>
  </si>
  <si>
    <t>444 545 2323</t>
  </si>
  <si>
    <t>444 332 8201</t>
  </si>
  <si>
    <t>444 907 9822</t>
  </si>
  <si>
    <t>481 100 3438</t>
  </si>
  <si>
    <t>481 153 5436</t>
  </si>
  <si>
    <t>481 155 1136</t>
  </si>
  <si>
    <t>481 100 4028</t>
  </si>
  <si>
    <t>481 112 1323</t>
  </si>
  <si>
    <t>481 116 8112</t>
  </si>
  <si>
    <t>868 305 8687</t>
  </si>
  <si>
    <t>481 380 3657</t>
  </si>
  <si>
    <t>148 111 51985</t>
  </si>
  <si>
    <t>481 117 1389</t>
  </si>
  <si>
    <t>481 108 2749</t>
  </si>
  <si>
    <t>481 113 4146</t>
  </si>
  <si>
    <t>444 175 7902</t>
  </si>
  <si>
    <t>444 845 2579</t>
  </si>
  <si>
    <t>444 178 5142</t>
  </si>
  <si>
    <t>444 165 9670</t>
  </si>
  <si>
    <t>81 1606 0486</t>
  </si>
  <si>
    <t>444 803 7500</t>
  </si>
  <si>
    <t>444 692 5830</t>
  </si>
  <si>
    <t>444 708 8483</t>
  </si>
  <si>
    <t>444 484 0041</t>
  </si>
  <si>
    <t>444 200 1389</t>
  </si>
  <si>
    <t>773 739 0329</t>
  </si>
  <si>
    <t>444 861 9103</t>
  </si>
  <si>
    <t>55 3354 0404</t>
  </si>
  <si>
    <t>844 101 1298</t>
  </si>
  <si>
    <t>444 111 2729</t>
  </si>
  <si>
    <t>444 105 4465</t>
  </si>
  <si>
    <t>444 190 6599</t>
  </si>
  <si>
    <t>444 238 6235</t>
  </si>
  <si>
    <t>444 520 5617</t>
  </si>
  <si>
    <t>444 633 8668</t>
  </si>
  <si>
    <t>444 188 6821</t>
  </si>
  <si>
    <t>444 123 1606</t>
  </si>
  <si>
    <t>444 426 9067</t>
  </si>
  <si>
    <t>444 445 9857</t>
  </si>
  <si>
    <t>444 316 2225</t>
  </si>
  <si>
    <t>444 130 4961</t>
  </si>
  <si>
    <t>444 188 2982</t>
  </si>
  <si>
    <t>444 411 0846</t>
  </si>
  <si>
    <t>444 411 9659</t>
  </si>
  <si>
    <t>331 029 6883</t>
  </si>
  <si>
    <t>440 186 7289</t>
  </si>
  <si>
    <t>444 638 7567</t>
  </si>
  <si>
    <t>444 725 7700</t>
  </si>
  <si>
    <t>444 378 9533</t>
  </si>
  <si>
    <t>444 423 4465</t>
  </si>
  <si>
    <t>444 225 4450</t>
  </si>
  <si>
    <t>444 176 1819</t>
  </si>
  <si>
    <t>444 715 2738</t>
  </si>
  <si>
    <t>444 158 8601</t>
  </si>
  <si>
    <t>33 1536 7140</t>
  </si>
  <si>
    <t>331 045 8961</t>
  </si>
  <si>
    <t>33 2538 0080</t>
  </si>
  <si>
    <t>33 1208 8140</t>
  </si>
  <si>
    <t>33 2203 0571</t>
  </si>
  <si>
    <t>384 101 3897</t>
  </si>
  <si>
    <t>833 152 3211</t>
  </si>
  <si>
    <t xml:space="preserve">481 109 2461 </t>
  </si>
  <si>
    <t>481 104 3852</t>
  </si>
  <si>
    <t>481 126 7618</t>
  </si>
  <si>
    <t>481 122 4777</t>
  </si>
  <si>
    <t>381 147 8495</t>
  </si>
  <si>
    <t>475 953 3591 / 475 109 2728</t>
  </si>
  <si>
    <t>449 275 5283</t>
  </si>
  <si>
    <t>492 132 8518</t>
  </si>
  <si>
    <t>449 198 3823</t>
  </si>
  <si>
    <t>444 204 2332/ 487 115 0171</t>
  </si>
  <si>
    <t xml:space="preserve">487 111 0249 </t>
  </si>
  <si>
    <t>487 113 2501</t>
  </si>
  <si>
    <t>487 112 2237</t>
  </si>
  <si>
    <t>487 148 6740</t>
  </si>
  <si>
    <t>488 149 5952</t>
  </si>
  <si>
    <t xml:space="preserve">488 107 25 48 </t>
  </si>
  <si>
    <t>488 174 0832</t>
  </si>
  <si>
    <t>488 141 9942</t>
  </si>
  <si>
    <t>826 116 24 02</t>
  </si>
  <si>
    <t>444 302 7046</t>
  </si>
  <si>
    <t>831 119 0265</t>
  </si>
  <si>
    <t>444 329 2017</t>
  </si>
  <si>
    <t>444 630 7288</t>
  </si>
  <si>
    <t>444 833 4631</t>
  </si>
  <si>
    <t>444 286 3246</t>
  </si>
  <si>
    <t>444 539 8969</t>
  </si>
  <si>
    <t>811 880 8939</t>
  </si>
  <si>
    <t>813 044 1059</t>
  </si>
  <si>
    <t>811 273 7826</t>
  </si>
  <si>
    <t>444 203 2857</t>
  </si>
  <si>
    <t>811 840 0301</t>
  </si>
  <si>
    <t>442 158 1962</t>
  </si>
  <si>
    <t>442 371 7140</t>
  </si>
  <si>
    <t>442 381 6312</t>
  </si>
  <si>
    <t>442 706 9226</t>
  </si>
  <si>
    <t>446 103 4489</t>
  </si>
  <si>
    <t>444 285 1668</t>
  </si>
  <si>
    <t>444 288 0660</t>
  </si>
  <si>
    <t>444 188 8564</t>
  </si>
  <si>
    <t>444 104 3795</t>
  </si>
  <si>
    <t>444 708 1027</t>
  </si>
  <si>
    <t>444 181 5118</t>
  </si>
  <si>
    <t>33 39 66 95 58</t>
  </si>
  <si>
    <t>331 108 2391</t>
  </si>
  <si>
    <t>33 1220 3363</t>
  </si>
  <si>
    <t>449 922 4555</t>
  </si>
  <si>
    <t>331 399 5871</t>
  </si>
  <si>
    <t>33 1418 0000</t>
  </si>
  <si>
    <t>332 154 2805</t>
  </si>
  <si>
    <t>332 506 8023</t>
  </si>
  <si>
    <t>444 578 1409</t>
  </si>
  <si>
    <t>444 811 0418</t>
  </si>
  <si>
    <t>444 284 5216</t>
  </si>
  <si>
    <t>444 310 9156/ 833 0461</t>
  </si>
  <si>
    <t>444 419 1268</t>
  </si>
  <si>
    <t>444 445 3904/ 444 386 8756</t>
  </si>
  <si>
    <t>444 827 1193</t>
  </si>
  <si>
    <t>486 102 8261</t>
  </si>
  <si>
    <t>444 421 7824</t>
  </si>
  <si>
    <t>444 829 4759</t>
  </si>
  <si>
    <t>444 8438993/548 5721/ 841 4988/136 3601</t>
  </si>
  <si>
    <t>444 130 2203</t>
  </si>
  <si>
    <t>444 270 0042</t>
  </si>
  <si>
    <t>444 505 2816</t>
  </si>
  <si>
    <t>552 108 3450</t>
  </si>
  <si>
    <t>444 122 5161</t>
  </si>
  <si>
    <t>(444) 349 1803 / (444) 681 5020</t>
  </si>
  <si>
    <t>444 133 8836/444 820 6221</t>
  </si>
  <si>
    <t>PENICILINA</t>
  </si>
  <si>
    <t>NEGADAS</t>
  </si>
  <si>
    <t>AB-</t>
  </si>
  <si>
    <t>DESCONOCE</t>
  </si>
  <si>
    <t>OH+</t>
  </si>
  <si>
    <t>n</t>
  </si>
  <si>
    <t>ANALGESICOS</t>
  </si>
  <si>
    <t>FIEBRE DEL HENO</t>
  </si>
  <si>
    <t>DIABETICO</t>
  </si>
  <si>
    <t>DBT-1</t>
  </si>
  <si>
    <t>ABEJAS</t>
  </si>
  <si>
    <t>SI ( POLVO)</t>
  </si>
  <si>
    <t>O</t>
  </si>
  <si>
    <t>SI ( FRIO EXTREMO)</t>
  </si>
  <si>
    <t>POLVO Y CAMBIOS DE TEMPERATURA</t>
  </si>
  <si>
    <t>1 (2023)</t>
  </si>
  <si>
    <t>16--6</t>
  </si>
  <si>
    <t xml:space="preserve">NO   </t>
  </si>
  <si>
    <t>5 AÑOS (2022)</t>
  </si>
  <si>
    <t>32 Y 29 AÑOS 2023</t>
  </si>
  <si>
    <t>7,4,4 Y 11 AÑOS 2023</t>
  </si>
  <si>
    <t>10 Y 8 meses (2023)</t>
  </si>
  <si>
    <t>13 Y 9 AÑOS</t>
  </si>
  <si>
    <t>DORIAN 1/10/2013-EITN 10/01/2018</t>
  </si>
  <si>
    <t>ANGEL 17/07/2012-JOSE 12/02/2011-FRANCISCO 04/10/2013</t>
  </si>
  <si>
    <t>15 JUL 12- 15 JUL 16</t>
  </si>
  <si>
    <t>20, 15 Y 12 AÑOS (2021)</t>
  </si>
  <si>
    <t>13, 11 Y 3 AÑOS (2022)</t>
  </si>
  <si>
    <t>29 Y 28 AÑOS (2022)</t>
  </si>
  <si>
    <t>21, 11, 14 Y 13 AÑOS (2022)</t>
  </si>
  <si>
    <t>16-11 (2023)</t>
  </si>
  <si>
    <t>18,17 Y 5 (2023)</t>
  </si>
  <si>
    <t>28 Y 26 (2023)</t>
  </si>
  <si>
    <t>9 Y 0 (2023)</t>
  </si>
  <si>
    <t>23,22 Y 11 AÑOS (2021)</t>
  </si>
  <si>
    <t>7 Y 4 AÑOS (2023)</t>
  </si>
  <si>
    <t>19, 17 y 14 (2022)</t>
  </si>
  <si>
    <t>7, 6 Y 1 (2023)</t>
  </si>
  <si>
    <t>15FEB 10/28MAY12/28 AGO15/28 AGO 15</t>
  </si>
  <si>
    <t>4 Y 3 AÑOS (2023)</t>
  </si>
  <si>
    <t>9 AÑOS 2023</t>
  </si>
  <si>
    <t>2000-98-96-93</t>
  </si>
  <si>
    <t>2007-14-19</t>
  </si>
  <si>
    <t>2005-2008-2018</t>
  </si>
  <si>
    <t> 16 AÑOS 03.02.2006, 18 25.07.2003, 21 17.10.2000</t>
  </si>
  <si>
    <t>15-13-6 (2023)</t>
  </si>
  <si>
    <t>20, 10 6 Y 8 AÑOS (2019)</t>
  </si>
  <si>
    <t>20 SEP 2004/08 ENE2008/ 5 JUL 2011/18 AGO 2019</t>
  </si>
  <si>
    <t>3 AÑOS</t>
  </si>
  <si>
    <t>25, 23 Y 19 AÑOS (2022)</t>
  </si>
  <si>
    <t>8 Y 5 AÑOS (2023)</t>
  </si>
  <si>
    <t>11, 8 Y 5 AÑOS (2023)</t>
  </si>
  <si>
    <t>5 MESES ABRIL 2023</t>
  </si>
  <si>
    <t>4 AÑOS (2023)</t>
  </si>
  <si>
    <t>14 Y 9 (2023)</t>
  </si>
  <si>
    <t>28/27/16</t>
  </si>
  <si>
    <t>EMMA 16/04/2022-CARLOS 23/12/2024</t>
  </si>
  <si>
    <t>21 MAR 88/ 29 SEP 97</t>
  </si>
  <si>
    <t>27 AB 99/14 ENE 2003/01 AGO 2004</t>
  </si>
  <si>
    <t>12 Y 11 (2023)</t>
  </si>
  <si>
    <t>35,30,25, Y 20 (2023)</t>
  </si>
  <si>
    <t>17 SEP 2007/27 NOV 2011</t>
  </si>
  <si>
    <t>30-26-19-1 (2023)</t>
  </si>
  <si>
    <t>33-25 (2023)</t>
  </si>
  <si>
    <t>15-12-9-8 (2023)</t>
  </si>
  <si>
    <t>29 DIC 2005, 10 SEP 2007, 16 ABR 2012</t>
  </si>
  <si>
    <t>2 - 3meses - 3 meses (2023)</t>
  </si>
  <si>
    <t>25 JUL 2014, 17 ABR 17</t>
  </si>
  <si>
    <t>09 JUL 12/15 OCT 20</t>
  </si>
  <si>
    <t>22 MAY 18/ 13 AG 2009</t>
  </si>
  <si>
    <t>16 Y 14 AÑOS</t>
  </si>
  <si>
    <t>3 (2023)</t>
  </si>
  <si>
    <t>33 Y 28 (2023)</t>
  </si>
  <si>
    <t>13, 10 Y 6 AÑOS (2022)</t>
  </si>
  <si>
    <t>X</t>
  </si>
  <si>
    <t>10 MAR 93/1 NOV 95/24 ENE 2010</t>
  </si>
  <si>
    <t>02/11/2010/ 2021</t>
  </si>
  <si>
    <t>16 MAR 2005/16 DIC 2014</t>
  </si>
  <si>
    <t>11 Y 3 (2023)</t>
  </si>
  <si>
    <t>30 MAR 2007 Y 15 SEP 2009</t>
  </si>
  <si>
    <t>2 AÑOS (2022)</t>
  </si>
  <si>
    <t>14 JUL 04/28 AGO 10</t>
  </si>
  <si>
    <t>13-9 (2023)</t>
  </si>
  <si>
    <t>danna sofía miranda garcía 23-07-2020</t>
  </si>
  <si>
    <t>22SEP 2008/30 ENE 2011</t>
  </si>
  <si>
    <t>11 AÑOS 2022</t>
  </si>
  <si>
    <t>25 Y 24 (2023)</t>
  </si>
  <si>
    <t>2006-2015</t>
  </si>
  <si>
    <t>19, 11 5 (2023)</t>
  </si>
  <si>
    <t>30 Y 28 AÑOS 2023</t>
  </si>
  <si>
    <t>28/05/2004- 14 NOV 2008</t>
  </si>
  <si>
    <t>31 MAY 09/23 MAY 12</t>
  </si>
  <si>
    <t>23 ENE 02, 31 DIC 05, 05 OCT 07</t>
  </si>
  <si>
    <t>23, 20 Y 15 (2023)</t>
  </si>
  <si>
    <t>27 Y 24 AÑOS (2022)</t>
  </si>
  <si>
    <t>16-8-2 (2023)</t>
  </si>
  <si>
    <t>24 Y 22 AÑOS (2022)</t>
  </si>
  <si>
    <t>FEMENINA</t>
  </si>
  <si>
    <t>14 AÑOS</t>
  </si>
  <si>
    <t>11 AÑOS</t>
  </si>
  <si>
    <t>24 Años</t>
  </si>
  <si>
    <t>22 AÑOS</t>
  </si>
  <si>
    <t>32 AÑOS</t>
  </si>
  <si>
    <t>15 AÑOS</t>
  </si>
  <si>
    <t>6 AÑOS</t>
  </si>
  <si>
    <t>1 AÑO</t>
  </si>
  <si>
    <t>18 AÑOS</t>
  </si>
  <si>
    <t>10 AÑOS</t>
  </si>
  <si>
    <t>7 AÑOS</t>
  </si>
  <si>
    <t>8 AÑOS</t>
  </si>
  <si>
    <t>5 AÑOS</t>
  </si>
  <si>
    <t>19 AÑOS</t>
  </si>
  <si>
    <t>9 AÑOS</t>
  </si>
  <si>
    <t>4 AÑOS</t>
  </si>
  <si>
    <t>24 AÑOS</t>
  </si>
  <si>
    <t>21 AÑOS</t>
  </si>
  <si>
    <t>12 AÑOS</t>
  </si>
  <si>
    <t>23 AÑOS</t>
  </si>
  <si>
    <t>11 MESES</t>
  </si>
  <si>
    <t>16 AÑOS</t>
  </si>
  <si>
    <t>28 Años</t>
  </si>
  <si>
    <t>26 Años</t>
  </si>
  <si>
    <t>08 Años</t>
  </si>
  <si>
    <t>20 Días</t>
  </si>
  <si>
    <t>25 Años</t>
  </si>
  <si>
    <t>07 Años</t>
  </si>
  <si>
    <t>04 Años</t>
  </si>
  <si>
    <t>13 AÑOS</t>
  </si>
  <si>
    <t>20 AÑOS</t>
  </si>
  <si>
    <t>17 AÑOS</t>
  </si>
  <si>
    <t>0 MESES</t>
  </si>
  <si>
    <t>13 Años</t>
  </si>
  <si>
    <t xml:space="preserve">MASCULINO </t>
  </si>
  <si>
    <t>2 AÑOS</t>
  </si>
  <si>
    <t>30 AÑOS</t>
  </si>
  <si>
    <t>26 AÑOS</t>
  </si>
  <si>
    <t>33 AÑOS</t>
  </si>
  <si>
    <t>25 AÑOS</t>
  </si>
  <si>
    <t>16 Años</t>
  </si>
  <si>
    <t>3 MESES</t>
  </si>
  <si>
    <t>31 AÑOS</t>
  </si>
  <si>
    <t>28 AÑOS</t>
  </si>
  <si>
    <t>29 AÑOS</t>
  </si>
  <si>
    <t>27 AÑOS</t>
  </si>
  <si>
    <t>23 Años</t>
  </si>
  <si>
    <t>20 Años</t>
  </si>
  <si>
    <t>9 MESES</t>
  </si>
  <si>
    <t>2 MESES</t>
  </si>
  <si>
    <t>15 Años</t>
  </si>
  <si>
    <t>SUB FIJO</t>
  </si>
  <si>
    <t>TRAM-116</t>
  </si>
  <si>
    <t>TRAM-119</t>
  </si>
  <si>
    <t>TRAM-120</t>
  </si>
  <si>
    <t>TRAM-172</t>
  </si>
  <si>
    <t>TRAM-237</t>
  </si>
  <si>
    <t>TRAM-248</t>
  </si>
  <si>
    <t>TRAM-254</t>
  </si>
  <si>
    <t>TRAM-783</t>
  </si>
  <si>
    <t>TRAM-944</t>
  </si>
  <si>
    <t>TRAM-1017</t>
  </si>
  <si>
    <t>TRAM-1082</t>
  </si>
  <si>
    <t>TRAM-1083</t>
  </si>
  <si>
    <t>TRAM-1089</t>
  </si>
  <si>
    <t>TRAM-1090</t>
  </si>
  <si>
    <t>DICO-171</t>
  </si>
  <si>
    <t>DICO-344</t>
  </si>
  <si>
    <t>DICO-416</t>
  </si>
  <si>
    <t>DICO-434</t>
  </si>
  <si>
    <t>DICO-437</t>
  </si>
  <si>
    <t>DICO-490</t>
  </si>
  <si>
    <t>DICO-529</t>
  </si>
  <si>
    <t>DICO-551</t>
  </si>
  <si>
    <t>DICO-585</t>
  </si>
  <si>
    <t>DICO-599</t>
  </si>
  <si>
    <t>DICO-602</t>
  </si>
  <si>
    <t>DICO-628</t>
  </si>
  <si>
    <t>DICO-629</t>
  </si>
  <si>
    <t>DICO-637</t>
  </si>
  <si>
    <t>DICO-662</t>
  </si>
  <si>
    <t>DICO-798</t>
  </si>
  <si>
    <t>DICO-789</t>
  </si>
  <si>
    <t>DICO-861</t>
  </si>
  <si>
    <t>DICO-663</t>
  </si>
  <si>
    <t>DICO-698</t>
  </si>
  <si>
    <t>DICO-721</t>
  </si>
  <si>
    <t>DICO-732</t>
  </si>
  <si>
    <t>DICO-735</t>
  </si>
  <si>
    <t>DICO-802</t>
  </si>
  <si>
    <t>DICO-818</t>
  </si>
  <si>
    <t>DICO-830</t>
  </si>
  <si>
    <t>DICO-848</t>
  </si>
  <si>
    <t>DICO-857</t>
  </si>
  <si>
    <t>DICO-858</t>
  </si>
  <si>
    <t>DICO-859</t>
  </si>
  <si>
    <t>DICO-860</t>
  </si>
  <si>
    <t>DICO-734</t>
  </si>
  <si>
    <t>DICO-107</t>
  </si>
  <si>
    <t>DICO-304</t>
  </si>
  <si>
    <t>DICO-638</t>
  </si>
  <si>
    <t>DICO-678</t>
  </si>
  <si>
    <t>DICO-844</t>
  </si>
  <si>
    <t>LAT-823</t>
  </si>
  <si>
    <t>CONS-791</t>
  </si>
  <si>
    <t>CONS-811</t>
  </si>
  <si>
    <t>CONS-849</t>
  </si>
  <si>
    <t>CONS-400</t>
  </si>
  <si>
    <t>TRAM-400</t>
  </si>
  <si>
    <t>TRAM-791</t>
  </si>
  <si>
    <t>TRAM-811</t>
  </si>
  <si>
    <t>TRAM-823</t>
  </si>
  <si>
    <t>TRAM-832</t>
  </si>
  <si>
    <t>TRAM-836</t>
  </si>
  <si>
    <t>TRAM-849</t>
  </si>
  <si>
    <t>LAT-832</t>
  </si>
  <si>
    <t>LAT-771</t>
  </si>
  <si>
    <t>LAT-259</t>
  </si>
  <si>
    <t>LAT-262</t>
  </si>
  <si>
    <t>LAT-264</t>
  </si>
  <si>
    <t>LAT-270</t>
  </si>
  <si>
    <t>LAT-340</t>
  </si>
  <si>
    <t>LAT-029</t>
  </si>
  <si>
    <t>CEM-247</t>
  </si>
  <si>
    <t>CEM-322</t>
  </si>
  <si>
    <t>CEM-634</t>
  </si>
  <si>
    <t>CEM-635</t>
  </si>
  <si>
    <t>CONS-161</t>
  </si>
  <si>
    <t>CONS-164</t>
  </si>
  <si>
    <t>CONS-183</t>
  </si>
  <si>
    <t>CONS-123</t>
  </si>
  <si>
    <t>CONS-132</t>
  </si>
  <si>
    <t>CONS-105</t>
  </si>
  <si>
    <t>CONS-145</t>
  </si>
  <si>
    <t>CONS-148</t>
  </si>
  <si>
    <t>CONS-103</t>
  </si>
  <si>
    <t>CONS-184</t>
  </si>
  <si>
    <t>CONS-223</t>
  </si>
  <si>
    <t>CONS-232</t>
  </si>
  <si>
    <t>CONS-314</t>
  </si>
  <si>
    <t>CONS-642</t>
  </si>
  <si>
    <t>CONS-203</t>
  </si>
  <si>
    <t>CONS-476</t>
  </si>
  <si>
    <t>CONS-761</t>
  </si>
  <si>
    <t>CONS-220</t>
  </si>
  <si>
    <t>CONS-371</t>
  </si>
  <si>
    <t>CONS-442</t>
  </si>
  <si>
    <t>CONS106</t>
  </si>
  <si>
    <t>CONS-549</t>
  </si>
  <si>
    <t>CONS-680</t>
  </si>
  <si>
    <t>CONS-731</t>
  </si>
  <si>
    <t>CONS-854</t>
  </si>
  <si>
    <t>CONS-354</t>
  </si>
  <si>
    <t>CONS-355</t>
  </si>
  <si>
    <t>CONS-356</t>
  </si>
  <si>
    <t>CONS-358</t>
  </si>
  <si>
    <t>CONS-583</t>
  </si>
  <si>
    <t>CONS-742</t>
  </si>
  <si>
    <t>CONS-813</t>
  </si>
  <si>
    <t>CONS-675</t>
  </si>
  <si>
    <t>CONS-686</t>
  </si>
  <si>
    <t>CONS-758</t>
  </si>
  <si>
    <t>CONS-765</t>
  </si>
  <si>
    <t>CONS-787</t>
  </si>
  <si>
    <t>CONS-788</t>
  </si>
  <si>
    <t>CONS-819</t>
  </si>
  <si>
    <t>CONS-820</t>
  </si>
  <si>
    <t>CONS-828</t>
  </si>
  <si>
    <t>CONS-829</t>
  </si>
  <si>
    <t>CONS-468</t>
  </si>
  <si>
    <t>CONS-146</t>
  </si>
  <si>
    <t>CONS-205</t>
  </si>
  <si>
    <t>CONS-230</t>
  </si>
  <si>
    <t>CONS-250</t>
  </si>
  <si>
    <t>CONS-305</t>
  </si>
  <si>
    <t>CONS-307</t>
  </si>
  <si>
    <t>CONS-411</t>
  </si>
  <si>
    <t>CONS-453</t>
  </si>
  <si>
    <t>CONS-475</t>
  </si>
  <si>
    <t>CONS-491</t>
  </si>
  <si>
    <t>CONS-546</t>
  </si>
  <si>
    <t>CONS-609</t>
  </si>
  <si>
    <t>CONS-100</t>
  </si>
  <si>
    <t>CONS-127</t>
  </si>
  <si>
    <t>CONS-150</t>
  </si>
  <si>
    <t>CONS-186</t>
  </si>
  <si>
    <t>CONS-239</t>
  </si>
  <si>
    <t>CONS-506</t>
  </si>
  <si>
    <t>CONS-691</t>
  </si>
  <si>
    <t>CONS-673</t>
  </si>
  <si>
    <t>CONS-696</t>
  </si>
  <si>
    <t>CONS-725</t>
  </si>
  <si>
    <t>CONS-747</t>
  </si>
  <si>
    <t>CONS-796</t>
  </si>
  <si>
    <t>CONS-825</t>
  </si>
  <si>
    <t>CONS-833</t>
  </si>
  <si>
    <t>CONS-834</t>
  </si>
  <si>
    <t>CONS-856</t>
  </si>
  <si>
    <t>CONS-111</t>
  </si>
  <si>
    <t>CONS-153</t>
  </si>
  <si>
    <t>CONS-178</t>
  </si>
  <si>
    <t>CONS-194</t>
  </si>
  <si>
    <t>CONS-218</t>
  </si>
  <si>
    <t>CONS-225</t>
  </si>
  <si>
    <t>CONS-243</t>
  </si>
  <si>
    <t>CONS-291</t>
  </si>
  <si>
    <t>CONS-309</t>
  </si>
  <si>
    <t>CONS-320</t>
  </si>
  <si>
    <t>CONS-413</t>
  </si>
  <si>
    <t>CONS-496</t>
  </si>
  <si>
    <t>CONS-737</t>
  </si>
  <si>
    <t>CONS-793</t>
  </si>
  <si>
    <t>CONS-109</t>
  </si>
  <si>
    <t>CONS-112</t>
  </si>
  <si>
    <t>CONS-323</t>
  </si>
  <si>
    <t>CONS-412</t>
  </si>
  <si>
    <t>CONS-455</t>
  </si>
  <si>
    <t>CONS-113</t>
  </si>
  <si>
    <t>CONS-137</t>
  </si>
  <si>
    <t>CONS-170</t>
  </si>
  <si>
    <t>CONS-193</t>
  </si>
  <si>
    <t>CONS-431</t>
  </si>
  <si>
    <t>CONS-436</t>
  </si>
  <si>
    <t>CONS-636</t>
  </si>
  <si>
    <t>CONS-133</t>
  </si>
  <si>
    <t>CONS-134</t>
  </si>
  <si>
    <t>CONS-306</t>
  </si>
  <si>
    <t>CONS-501</t>
  </si>
  <si>
    <t>CONS-841</t>
  </si>
  <si>
    <t>CONS-842</t>
  </si>
  <si>
    <t>CONS-143</t>
  </si>
  <si>
    <t>CONS-204</t>
  </si>
  <si>
    <t>CONS-216</t>
  </si>
  <si>
    <t>CONS-414</t>
  </si>
  <si>
    <t>CONS-470</t>
  </si>
  <si>
    <t>CONS-779</t>
  </si>
  <si>
    <t>CONS-847</t>
  </si>
  <si>
    <t>CONS-166</t>
  </si>
  <si>
    <t>CONS-202</t>
  </si>
  <si>
    <t>CONS-211</t>
  </si>
  <si>
    <t>CONS-272</t>
  </si>
  <si>
    <t>CONS-273</t>
  </si>
  <si>
    <t>CONS-754</t>
  </si>
  <si>
    <t>CONS-199</t>
  </si>
  <si>
    <t>CONS-252</t>
  </si>
  <si>
    <t>CONS-408</t>
  </si>
  <si>
    <t>CONS-477</t>
  </si>
  <si>
    <t>CONS-607</t>
  </si>
  <si>
    <t>CONS-639</t>
  </si>
  <si>
    <t>CONS-644</t>
  </si>
  <si>
    <t>CONS-346</t>
  </si>
  <si>
    <t>CONS-485</t>
  </si>
  <si>
    <t>CONS-852</t>
  </si>
  <si>
    <t>CONS-540</t>
  </si>
  <si>
    <t>CONS-655</t>
  </si>
  <si>
    <t>CONS-661</t>
  </si>
  <si>
    <t>CONS-328</t>
  </si>
  <si>
    <t>CONS-850</t>
  </si>
  <si>
    <t>CONS-851</t>
  </si>
  <si>
    <t>CONT-102</t>
  </si>
  <si>
    <t>CONT-114</t>
  </si>
  <si>
    <t>CONT-122</t>
  </si>
  <si>
    <t>CONT-125</t>
  </si>
  <si>
    <t>CONT-126</t>
  </si>
  <si>
    <t>CONT-128</t>
  </si>
  <si>
    <t>CONT-131</t>
  </si>
  <si>
    <t>CONT-141</t>
  </si>
  <si>
    <t>CONT-163</t>
  </si>
  <si>
    <t>CONT-173</t>
  </si>
  <si>
    <t>CONT-213</t>
  </si>
  <si>
    <t>CONT-214</t>
  </si>
  <si>
    <t>CONT-313</t>
  </si>
  <si>
    <t>CONT-344</t>
  </si>
  <si>
    <t>CONT-395</t>
  </si>
  <si>
    <t>CONT-463</t>
  </si>
  <si>
    <t>CONT-590</t>
  </si>
  <si>
    <t>CONT-464</t>
  </si>
  <si>
    <t>CONT-749</t>
  </si>
  <si>
    <t>CONT-777</t>
  </si>
  <si>
    <t>CONT-853</t>
  </si>
  <si>
    <t>IMP-144</t>
  </si>
  <si>
    <t>LAT-705</t>
  </si>
  <si>
    <t>LAT-707</t>
  </si>
  <si>
    <t>LAT-720</t>
  </si>
  <si>
    <t>LAT-773</t>
  </si>
  <si>
    <t>LAT-817</t>
  </si>
  <si>
    <t>LAT-821</t>
  </si>
  <si>
    <t>LAT-824</t>
  </si>
  <si>
    <t>LAT-804</t>
  </si>
  <si>
    <t>LAT-807</t>
  </si>
  <si>
    <t>LAT-808</t>
  </si>
  <si>
    <t>LAT-809</t>
  </si>
  <si>
    <t>LAT-154</t>
  </si>
  <si>
    <t>LAT-155</t>
  </si>
  <si>
    <t>LAT-156</t>
  </si>
  <si>
    <t>LAT-227</t>
  </si>
  <si>
    <t>LAT-382</t>
  </si>
  <si>
    <t>LAT-555</t>
  </si>
  <si>
    <t>LAT-785</t>
  </si>
  <si>
    <t>LAT-845</t>
  </si>
  <si>
    <t>LAT-157</t>
  </si>
  <si>
    <t>LAT-235</t>
  </si>
  <si>
    <t>LAT-539</t>
  </si>
  <si>
    <t>LAT-643</t>
  </si>
  <si>
    <t>LAT-571</t>
  </si>
  <si>
    <t>TRAM-108</t>
  </si>
  <si>
    <t>TRAM-121</t>
  </si>
  <si>
    <t>TRAM-124</t>
  </si>
  <si>
    <t>TRAM-129</t>
  </si>
  <si>
    <t>TRAM-130</t>
  </si>
  <si>
    <t>TRAM-147</t>
  </si>
  <si>
    <t>TRAM-151</t>
  </si>
  <si>
    <t>TRAM-162</t>
  </si>
  <si>
    <t>TRAM-167</t>
  </si>
  <si>
    <t>TRAM-182</t>
  </si>
  <si>
    <t>TRAM-185</t>
  </si>
  <si>
    <t>TRAM-188</t>
  </si>
  <si>
    <t>TRAM-201</t>
  </si>
  <si>
    <t>TRAM-212</t>
  </si>
  <si>
    <t>TRAM-260</t>
  </si>
  <si>
    <t>TRAM-277</t>
  </si>
  <si>
    <t>TRAM-278</t>
  </si>
  <si>
    <t>TRAM-321</t>
  </si>
  <si>
    <t>TRAM-324</t>
  </si>
  <si>
    <t>TRAM-334</t>
  </si>
  <si>
    <t>TRAM-342</t>
  </si>
  <si>
    <t>TRAM-372</t>
  </si>
  <si>
    <t>TRAM-565</t>
  </si>
  <si>
    <t>TRAM-578</t>
  </si>
  <si>
    <t>TRAM-604</t>
  </si>
  <si>
    <t>TRAM-613</t>
  </si>
  <si>
    <t>TRAM-746</t>
  </si>
  <si>
    <t>TRAM-752</t>
  </si>
  <si>
    <t>TRAM-790</t>
  </si>
  <si>
    <t>TRAM-872</t>
  </si>
  <si>
    <t>TRAM-880</t>
  </si>
  <si>
    <t>TRAM-882</t>
  </si>
  <si>
    <t>TRAM-904</t>
  </si>
  <si>
    <t>TRAM-905</t>
  </si>
  <si>
    <t>TRAM-915</t>
  </si>
  <si>
    <t>TRAM-924</t>
  </si>
  <si>
    <t>TRAM-952</t>
  </si>
  <si>
    <t>TRAM-972</t>
  </si>
  <si>
    <t>TRAM-1006</t>
  </si>
  <si>
    <t>TRAM-1007</t>
  </si>
  <si>
    <t>TRAM-1041</t>
  </si>
  <si>
    <t>TRAM-1078</t>
  </si>
  <si>
    <t>TRAM-1086</t>
  </si>
  <si>
    <t>TRAM-1095</t>
  </si>
  <si>
    <t>TRAM-1097</t>
  </si>
  <si>
    <t>TRAM-1098</t>
  </si>
  <si>
    <t>029</t>
  </si>
  <si>
    <t>LUIS ROBERTO</t>
  </si>
  <si>
    <t>CALLE AZTECA NO. 108 COL IMPERIO AZTECA CP 78108 SAN LUIS POTOSI</t>
  </si>
  <si>
    <t>luismireles19@gmail.com</t>
  </si>
  <si>
    <t>MA. DEL CARMEN VEGA DOMINGUEZ</t>
  </si>
  <si>
    <t>PROL GUADALUPANA</t>
  </si>
  <si>
    <t>JULIAN CARRILLO</t>
  </si>
  <si>
    <t>444 322 9137</t>
  </si>
  <si>
    <t>14, 10 2 (2023)</t>
  </si>
  <si>
    <t>CIRC. SAN  AGUSTIN #104, PRIV DE SAN JOSE, CP 78434, SOLEDAD DE GRACIANO, SLP</t>
  </si>
  <si>
    <t>444 300 3868</t>
  </si>
  <si>
    <t>yoko.2216@hotmail.com</t>
  </si>
  <si>
    <t>MIGUEL ANGEL CASTILLO RAMIREZ</t>
  </si>
  <si>
    <t>444 653 8112</t>
  </si>
  <si>
    <t>CORP-613</t>
  </si>
  <si>
    <t>LUIS FELIPE</t>
  </si>
  <si>
    <t>PRV. DE LAS HUERTAS 3RA #112, SILLAS DE ANAHUAC, SAN LUIS POTOSI, SAN LUIS POTOSI</t>
  </si>
  <si>
    <t>PRACTICANTE TI</t>
  </si>
  <si>
    <t>444 196 6183</t>
  </si>
  <si>
    <t>ldslr5@hotmail.com</t>
  </si>
  <si>
    <t>LUIS MANUEL DE LOS RIOS PAREDES</t>
  </si>
  <si>
    <t>3A PRIVADA DE LAS HUERTAS</t>
  </si>
  <si>
    <t>444 184 4672</t>
  </si>
  <si>
    <t>CALLE LOMA BLANCA #189  COL. LOMA DORADA,  C.P. 78215  SAN LUIS POTOSI, S.L.P.</t>
  </si>
  <si>
    <t>444 428 9518</t>
  </si>
  <si>
    <t>jc.veraud@hotmail.com</t>
  </si>
  <si>
    <t>MARIA DEL CARMEN GUTIERREZ BERNAL</t>
  </si>
  <si>
    <t>444 813 0081</t>
  </si>
  <si>
    <t>14-06-95/27-08-87/26-12-89</t>
  </si>
  <si>
    <t>Calle Estrategas Número 245, Colonia Simón Díaz, Código Postal 78380, San Luis Potosí, San Luis Potosí</t>
  </si>
  <si>
    <t>juangomez290851@gmail.com</t>
  </si>
  <si>
    <t>JOSE LEON</t>
  </si>
  <si>
    <t>FIDEL</t>
  </si>
  <si>
    <t>CALLE KWAIT #112-A FRACC. VALLE ALTO,  C.P. 79026  CIUDAD VALLES, S.L.P.</t>
  </si>
  <si>
    <t>481 116 6550</t>
  </si>
  <si>
    <t>joseleonchapa@yahoo.com.mx</t>
  </si>
  <si>
    <t>JOSE LEON CHAPA MEDINA</t>
  </si>
  <si>
    <t>444 424 0949</t>
  </si>
  <si>
    <t>27-26-22-9 (2020)</t>
  </si>
  <si>
    <t>CMGVTA</t>
  </si>
  <si>
    <t>CALLE AMATISTA #1504  FRACC. JARDINES DEL SUR,  C.P. 78399  SAN LUIS POTOSI, S.L.P.</t>
  </si>
  <si>
    <t>LICENCIADO EN CONTADURIA PUBLICA</t>
  </si>
  <si>
    <t>CONTRALOR</t>
  </si>
  <si>
    <t>444 169 0226</t>
  </si>
  <si>
    <t>fidelcabrera.arguello@gmail.com</t>
  </si>
  <si>
    <t>JASSO</t>
  </si>
  <si>
    <t>SALAS</t>
  </si>
  <si>
    <t>ALVARES</t>
  </si>
  <si>
    <t>JACOBO</t>
  </si>
  <si>
    <t>SANTILLAN</t>
  </si>
  <si>
    <t xml:space="preserve">BRAVO </t>
  </si>
  <si>
    <t xml:space="preserve">TORRES </t>
  </si>
  <si>
    <t>BARBA</t>
  </si>
  <si>
    <t>VEGA</t>
  </si>
  <si>
    <t>DIAZ</t>
  </si>
  <si>
    <t>VILLANUEVA</t>
  </si>
  <si>
    <t>MEJIA</t>
  </si>
  <si>
    <t>OBISPO</t>
  </si>
  <si>
    <t>VALLE</t>
  </si>
  <si>
    <t>CAMACHO</t>
  </si>
  <si>
    <t>ALEJANDRE</t>
  </si>
  <si>
    <t>VILLALOBOS</t>
  </si>
  <si>
    <t>TRANQUILINO</t>
  </si>
  <si>
    <t xml:space="preserve">DELGADO </t>
  </si>
  <si>
    <t>VARGAS</t>
  </si>
  <si>
    <t xml:space="preserve">IÑIGUEZ </t>
  </si>
  <si>
    <t>JARAMILLO</t>
  </si>
  <si>
    <t xml:space="preserve">MADRIGAL </t>
  </si>
  <si>
    <t>GURRION</t>
  </si>
  <si>
    <t>PRADO</t>
  </si>
  <si>
    <t xml:space="preserve">GARCIA </t>
  </si>
  <si>
    <t>AGUILAR</t>
  </si>
  <si>
    <t>RAMOS</t>
  </si>
  <si>
    <t>REYNAGA</t>
  </si>
  <si>
    <t xml:space="preserve">CAMARILLO </t>
  </si>
  <si>
    <t>CERON</t>
  </si>
  <si>
    <t>BLANCO</t>
  </si>
  <si>
    <t>IBARRA</t>
  </si>
  <si>
    <t>BALTAZAR</t>
  </si>
  <si>
    <t>CAAMARGO</t>
  </si>
  <si>
    <t xml:space="preserve">ORTEGA </t>
  </si>
  <si>
    <t>MURILLO</t>
  </si>
  <si>
    <t>ALMAZAN</t>
  </si>
  <si>
    <t>MORALES</t>
  </si>
  <si>
    <t>PAREDES</t>
  </si>
  <si>
    <t xml:space="preserve">FABIAN </t>
  </si>
  <si>
    <t>GALAVIZ</t>
  </si>
  <si>
    <t>REYNOSO</t>
  </si>
  <si>
    <t>MALDONADO</t>
  </si>
  <si>
    <t>GALEANA</t>
  </si>
  <si>
    <t>ARAIZA</t>
  </si>
  <si>
    <t>MARCIAL</t>
  </si>
  <si>
    <t>SANDOVAL</t>
  </si>
  <si>
    <t>MEDRANO</t>
  </si>
  <si>
    <t>MOLINA</t>
  </si>
  <si>
    <t xml:space="preserve">QUINTERO </t>
  </si>
  <si>
    <t>ROSAS</t>
  </si>
  <si>
    <t xml:space="preserve">PEREZ </t>
  </si>
  <si>
    <t>MENDOZA</t>
  </si>
  <si>
    <t xml:space="preserve">SEGUNDO </t>
  </si>
  <si>
    <t>OLVERA</t>
  </si>
  <si>
    <t>MEDINA</t>
  </si>
  <si>
    <t xml:space="preserve">ANGUIANO  </t>
  </si>
  <si>
    <t>CHARCAS</t>
  </si>
  <si>
    <t xml:space="preserve">GUEVARA </t>
  </si>
  <si>
    <t>TURRUBIARTES</t>
  </si>
  <si>
    <t>RIOS</t>
  </si>
  <si>
    <t>MEDELLIN</t>
  </si>
  <si>
    <t>BALLEZA</t>
  </si>
  <si>
    <t>SALAZAR</t>
  </si>
  <si>
    <t>CORTES</t>
  </si>
  <si>
    <t>GERONIMO</t>
  </si>
  <si>
    <t>LLAMAS</t>
  </si>
  <si>
    <t>QUIROZ</t>
  </si>
  <si>
    <t xml:space="preserve">SALAZAR </t>
  </si>
  <si>
    <t xml:space="preserve">RAMOS </t>
  </si>
  <si>
    <t xml:space="preserve">LOREDO </t>
  </si>
  <si>
    <t>MOCTEZUMA</t>
  </si>
  <si>
    <t>VALENTIN</t>
  </si>
  <si>
    <t>CABRERA</t>
  </si>
  <si>
    <t xml:space="preserve">MARTINEZ </t>
  </si>
  <si>
    <t>VIDALES</t>
  </si>
  <si>
    <t>ROCHA</t>
  </si>
  <si>
    <t>BAUTISTA</t>
  </si>
  <si>
    <t>LOREDO</t>
  </si>
  <si>
    <t>SOTO</t>
  </si>
  <si>
    <t>ESCAMILLA</t>
  </si>
  <si>
    <t>CARRIZALES</t>
  </si>
  <si>
    <t>GUANTE</t>
  </si>
  <si>
    <t xml:space="preserve">ALONSO </t>
  </si>
  <si>
    <t xml:space="preserve">RIVERA </t>
  </si>
  <si>
    <t>TRISTAN</t>
  </si>
  <si>
    <t>CARREON</t>
  </si>
  <si>
    <t>GAMBOA</t>
  </si>
  <si>
    <t>ARANDA</t>
  </si>
  <si>
    <t xml:space="preserve">BACA </t>
  </si>
  <si>
    <t>GAMEZ</t>
  </si>
  <si>
    <t>SILVA</t>
  </si>
  <si>
    <t>MORENO</t>
  </si>
  <si>
    <t>SALCIDO</t>
  </si>
  <si>
    <t>CORTEZ</t>
  </si>
  <si>
    <t>TERRONES</t>
  </si>
  <si>
    <t>AGUILLON</t>
  </si>
  <si>
    <t>RESENDIZ</t>
  </si>
  <si>
    <t>MONTERO</t>
  </si>
  <si>
    <t>ALMANZA</t>
  </si>
  <si>
    <t xml:space="preserve">MONTIEL </t>
  </si>
  <si>
    <t>BRIONES</t>
  </si>
  <si>
    <t xml:space="preserve">ANDRADE </t>
  </si>
  <si>
    <t>GARZA</t>
  </si>
  <si>
    <t>ESPARZA</t>
  </si>
  <si>
    <t xml:space="preserve">CANDELARIA </t>
  </si>
  <si>
    <t>NAVARRO</t>
  </si>
  <si>
    <t>ALEMAN</t>
  </si>
  <si>
    <t>DEL ANGEL</t>
  </si>
  <si>
    <t>AMAYA</t>
  </si>
  <si>
    <t>AMBRIZ</t>
  </si>
  <si>
    <t>VILCHIS</t>
  </si>
  <si>
    <t>ARREGUIN</t>
  </si>
  <si>
    <t>GARCES</t>
  </si>
  <si>
    <t>DELGADILLO</t>
  </si>
  <si>
    <t>BRANCA</t>
  </si>
  <si>
    <t>BEIZA</t>
  </si>
  <si>
    <t>MIRELES</t>
  </si>
  <si>
    <t xml:space="preserve">CONTRERAS </t>
  </si>
  <si>
    <t>LINARES</t>
  </si>
  <si>
    <t>ESPINOZA</t>
  </si>
  <si>
    <t>MACIAS</t>
  </si>
  <si>
    <t>MADRIGAL</t>
  </si>
  <si>
    <t>ARRIAGA</t>
  </si>
  <si>
    <t>VERA</t>
  </si>
  <si>
    <t>VANEGAS</t>
  </si>
  <si>
    <t>ARVIZU</t>
  </si>
  <si>
    <t>RENDON</t>
  </si>
  <si>
    <t>NIÑO</t>
  </si>
  <si>
    <t>MIRANDA</t>
  </si>
  <si>
    <t>CERDA</t>
  </si>
  <si>
    <t>GUTIERREZ</t>
  </si>
  <si>
    <t>CABO DE VILA</t>
  </si>
  <si>
    <t>NOTARIO</t>
  </si>
  <si>
    <t>FRANCO</t>
  </si>
  <si>
    <t>PANTOJA</t>
  </si>
  <si>
    <t>BACILIO</t>
  </si>
  <si>
    <t>ANGELA</t>
  </si>
  <si>
    <t>VELAZCO</t>
  </si>
  <si>
    <t>BRISEÑO</t>
  </si>
  <si>
    <t>VELAZQUEZ</t>
  </si>
  <si>
    <t>AVELAR</t>
  </si>
  <si>
    <t>ENRIQUEZ</t>
  </si>
  <si>
    <t>ARTEAGA</t>
  </si>
  <si>
    <t>OCEGUEDA</t>
  </si>
  <si>
    <t>LOZA</t>
  </si>
  <si>
    <t>UDAVE</t>
  </si>
  <si>
    <t>TOLENTINO</t>
  </si>
  <si>
    <t>NEGRETE</t>
  </si>
  <si>
    <t>SAN MARTIN</t>
  </si>
  <si>
    <t>PECINA</t>
  </si>
  <si>
    <t>ORDAZ</t>
  </si>
  <si>
    <t>LUGO</t>
  </si>
  <si>
    <t xml:space="preserve">MALDONADO </t>
  </si>
  <si>
    <t>VALDEZ</t>
  </si>
  <si>
    <t>CASTAÑEDA</t>
  </si>
  <si>
    <t>DE AVILA</t>
  </si>
  <si>
    <t>MANRIQUE</t>
  </si>
  <si>
    <t>DORANTES</t>
  </si>
  <si>
    <t>SOTELO</t>
  </si>
  <si>
    <t>SAINEZ</t>
  </si>
  <si>
    <t xml:space="preserve">CASTRO </t>
  </si>
  <si>
    <t>RUEDA</t>
  </si>
  <si>
    <t>ROMO</t>
  </si>
  <si>
    <t>MOSQUEDA</t>
  </si>
  <si>
    <t>SOLORIO</t>
  </si>
  <si>
    <t>VILLA</t>
  </si>
  <si>
    <t>SOBERANIS</t>
  </si>
  <si>
    <t>CASADOS</t>
  </si>
  <si>
    <t>INFANTE</t>
  </si>
  <si>
    <t>ZAPATA</t>
  </si>
  <si>
    <t>DE LA ROSA</t>
  </si>
  <si>
    <t>TINAJERO</t>
  </si>
  <si>
    <t>AMARO</t>
  </si>
  <si>
    <t xml:space="preserve">LORENZO </t>
  </si>
  <si>
    <t>RUBIO</t>
  </si>
  <si>
    <t>TREJO</t>
  </si>
  <si>
    <t>OSORIO</t>
  </si>
  <si>
    <t>DOMINGUEZ</t>
  </si>
  <si>
    <t>LARA</t>
  </si>
  <si>
    <t>BLAS</t>
  </si>
  <si>
    <t>PADRON</t>
  </si>
  <si>
    <t>GRIMALDO</t>
  </si>
  <si>
    <t>NERI</t>
  </si>
  <si>
    <t>MOYEDA</t>
  </si>
  <si>
    <t>ANDRADE</t>
  </si>
  <si>
    <t>BANDIN</t>
  </si>
  <si>
    <t xml:space="preserve">GUEL </t>
  </si>
  <si>
    <t>DE LOERA</t>
  </si>
  <si>
    <t>SANTIAGO</t>
  </si>
  <si>
    <t>ESPINOSA</t>
  </si>
  <si>
    <t>PIÑA</t>
  </si>
  <si>
    <t>QUINTANA</t>
  </si>
  <si>
    <t>OLIVA</t>
  </si>
  <si>
    <t>ESTRADA</t>
  </si>
  <si>
    <t>BENITEZ</t>
  </si>
  <si>
    <t>LECHUGA</t>
  </si>
  <si>
    <t>CURIEL</t>
  </si>
  <si>
    <t>ZAVALA</t>
  </si>
  <si>
    <t>PUENTE</t>
  </si>
  <si>
    <t>CUADROS</t>
  </si>
  <si>
    <t>OLIVARES</t>
  </si>
  <si>
    <t>MUÑIZ</t>
  </si>
  <si>
    <t>SALINAS</t>
  </si>
  <si>
    <t>PASCUAL</t>
  </si>
  <si>
    <t>SORIA</t>
  </si>
  <si>
    <t>VILLALON</t>
  </si>
  <si>
    <t>AZUA</t>
  </si>
  <si>
    <t>HUERTA</t>
  </si>
  <si>
    <t>ROLDAN</t>
  </si>
  <si>
    <t>ARIAS</t>
  </si>
  <si>
    <t>AVILA</t>
  </si>
  <si>
    <t>CANDIA</t>
  </si>
  <si>
    <t>PRIETO</t>
  </si>
  <si>
    <t>GLORIA</t>
  </si>
  <si>
    <t>MONSIVAIS</t>
  </si>
  <si>
    <t xml:space="preserve">DIAZ  </t>
  </si>
  <si>
    <t>ZAZUETA</t>
  </si>
  <si>
    <t>BUENO</t>
  </si>
  <si>
    <t>SAUCEDO</t>
  </si>
  <si>
    <t>ROMERO</t>
  </si>
  <si>
    <t>DAVILA</t>
  </si>
  <si>
    <t>CASTRO</t>
  </si>
  <si>
    <t>PALENCIA</t>
  </si>
  <si>
    <t>ISABELES</t>
  </si>
  <si>
    <t>SALDIVAR</t>
  </si>
  <si>
    <t>GARAY</t>
  </si>
  <si>
    <t>GARDUÑO</t>
  </si>
  <si>
    <t>LEURA</t>
  </si>
  <si>
    <t>VALDES</t>
  </si>
  <si>
    <t>ROSALES</t>
  </si>
  <si>
    <t>DE LA FUENTE</t>
  </si>
  <si>
    <t>REYNA</t>
  </si>
  <si>
    <t>VIBL931110HSPLRS00</t>
  </si>
  <si>
    <t>ROVJ810630HSPDNR07</t>
  </si>
  <si>
    <t>JIBJ871224HJCMLS06</t>
  </si>
  <si>
    <t>HEXE980308HASRXD02</t>
  </si>
  <si>
    <t>ROXD760428HSPDXV08</t>
  </si>
  <si>
    <t>LOXJ000801MNEPXNA5</t>
  </si>
  <si>
    <t>MACC711016MSPRRR04</t>
  </si>
  <si>
    <t>HEHL750211MSPRRR12</t>
  </si>
  <si>
    <t>GAML860130EM5</t>
  </si>
  <si>
    <t>JARR760111LJ6</t>
  </si>
  <si>
    <t>SAMJ670429JS8</t>
  </si>
  <si>
    <t>SAPA7807218C8</t>
  </si>
  <si>
    <t>HEHR960811JD8</t>
  </si>
  <si>
    <t>AAHL840704951</t>
  </si>
  <si>
    <t>JANW960308LH6</t>
  </si>
  <si>
    <t>BALM961022I61</t>
  </si>
  <si>
    <t>SAMP960317823</t>
  </si>
  <si>
    <t>GOML811231I87</t>
  </si>
  <si>
    <t>ROPF001029HJ1</t>
  </si>
  <si>
    <t>BAMJ020827529</t>
  </si>
  <si>
    <t>MACK020313SC2</t>
  </si>
  <si>
    <t>TOCJ920423TX7</t>
  </si>
  <si>
    <t>SAGR640229PW2</t>
  </si>
  <si>
    <t>BAMJ000807LH1</t>
  </si>
  <si>
    <t>VEHJ6704195M4</t>
  </si>
  <si>
    <t>HECV900802EA5</t>
  </si>
  <si>
    <t>DIRH911213924</t>
  </si>
  <si>
    <t>VINJ8903125RA</t>
  </si>
  <si>
    <t>MEFG8402289F7</t>
  </si>
  <si>
    <t>PEPJ9908071W7</t>
  </si>
  <si>
    <t>GABF950907FF3</t>
  </si>
  <si>
    <t>VIBL931110IE9</t>
  </si>
  <si>
    <t>OIAH960306QP8</t>
  </si>
  <si>
    <t>VACJ701119LX5</t>
  </si>
  <si>
    <t>MAVI950202581</t>
  </si>
  <si>
    <t>CABJ920308JW1</t>
  </si>
  <si>
    <t>AEVF991006T71</t>
  </si>
  <si>
    <t>CUZS721008SC9</t>
  </si>
  <si>
    <t>VIAJ9307271X0</t>
  </si>
  <si>
    <t>TAEM820312RF5</t>
  </si>
  <si>
    <t>VADP870428NS5</t>
  </si>
  <si>
    <t>SAOA991227BH6</t>
  </si>
  <si>
    <t>HEJG841201UV3</t>
  </si>
  <si>
    <t>DIOI880110H74</t>
  </si>
  <si>
    <t>IINM851227S41</t>
  </si>
  <si>
    <t>JARA041201MX4</t>
  </si>
  <si>
    <t>MALC831205CM7</t>
  </si>
  <si>
    <t>MAPA970430MS8</t>
  </si>
  <si>
    <t>JAJE831104PW5</t>
  </si>
  <si>
    <t>FOUJ9501126D0</t>
  </si>
  <si>
    <t>GAPA811014MP6</t>
  </si>
  <si>
    <t>GUSJ770508R69</t>
  </si>
  <si>
    <t>PARA8610074A3</t>
  </si>
  <si>
    <t>HETI921211K13</t>
  </si>
  <si>
    <t>RINR790809U99</t>
  </si>
  <si>
    <t>RAGM940516GZ5</t>
  </si>
  <si>
    <t>GASI740515274</t>
  </si>
  <si>
    <t>AUFF8809097X1</t>
  </si>
  <si>
    <t>RAMF720111AE6</t>
  </si>
  <si>
    <t>MEVR750504PPA</t>
  </si>
  <si>
    <t>RAPA870402II2</t>
  </si>
  <si>
    <t>CAOL860619FJ4</t>
  </si>
  <si>
    <t>CAMJ921219IJ0</t>
  </si>
  <si>
    <t>VETJ9205135X0</t>
  </si>
  <si>
    <t>MALC9512029H2</t>
  </si>
  <si>
    <t>REMF6906129PA</t>
  </si>
  <si>
    <t>CABH961022FD0</t>
  </si>
  <si>
    <t>AOMV020701932</t>
  </si>
  <si>
    <t>ROVJ810630NC0</t>
  </si>
  <si>
    <t>CESC821030F9A</t>
  </si>
  <si>
    <t>LOVL680308685</t>
  </si>
  <si>
    <t>DIVL971113G8A</t>
  </si>
  <si>
    <t>GOVE7611153R7</t>
  </si>
  <si>
    <t>BACG9007171V3</t>
  </si>
  <si>
    <t>CAAF810601MM4</t>
  </si>
  <si>
    <t>LOGC9706199R0</t>
  </si>
  <si>
    <t>IAMA9201249G7</t>
  </si>
  <si>
    <t>VASM010520HE8</t>
  </si>
  <si>
    <t>HEDM900503CC0</t>
  </si>
  <si>
    <t>JIBJ871224IG1</t>
  </si>
  <si>
    <t>CASJ7407153J7</t>
  </si>
  <si>
    <t>PESF810108910</t>
  </si>
  <si>
    <t>MUGG941118RF5</t>
  </si>
  <si>
    <t>TOCR850907UR7</t>
  </si>
  <si>
    <t>CAHI960312647</t>
  </si>
  <si>
    <t>AAGM920215LG5</t>
  </si>
  <si>
    <t>MORI821106HS1</t>
  </si>
  <si>
    <t>PAME9410318E3</t>
  </si>
  <si>
    <t>HEED9803085H7</t>
  </si>
  <si>
    <t>FARJ000719VD5</t>
  </si>
  <si>
    <t>GARE860928351</t>
  </si>
  <si>
    <t>ROMJ9812159Z2</t>
  </si>
  <si>
    <t>TOGF031217FQ8</t>
  </si>
  <si>
    <t>GAMA900128AN5</t>
  </si>
  <si>
    <t>HEGA621126HZ8</t>
  </si>
  <si>
    <t>REPI760618I4A</t>
  </si>
  <si>
    <t>MAMJ8704103Z2</t>
  </si>
  <si>
    <t>GAGE920712HQ1</t>
  </si>
  <si>
    <t>GASM6711172A7</t>
  </si>
  <si>
    <t>VAVC990315537</t>
  </si>
  <si>
    <t>AASE980310CU4</t>
  </si>
  <si>
    <t>MACK8911212I6</t>
  </si>
  <si>
    <t>MACG9101208GA</t>
  </si>
  <si>
    <t>SAIE901216BA6</t>
  </si>
  <si>
    <t>MARM9202068U2</t>
  </si>
  <si>
    <t>ROMO9301122S9</t>
  </si>
  <si>
    <t>MEMP9107073C7</t>
  </si>
  <si>
    <t>MOCJ0301267J3</t>
  </si>
  <si>
    <t>AAMP820814543</t>
  </si>
  <si>
    <t>LOMH931019N54</t>
  </si>
  <si>
    <t>CARL980420V92</t>
  </si>
  <si>
    <t>QURM7209279A5</t>
  </si>
  <si>
    <t>GAZV901108QX1</t>
  </si>
  <si>
    <t>GORG820804AM8</t>
  </si>
  <si>
    <t>HERE910421C79</t>
  </si>
  <si>
    <t>ROTA721216JU2</t>
  </si>
  <si>
    <t>HEAJ941018MNA</t>
  </si>
  <si>
    <t>HEAC040811IAA</t>
  </si>
  <si>
    <t>PELR040710APA</t>
  </si>
  <si>
    <t>JAGJ9903301R1</t>
  </si>
  <si>
    <t>MEOF8310064I2</t>
  </si>
  <si>
    <t>SEHA9611229D0</t>
  </si>
  <si>
    <t>CARA810602KM1</t>
  </si>
  <si>
    <t>VAPW920419LN7</t>
  </si>
  <si>
    <t>OEMG850903RQA</t>
  </si>
  <si>
    <t>ROGE910831BP0</t>
  </si>
  <si>
    <t>PERA030713IA7</t>
  </si>
  <si>
    <t>ROTM78021883A</t>
  </si>
  <si>
    <t>JIOL940531AW4</t>
  </si>
  <si>
    <t>MEDM910508ST7</t>
  </si>
  <si>
    <t>GOMF930205J30</t>
  </si>
  <si>
    <t>GOSG9707147F5</t>
  </si>
  <si>
    <t>AUHE720629DL7</t>
  </si>
  <si>
    <t>CATH7912098B0</t>
  </si>
  <si>
    <t>HEFV831021M18</t>
  </si>
  <si>
    <t>MAAJ891206AG2</t>
  </si>
  <si>
    <t>RODA760428G28</t>
  </si>
  <si>
    <t>ZULE880218CW9</t>
  </si>
  <si>
    <t>CAGF8906079K3</t>
  </si>
  <si>
    <t>GUJG840624MH6</t>
  </si>
  <si>
    <t>CABL940130BY3</t>
  </si>
  <si>
    <t>RERE910813735</t>
  </si>
  <si>
    <t>TUDS940320D78</t>
  </si>
  <si>
    <t>RIGM900210H67</t>
  </si>
  <si>
    <t>MEPJ841103JY2</t>
  </si>
  <si>
    <t>BAVJ890119EY3</t>
  </si>
  <si>
    <t>SAGB730430MW4</t>
  </si>
  <si>
    <t>GUNJ791022HC7</t>
  </si>
  <si>
    <t>TOMJ861001K58</t>
  </si>
  <si>
    <t>GOMS9201031K1</t>
  </si>
  <si>
    <t>COEF940612BK6</t>
  </si>
  <si>
    <t>GERA840525GK9</t>
  </si>
  <si>
    <t>LOLJ730116V68</t>
  </si>
  <si>
    <t>LORD980812NI9</t>
  </si>
  <si>
    <t>LAAM780207KD3</t>
  </si>
  <si>
    <t>SARG9305303U2</t>
  </si>
  <si>
    <t>QUEF021208MF9</t>
  </si>
  <si>
    <t>SAMC920114HV2</t>
  </si>
  <si>
    <t>RARJ860202FT5</t>
  </si>
  <si>
    <t>JUGJ841111RC2</t>
  </si>
  <si>
    <t>LORR910302Q82</t>
  </si>
  <si>
    <t>CABJ960317FK6</t>
  </si>
  <si>
    <t>LOGJ040619IM9</t>
  </si>
  <si>
    <t>HELJ820409F76</t>
  </si>
  <si>
    <t>MOMF651027ET2</t>
  </si>
  <si>
    <t>HEFA941101RU5</t>
  </si>
  <si>
    <t>VAPJ751225HC4</t>
  </si>
  <si>
    <t>CASV950911L47</t>
  </si>
  <si>
    <t>HEMF001203GK2</t>
  </si>
  <si>
    <t>DIEC710504JM3</t>
  </si>
  <si>
    <t>MACF801018UA7</t>
  </si>
  <si>
    <t>GURA790528HAA</t>
  </si>
  <si>
    <t>VIGC940923G79</t>
  </si>
  <si>
    <t>HEHP020928T82</t>
  </si>
  <si>
    <t>ROLZ710427955</t>
  </si>
  <si>
    <t>MUPF0207278U0</t>
  </si>
  <si>
    <t>HECL890114418</t>
  </si>
  <si>
    <t>MASO010624TV0</t>
  </si>
  <si>
    <t>BABJ790514TJ3</t>
  </si>
  <si>
    <t>RORF6809105S3</t>
  </si>
  <si>
    <t>TOCM690522T14</t>
  </si>
  <si>
    <t>LIMH651123D92</t>
  </si>
  <si>
    <t>LOQI890617PL3</t>
  </si>
  <si>
    <t>HESM740921ND2</t>
  </si>
  <si>
    <t>OEON950616HG9</t>
  </si>
  <si>
    <t>HEHN930807TM1</t>
  </si>
  <si>
    <t>ROSJ860701KQA</t>
  </si>
  <si>
    <t>CAOC850731QH9</t>
  </si>
  <si>
    <t>SOMN850810SM7</t>
  </si>
  <si>
    <t>EAET910412556</t>
  </si>
  <si>
    <t>BAHJ9204071C9</t>
  </si>
  <si>
    <t>CARD921009ID1</t>
  </si>
  <si>
    <t>GOBR8801014HA</t>
  </si>
  <si>
    <t>GUCJ820701890</t>
  </si>
  <si>
    <t>HECV9606303L6</t>
  </si>
  <si>
    <t>GATN8404039NA</t>
  </si>
  <si>
    <t>JABY9808188S5</t>
  </si>
  <si>
    <t>SACD930801C56</t>
  </si>
  <si>
    <t>RILM900609TP5</t>
  </si>
  <si>
    <t>RAHH940422NB2</t>
  </si>
  <si>
    <t>TIEJ7103238P7</t>
  </si>
  <si>
    <t>CEGL931121G52</t>
  </si>
  <si>
    <t>RONL9701151X9</t>
  </si>
  <si>
    <t>LOCG860119EB4</t>
  </si>
  <si>
    <t>CAMR6606026UA</t>
  </si>
  <si>
    <t>TACF6601072M1</t>
  </si>
  <si>
    <t>GAMF840410R92</t>
  </si>
  <si>
    <t>RIAD951124KI2</t>
  </si>
  <si>
    <t>LOMJ8005035D6</t>
  </si>
  <si>
    <t>MAZI9801264K2</t>
  </si>
  <si>
    <t>SASM790808BDA</t>
  </si>
  <si>
    <t>HEPJ961116GM5</t>
  </si>
  <si>
    <t>TORJ860108IY4</t>
  </si>
  <si>
    <t>RUVS701013FS5</t>
  </si>
  <si>
    <t>GOAS820517ET5</t>
  </si>
  <si>
    <t>AAGJ961128Q50</t>
  </si>
  <si>
    <t>TOCK9509264V2</t>
  </si>
  <si>
    <t>BAOD871208IG2</t>
  </si>
  <si>
    <t>GAGM031103UV5</t>
  </si>
  <si>
    <t>MAMJ74060224A</t>
  </si>
  <si>
    <t>SIGS880414K76</t>
  </si>
  <si>
    <t>MOSA83110173A</t>
  </si>
  <si>
    <t>PEGE6706111C8</t>
  </si>
  <si>
    <t>MOML981006AA1</t>
  </si>
  <si>
    <t>AAVJ740921371</t>
  </si>
  <si>
    <t>SALM841106M86</t>
  </si>
  <si>
    <t>LOSE760825RD0</t>
  </si>
  <si>
    <t>COGM8009077PA</t>
  </si>
  <si>
    <t>RORM910604ANA</t>
  </si>
  <si>
    <t>LOJE000801676</t>
  </si>
  <si>
    <t>RIPG970217I97</t>
  </si>
  <si>
    <t>ROSN880829K39</t>
  </si>
  <si>
    <t>TERR6812177P8</t>
  </si>
  <si>
    <t>AUGI930903AW8</t>
  </si>
  <si>
    <t>REVC940619PG5</t>
  </si>
  <si>
    <t>MOCE880614HN7</t>
  </si>
  <si>
    <t>MAPD891208219</t>
  </si>
  <si>
    <t>MAAM850626ST2</t>
  </si>
  <si>
    <t>AAHN911029IR5</t>
  </si>
  <si>
    <t>VIMR820703762</t>
  </si>
  <si>
    <t>GARJ940226G28</t>
  </si>
  <si>
    <t>GAGD8805155B7</t>
  </si>
  <si>
    <t>MORJ780925UH8</t>
  </si>
  <si>
    <t>CACJ7606299R6</t>
  </si>
  <si>
    <t>LOHM790129GQ7</t>
  </si>
  <si>
    <t>HEAM910824DT9</t>
  </si>
  <si>
    <t>GOAN910817T38</t>
  </si>
  <si>
    <t>ROHK900919QW1</t>
  </si>
  <si>
    <t>BIMT910317FI0</t>
  </si>
  <si>
    <t>GODG8312283N0</t>
  </si>
  <si>
    <t>AAME841028GG4</t>
  </si>
  <si>
    <t>GACS950517P27</t>
  </si>
  <si>
    <t>OEPM8812186T7</t>
  </si>
  <si>
    <t>OOCE870811775</t>
  </si>
  <si>
    <t>GAJF8905034B6</t>
  </si>
  <si>
    <t>EAGE910916RX4</t>
  </si>
  <si>
    <t>HESJ961204KN9</t>
  </si>
  <si>
    <t>CAMJ901229K42</t>
  </si>
  <si>
    <t>MADF841102BXA</t>
  </si>
  <si>
    <t>MAZJ7102176V9</t>
  </si>
  <si>
    <t>NACL911029SU4</t>
  </si>
  <si>
    <t>QUHM7206153VA</t>
  </si>
  <si>
    <t>AEBP821010525</t>
  </si>
  <si>
    <t>AEAE9101285P7</t>
  </si>
  <si>
    <t>AASA770801JQ6</t>
  </si>
  <si>
    <t>MEHI660509M1A</t>
  </si>
  <si>
    <t>ROTJ841023STA</t>
  </si>
  <si>
    <t>GOHI660515924</t>
  </si>
  <si>
    <t>AIOS821116632</t>
  </si>
  <si>
    <t>ROOG870405T89</t>
  </si>
  <si>
    <t>VIJO730214L53</t>
  </si>
  <si>
    <t>RILA940302PS2</t>
  </si>
  <si>
    <t>LORY7304207P5</t>
  </si>
  <si>
    <t>RASL770922C2A</t>
  </si>
  <si>
    <t>CERP911013HJ6</t>
  </si>
  <si>
    <t>AEDR681118FE6</t>
  </si>
  <si>
    <t>GARU8201073B1</t>
  </si>
  <si>
    <t>SAPJ690508KY7</t>
  </si>
  <si>
    <t>GOCJ770510JX2</t>
  </si>
  <si>
    <t>DEGM750326224</t>
  </si>
  <si>
    <t>HELB990820M56</t>
  </si>
  <si>
    <t>GUAL9504098I3</t>
  </si>
  <si>
    <t>CARL850106R89</t>
  </si>
  <si>
    <t>GUSF740314U19</t>
  </si>
  <si>
    <t>BAPF700515TKA</t>
  </si>
  <si>
    <t>MOIG820306JC0</t>
  </si>
  <si>
    <t>MASD740813U11</t>
  </si>
  <si>
    <t>BEAM820808N96</t>
  </si>
  <si>
    <t>MIGJ691224DL2</t>
  </si>
  <si>
    <t>MOGH7808208Z8</t>
  </si>
  <si>
    <t>SANJ8002298H5</t>
  </si>
  <si>
    <t>COCA0204031T0</t>
  </si>
  <si>
    <t>SAHA000226EZ2</t>
  </si>
  <si>
    <t>GOSR770513EJ0</t>
  </si>
  <si>
    <t>MACC711016LY4</t>
  </si>
  <si>
    <t>HEHL750211925</t>
  </si>
  <si>
    <t>AARE7301312V0</t>
  </si>
  <si>
    <t>SOVV850822843</t>
  </si>
  <si>
    <t>SALC720829UP0</t>
  </si>
  <si>
    <t>TOVJ890223EF3</t>
  </si>
  <si>
    <t>LISK761013E46</t>
  </si>
  <si>
    <t>EIED921204QA9</t>
  </si>
  <si>
    <t>CUCA881026CW6</t>
  </si>
  <si>
    <t>TOVL9609019X6</t>
  </si>
  <si>
    <t>MAMS770521R54</t>
  </si>
  <si>
    <t>MASJ980310IE1</t>
  </si>
  <si>
    <t>MAGC830602NG3</t>
  </si>
  <si>
    <t>AIPA970207G43</t>
  </si>
  <si>
    <t>BADE810223QM7</t>
  </si>
  <si>
    <t>GODE990123SW8</t>
  </si>
  <si>
    <t>VEMM860215JB5</t>
  </si>
  <si>
    <t>VAFF880607F20</t>
  </si>
  <si>
    <t>VAVA930819FY1</t>
  </si>
  <si>
    <t>AIGF9904273J1</t>
  </si>
  <si>
    <t>RERH7108146X7</t>
  </si>
  <si>
    <t>TERA830224DM5</t>
  </si>
  <si>
    <t>MAFA7412038D0</t>
  </si>
  <si>
    <t>RARL860527343</t>
  </si>
  <si>
    <t>09008065485</t>
  </si>
  <si>
    <t>VILLASANA</t>
  </si>
  <si>
    <t>GAVJ800326B74</t>
  </si>
  <si>
    <t>CALLE MARANTA #12  FRACC. MONTERRA,  C.P.  SAN LUIS POTOSI, S.L.P.</t>
  </si>
  <si>
    <t>444 829 3347</t>
  </si>
  <si>
    <t>jorgealejandro.gv1980@gmail.com</t>
  </si>
  <si>
    <t>CLAUDIA IVETH ORTIZ MALDONADO</t>
  </si>
  <si>
    <t>PRIC. LOS ALMENDROS</t>
  </si>
  <si>
    <t>833 155 8855</t>
  </si>
  <si>
    <t>GOVEA</t>
  </si>
  <si>
    <t>QUGJ830215HK7</t>
  </si>
  <si>
    <t>CALLE IGNACIA AGUILAR #215, COL. JAIME TORRES BODET, CP 78390, SAN LUIS POTOSI, SLP</t>
  </si>
  <si>
    <t>jorgequintanagovea5@gmail.com</t>
  </si>
  <si>
    <t>ALICIA GUADALUPE SORIANO URBINA</t>
  </si>
  <si>
    <t>EJE 114</t>
  </si>
  <si>
    <t>ZAVALIJA</t>
  </si>
  <si>
    <t xml:space="preserve">DANIEL  </t>
  </si>
  <si>
    <t>ZATD910103JF1</t>
  </si>
  <si>
    <t>OTILIO MONTAÑO #272, LOS ALCATRACES, CP 78100, SAN LUIS POTOSI, SLP</t>
  </si>
  <si>
    <t>daniel0391@hotmail.es</t>
  </si>
  <si>
    <t>FLOR AZUCENA PALAFOX ALEMAN</t>
  </si>
  <si>
    <t>OTILIO MONTAÑO</t>
  </si>
  <si>
    <t>ANGELICA ZAVALIJA TORRES</t>
  </si>
  <si>
    <t>GUERRA</t>
  </si>
  <si>
    <t>CESAR EMMANUEL</t>
  </si>
  <si>
    <t>GAGC921121BC9</t>
  </si>
  <si>
    <t>AV. REVOLUCION #818, SAN ANTONIO DE PEÑUELAS, CP. 20348, AGUASCALIENTES, AGS</t>
  </si>
  <si>
    <t>AGSRE</t>
  </si>
  <si>
    <t>cesaremmanuelgacia@gmail.com</t>
  </si>
  <si>
    <t>MARIA ISABEL VALDEZ MARTINEZ</t>
  </si>
  <si>
    <t>REVOLUCION</t>
  </si>
  <si>
    <t>04018601262</t>
  </si>
  <si>
    <t>VICTOR MANUEL</t>
  </si>
  <si>
    <t>VEFV860807QS4</t>
  </si>
  <si>
    <t>VALLE DE SAN FRANCISCO #83, JARDINES DE SAN JAVIER, CP. 45307, TALA JALISCO</t>
  </si>
  <si>
    <t>victormanuelvelazquez86@yahoo.com</t>
  </si>
  <si>
    <t>NORMA CARDENAS BERMUDEZ</t>
  </si>
  <si>
    <t>LAGUNITA</t>
  </si>
  <si>
    <t>JOSE DOLORES</t>
  </si>
  <si>
    <t>MEAD7511287Y3</t>
  </si>
  <si>
    <t>DOM CONOCIDO LOURDES, LOURDES, CP. 76297, CORREGIDORA, QRO.</t>
  </si>
  <si>
    <t>jm3864626@gmail.com</t>
  </si>
  <si>
    <t>LOURDES RODRÍGUEZ GUERRERO</t>
  </si>
  <si>
    <t>LOURDES</t>
  </si>
  <si>
    <t>LOURDES RODRIGUEZ GUERRERO</t>
  </si>
  <si>
    <t>CHOFER DE CAMION 5</t>
  </si>
  <si>
    <t>IVAN JONATHAN</t>
  </si>
  <si>
    <t>RORI751028HDFMMV05</t>
  </si>
  <si>
    <t>RORI751028CK6</t>
  </si>
  <si>
    <t>PASEO DE SANTINI 163, RESIDENCIAL CALETTO, CP 76226, JURIQUILLA, QRO</t>
  </si>
  <si>
    <t>55 2584 8484</t>
  </si>
  <si>
    <t>vanjohnatan@hotmail.com</t>
  </si>
  <si>
    <t>WENDY LEON SANCHEZ</t>
  </si>
  <si>
    <t>VALLE LOS GALANES</t>
  </si>
  <si>
    <t>NEZAHUALCOYOTL</t>
  </si>
  <si>
    <t>DE LOS RIOS</t>
  </si>
  <si>
    <t>MANZANARES</t>
  </si>
  <si>
    <t>FERNANDEZ</t>
  </si>
  <si>
    <t>VERAUD</t>
  </si>
  <si>
    <t>CHAPA</t>
  </si>
  <si>
    <t>DICO-862</t>
  </si>
  <si>
    <t>DICO-863</t>
  </si>
  <si>
    <t>DICO-864</t>
  </si>
  <si>
    <t>DICO-865</t>
  </si>
  <si>
    <t>DICO-866</t>
  </si>
  <si>
    <t>DICO-867</t>
  </si>
  <si>
    <t>DICO-874</t>
  </si>
  <si>
    <t>CONS-868</t>
  </si>
  <si>
    <t>CONS-870</t>
  </si>
  <si>
    <t>CONS-872</t>
  </si>
  <si>
    <t>CONS-875</t>
  </si>
  <si>
    <t>LAT-869</t>
  </si>
  <si>
    <t>LAT-871</t>
  </si>
  <si>
    <t>LAT-873</t>
  </si>
  <si>
    <t xml:space="preserve">RICARDO   </t>
  </si>
  <si>
    <t>TOBIAS</t>
  </si>
  <si>
    <t>GALLARDO</t>
  </si>
  <si>
    <t>ALVARO DE JESUS</t>
  </si>
  <si>
    <t xml:space="preserve">RUIZ </t>
  </si>
  <si>
    <t xml:space="preserve">MIGUEL  </t>
  </si>
  <si>
    <t xml:space="preserve">MONTELLANO </t>
  </si>
  <si>
    <t>HECTOR JESUS</t>
  </si>
  <si>
    <t>VERGARA</t>
  </si>
  <si>
    <t>JAVIER</t>
  </si>
  <si>
    <t>PEDRO</t>
  </si>
  <si>
    <t>JULIO</t>
  </si>
  <si>
    <t>ADAN JOEL</t>
  </si>
  <si>
    <t>DIANA LIZBETH</t>
  </si>
  <si>
    <t>YESENIA</t>
  </si>
  <si>
    <t>BARRERA</t>
  </si>
  <si>
    <t>GRANADOS</t>
  </si>
  <si>
    <t>EDGAR ENRIQUE</t>
  </si>
  <si>
    <t>SEGURA</t>
  </si>
  <si>
    <t>EDGAR GILBERTO</t>
  </si>
  <si>
    <t>AALR951205B11</t>
  </si>
  <si>
    <t>HEPT860708326</t>
  </si>
  <si>
    <t>GAHA0612251Y7</t>
  </si>
  <si>
    <t>RULM840718420</t>
  </si>
  <si>
    <t>JISM930929RW7</t>
  </si>
  <si>
    <t>FEMH050115FC9</t>
  </si>
  <si>
    <t>COVA040717CD1</t>
  </si>
  <si>
    <t>GUJJ830723P39</t>
  </si>
  <si>
    <t>PEJA010305AK4</t>
  </si>
  <si>
    <t>MOMA781227123</t>
  </si>
  <si>
    <t>MOMY980725QP1</t>
  </si>
  <si>
    <t>BAGE791028BV9</t>
  </si>
  <si>
    <t>SEAE870822591</t>
  </si>
  <si>
    <t xml:space="preserve"> CALLE HACIENDA DE CORTES NO 116 B FRACCIONAMIENTO REAL DE HACIENDAS </t>
  </si>
  <si>
    <t>CTO PINTORES 187 4 FRIDA KAHLO LOS CANTAROS, LOS CANTAROS JALISCO C.P. 45653</t>
  </si>
  <si>
    <t>C CERRO TAMANA FRACC CHULAVISTA ETAPA 15, TLAJOMULCO DE ZUÑIGA JALISCO</t>
  </si>
  <si>
    <t>VALLE DEL ALTIPLANO 8D, DISTRITO FEDERAL, VALLE DE TEJEDAC, TLAJOMULCO DE ZUÑIGA, JALISCO C.P. 45653</t>
  </si>
  <si>
    <t>PASSIFLORA NO. 88, GAZNIA, LAS LILAS, LA ALCANTARILLA JALISCO C.P. 45680</t>
  </si>
  <si>
    <t>TRINITARIA 2882 G, TABAQUILLO, RESIDENCIAL DEL ANGEL, JALISCO C.P. 45680</t>
  </si>
  <si>
    <t>TORREON NO 1, SAN ANTONIO SAN JOSE, EL SAUZ ZAPOPAN JALISCO C.P. 00000</t>
  </si>
  <si>
    <t>FRACC MISION DEL PALMAR, NO. 532 A, SAN LUIS POTOSI C.P. 78394</t>
  </si>
  <si>
    <t>CALLE 15, NUM 1307 LOMAS DE CASA BLANCA, QUERETARO C.P, 76080</t>
  </si>
  <si>
    <t>ORTAL DE LAS MERCEDES 119, PAPAGAYO Y CASA GRANDE HDA JACARANDAS SAN LUIS POTOSI, SLP.C.P. 78137</t>
  </si>
  <si>
    <t>CALLE REVOLUCION NO 117 FRACCIONAMIENTO EL PORVENIR RIOVERDE, S.L.P C.P 79610</t>
  </si>
  <si>
    <t>HOSPITAL 386, PINOS BELEN, CENTRO DE BARRANQUITAS, GUADALAJARA JALISCO C.P. 44270</t>
  </si>
  <si>
    <t>CALLE MIGUEL HIDALGO NO. 136, EX HDA EL CASTILLO,  EL SALTO JALISCO C.P. 45686</t>
  </si>
  <si>
    <t>HACIENDA EL JARAL NO. 339 HDA OJO DE AGUA PALO ALTO, FRACC DR. GABRIEL MTZ C.P. 79610, RIO VERDE S.LP.</t>
  </si>
  <si>
    <t>PASANTE DE INGENIERIA</t>
  </si>
  <si>
    <t>ASISTENTE ADMINISTRATIVO Y DE SERVICIO AL CLIENTE</t>
  </si>
  <si>
    <t>ricardolopez8468@gmail.com</t>
  </si>
  <si>
    <t>ELVA GUADALUPE DELGADILLO GAYTAN</t>
  </si>
  <si>
    <t>hdeztobias@gmail.com</t>
  </si>
  <si>
    <t>MARICELA HERNANDEZ SERRANO</t>
  </si>
  <si>
    <t>hernandezzalvadorjesus40@gmail.com</t>
  </si>
  <si>
    <t>MAGALI ABIGAIL HERNANDEZ ALVAREZ</t>
  </si>
  <si>
    <t>marckitozgdl2003@gmail.com</t>
  </si>
  <si>
    <t>MARIANGELICA LOZANO JIMENEZ</t>
  </si>
  <si>
    <t>mikijimenes1993@gmail.com</t>
  </si>
  <si>
    <t>MANUELA AMADOR RAMOS</t>
  </si>
  <si>
    <t>hector.jfm@gmail.com</t>
  </si>
  <si>
    <t>MARIBEL MONTALLANO NEGRETE</t>
  </si>
  <si>
    <t>4005josecontreras@gmail.com</t>
  </si>
  <si>
    <t>JOANA ELIZABETH CAMPOS ORTEGA</t>
  </si>
  <si>
    <t>javieroegutierrez@gmail.com</t>
  </si>
  <si>
    <t>MARIA ANTONIA SANTES GONZALEZ</t>
  </si>
  <si>
    <t>alejandrojuliio051729@gmail.com</t>
  </si>
  <si>
    <t>MARIA ISABEL JULIO RAMIREZ</t>
  </si>
  <si>
    <t>moramorenoadanjoel24@gmail.com</t>
  </si>
  <si>
    <t>ALMA ALONDRA MORA BARCENA</t>
  </si>
  <si>
    <t>487 124 2677</t>
  </si>
  <si>
    <t>ketzalyurbina@gmail.com</t>
  </si>
  <si>
    <t xml:space="preserve">KAREEM RAMSES URBINA VILLALON </t>
  </si>
  <si>
    <t>937 377 2277</t>
  </si>
  <si>
    <t>yesi.morm@gmail.com</t>
  </si>
  <si>
    <t>SANDRA LUZ MORALES COLORADO</t>
  </si>
  <si>
    <t>chichiperalta@hotmail.com</t>
  </si>
  <si>
    <t xml:space="preserve">PAULINA HERNANDEZ OROPEZA </t>
  </si>
  <si>
    <t>487 110 6279</t>
  </si>
  <si>
    <t>edgar220887@gmail.com</t>
  </si>
  <si>
    <t xml:space="preserve">SI </t>
  </si>
  <si>
    <t xml:space="preserve">CALLE HACIENDA DE CORTES,, REAL DE HACIENDAS </t>
  </si>
  <si>
    <t>CAM VALLE MISERICORDIA, LAS PINTAS</t>
  </si>
  <si>
    <t xml:space="preserve">CALLE CERRO TAMANA, CHULAVISTA, TLAJOMUCO DE ZUÑIGA </t>
  </si>
  <si>
    <t>CALLE PEDRO MORENO, GUADALAJRA CENTRO</t>
  </si>
  <si>
    <t>AV DE LOS ENCINOS, VILLA FLORIDA, REYNOSA</t>
  </si>
  <si>
    <t>REYNOSA</t>
  </si>
  <si>
    <t>CALLE ISLA MALTA 2580</t>
  </si>
  <si>
    <t>CALLE SAUCITO, AMPLIACON SANTA LUCIA</t>
  </si>
  <si>
    <t>CAM VIEJO A SAN JOSE, CABO SAN LUCAS CENTRO</t>
  </si>
  <si>
    <t>PLAZA CONQUESTA</t>
  </si>
  <si>
    <t>LOCAL B</t>
  </si>
  <si>
    <t>LOS CABOS</t>
  </si>
  <si>
    <t>BAJA CALIFORNIA SUR</t>
  </si>
  <si>
    <t>CALLE JUSTICIA, UNIDAD NACIONAL</t>
  </si>
  <si>
    <t>AV GUSTAVO BAZ, SAN PEDRO BARRIENTOS, TLALNEPANTLA DE BAZ</t>
  </si>
  <si>
    <t>GAMA NORTE, LA MORITA</t>
  </si>
  <si>
    <t>MANUEL LEYVA, PUEBLO NUEVO, CARDENAS</t>
  </si>
  <si>
    <t>TABASCO</t>
  </si>
  <si>
    <t>CALLE 12, ZONA INDUSTRIAL</t>
  </si>
  <si>
    <t>MANUEL GOMEZ MORIN, FRACCION SAUCITO</t>
  </si>
  <si>
    <t>OK DIGITAL</t>
  </si>
  <si>
    <t>EVA GUADALUPE DELGADILLO</t>
  </si>
  <si>
    <t>MARICELA HERNANDEZ CERRANO</t>
  </si>
  <si>
    <t>JOSE RODRIGO BAÑUELOS MAYORGA</t>
  </si>
  <si>
    <t>PAPÁ</t>
  </si>
  <si>
    <t>JAVIER CONTRERAS CASTRO</t>
  </si>
  <si>
    <t>487 5508142</t>
  </si>
  <si>
    <t>SHEYLA QUINTANA</t>
  </si>
  <si>
    <t>33 3858 2875</t>
  </si>
  <si>
    <t>POLVO Y LATEX</t>
  </si>
  <si>
    <t>PAULINA HERNANDEZ OROPEZA</t>
  </si>
  <si>
    <t>IMPULSORA DE NEGOCIOS JAMA, S.A. DE C.V.</t>
  </si>
  <si>
    <t>CEMENTOS MOCTEZUMA DE SAN LUIS POTOSI S.A. de C.V.</t>
  </si>
  <si>
    <t>DICO-876</t>
  </si>
  <si>
    <t>LAT-877</t>
  </si>
  <si>
    <t>DICO-878</t>
  </si>
  <si>
    <t>DICO-879</t>
  </si>
  <si>
    <t>DICO-880</t>
  </si>
  <si>
    <t>LAT-881</t>
  </si>
  <si>
    <t>LAT-882</t>
  </si>
  <si>
    <t>DICO-690</t>
  </si>
  <si>
    <t>DICO-883</t>
  </si>
  <si>
    <t>CONS-884</t>
  </si>
  <si>
    <t>CONS-885</t>
  </si>
  <si>
    <t>CONS-886</t>
  </si>
  <si>
    <t>CONS-887</t>
  </si>
  <si>
    <t>CONS-888</t>
  </si>
  <si>
    <t>CONS-889</t>
  </si>
  <si>
    <t>LAT-890</t>
  </si>
  <si>
    <t>DICO-891</t>
  </si>
  <si>
    <t>DICO-892</t>
  </si>
  <si>
    <t>SIMG970625HJCFCV02</t>
  </si>
  <si>
    <t>SIMG970625M95</t>
  </si>
  <si>
    <t>ZASA7504071B1</t>
  </si>
  <si>
    <t>ROAP980909AQ0</t>
  </si>
  <si>
    <t>METV790306DHA</t>
  </si>
  <si>
    <t>MEGA050623DK6</t>
  </si>
  <si>
    <t>GAHM890927KB3</t>
  </si>
  <si>
    <t>RECE9201092H7</t>
  </si>
  <si>
    <t>RONL791227BNA</t>
  </si>
  <si>
    <t>FOAJ9506113V0</t>
  </si>
  <si>
    <t>SALB031004KJ7</t>
  </si>
  <si>
    <t>PAEJ9704221H5</t>
  </si>
  <si>
    <t>OUOE950421F8A</t>
  </si>
  <si>
    <t>SASA931225FA9</t>
  </si>
  <si>
    <t>RUMR040224CT6</t>
  </si>
  <si>
    <t>VEAJ7603074L5</t>
  </si>
  <si>
    <t>COMG8712264S2</t>
  </si>
  <si>
    <t>EICO940717TZ3</t>
  </si>
  <si>
    <t>AYUDANTE GENERAL 1</t>
  </si>
  <si>
    <t>GERENTE DE CALIDAD</t>
  </si>
  <si>
    <t>JOSE ANGEL GARCIA</t>
  </si>
  <si>
    <t>CALIDAD</t>
  </si>
  <si>
    <t>332 243 9995</t>
  </si>
  <si>
    <t>442 774 2988</t>
  </si>
  <si>
    <t>449 414 6299</t>
  </si>
  <si>
    <t>449 386 6581</t>
  </si>
  <si>
    <t>487 148 3592</t>
  </si>
  <si>
    <t>811 629 2365</t>
  </si>
  <si>
    <t>81 123 80 107</t>
  </si>
  <si>
    <t>332 631 4485</t>
  </si>
  <si>
    <t>331 030 3853</t>
  </si>
  <si>
    <t>LAT-893</t>
  </si>
  <si>
    <t>LAT-894</t>
  </si>
  <si>
    <t>CONS-895</t>
  </si>
  <si>
    <t>BURGOS</t>
  </si>
  <si>
    <t>ANGEL DE JESUS</t>
  </si>
  <si>
    <t>OSSIEL</t>
  </si>
  <si>
    <t>CARRANZA</t>
  </si>
  <si>
    <t>SANTACRUZ</t>
  </si>
  <si>
    <t>ADRIAN SALVADOR</t>
  </si>
  <si>
    <t>COBA991217M84</t>
  </si>
  <si>
    <t xml:space="preserve">RUSIA 411, HOLANDA Y SAN  MIGUELITO, SEMINARIO LA MERCEDES, SAN LUIS POTOSI C.P. 78394 </t>
  </si>
  <si>
    <t>LOVO031219AI6</t>
  </si>
  <si>
    <t>ARQUITOS NO 277, NEVADO DE TOLUCA Y 5 DE MAYO, GRAL I MARTINEZ, SAN LUIS POTOSI, C.P. 78360</t>
  </si>
  <si>
    <t>CASA011207KH3</t>
  </si>
  <si>
    <t>ARROYO DEL COTORRO NO. 181, LOS RUISEÑORES, TALA, JALISCO C.P. 45314</t>
  </si>
  <si>
    <t>444 378 5847</t>
  </si>
  <si>
    <t>444 386 8009</t>
  </si>
  <si>
    <t>331 690 1994</t>
  </si>
  <si>
    <t>LAT-896</t>
  </si>
  <si>
    <t>CONS-897</t>
  </si>
  <si>
    <t>CONS-898</t>
  </si>
  <si>
    <t>CONS-899</t>
  </si>
  <si>
    <t>CONS-900</t>
  </si>
  <si>
    <t>PUSA941220PL6</t>
  </si>
  <si>
    <t>AESJ680608MVA</t>
  </si>
  <si>
    <t>SEFU040124T11</t>
  </si>
  <si>
    <t>IASM000711NH9</t>
  </si>
  <si>
    <t>RAUE8907251B4</t>
  </si>
  <si>
    <t>MONITORISTA</t>
  </si>
  <si>
    <t>TRAM-558</t>
  </si>
  <si>
    <t>444 546 4103</t>
  </si>
  <si>
    <t>arianapuente373@gmail.com</t>
  </si>
  <si>
    <t>331 150  5027</t>
  </si>
  <si>
    <t>jorge.alesanc@gmail.com</t>
  </si>
  <si>
    <t>444 907 7777</t>
  </si>
  <si>
    <t>444 702 5580</t>
  </si>
  <si>
    <t>miguel123mora5678@gmail.com</t>
  </si>
  <si>
    <t>427 111 0162</t>
  </si>
  <si>
    <t>erika202009@hotmail.com</t>
  </si>
  <si>
    <t>DICO-901</t>
  </si>
  <si>
    <t>CONS-902</t>
  </si>
  <si>
    <t>DICO-801</t>
  </si>
  <si>
    <t>DICO-903</t>
  </si>
  <si>
    <t>LAT-904</t>
  </si>
  <si>
    <t>DICO-905</t>
  </si>
  <si>
    <t>CONT-906</t>
  </si>
  <si>
    <t>DICO-908</t>
  </si>
  <si>
    <t>DICO-910</t>
  </si>
  <si>
    <t>TRAM-1113</t>
  </si>
  <si>
    <t>TRAM-1114</t>
  </si>
  <si>
    <t>DICO-911</t>
  </si>
  <si>
    <t>OSCAR DAVID</t>
  </si>
  <si>
    <t>SALO740615TM8</t>
  </si>
  <si>
    <t>CALLE EMILIANO ZAPATA ESQ. 16 DE SEPTIEMBRE, COL. LA PIMIENTA, CUIDAD VALLES SAN LUIS POTOSI C.P. 79020</t>
  </si>
  <si>
    <t>oscardavid:1974@outlook.com</t>
  </si>
  <si>
    <t>CASILDA ZARAGOZA HERNANDEZ</t>
  </si>
  <si>
    <t xml:space="preserve">BOULEVARD, MIRADOR </t>
  </si>
  <si>
    <t>REYNA MORA DE SANCHEZ</t>
  </si>
  <si>
    <t>444 422 4597</t>
  </si>
  <si>
    <t>VILLEGAS</t>
  </si>
  <si>
    <t>RODOLFO JAVIER</t>
  </si>
  <si>
    <t>SOVR710213IY7</t>
  </si>
  <si>
    <t>FLOR DE LIZ 2-A, CHULAVISTA, TLAJOMULCO DE ZUÑIGA, JALISCO C.P. 45683</t>
  </si>
  <si>
    <t>332 937 0714</t>
  </si>
  <si>
    <t>lupitacruzcruz879@gmail.com</t>
  </si>
  <si>
    <t>MARIA GUADALUPE CRUZ DE LA CRUZ</t>
  </si>
  <si>
    <t>ZARAGOZA, LERDO CENTRO</t>
  </si>
  <si>
    <t>515 NTE</t>
  </si>
  <si>
    <t>LERDO</t>
  </si>
  <si>
    <t>DURANGO</t>
  </si>
  <si>
    <t>333 845 3478</t>
  </si>
  <si>
    <t>YAREHT LIZETTE</t>
  </si>
  <si>
    <t>MARY860902G55</t>
  </si>
  <si>
    <t>PRIV RIO LENA 67 85,CTO 4 RIOS JARDINES DE LAS FUENTES, ZAPOPAN JALISCO C.P. 45138</t>
  </si>
  <si>
    <t>331 941 2063</t>
  </si>
  <si>
    <t>yareht.86rodriguez@gmail.com</t>
  </si>
  <si>
    <t>SERGIO OSWALDO MORALES GASPAR</t>
  </si>
  <si>
    <t>AV. DE LOS MAESTROS, MAGISTERIAL</t>
  </si>
  <si>
    <t>342 ALTOS</t>
  </si>
  <si>
    <t>331 532 0829</t>
  </si>
  <si>
    <t>12 años</t>
  </si>
  <si>
    <t>6 años</t>
  </si>
  <si>
    <t>DEL RELAMPAGO, BENITO JUAREZ</t>
  </si>
  <si>
    <t>NICOLAS BRAVO 113, SAN JOSE DEL 15, EL SALTO JAL, C.P. 45681</t>
  </si>
  <si>
    <t>331 501 87 69</t>
  </si>
  <si>
    <t>ALMBIQUE, PARQUE INDUSTRIAL EL ALAMO</t>
  </si>
  <si>
    <t xml:space="preserve">FLORES </t>
  </si>
  <si>
    <t>CALLE EMILIANO ZAPATA 527 COL. SAN JUAN BOSCO, TAMAZULA DE GORDIANO, JALISCO C.P. 49650</t>
  </si>
  <si>
    <t xml:space="preserve">TOSTADO </t>
  </si>
  <si>
    <t>NAHUM ISAAC</t>
  </si>
  <si>
    <t>TOAN050401BZ7</t>
  </si>
  <si>
    <t>CERRO DE LAS TORRES NO. 670, CHULAVISTA TLAJOMULCO DE ZUÑIGA, JALISCO C.P 45653</t>
  </si>
  <si>
    <t>333 246 7095</t>
  </si>
  <si>
    <t>tostadonahum@gmail.com</t>
  </si>
  <si>
    <t>ROBERTO TOSTADO MARTINEZ</t>
  </si>
  <si>
    <t>CALLE VICENTE GUERRERO, AGUA BLANCA INDUSTRIAL</t>
  </si>
  <si>
    <t>332 532 7416</t>
  </si>
  <si>
    <t>TOGE940928LV0</t>
  </si>
  <si>
    <t>C REPUBLICA DE NICARAGUA #2232, COL. SATELITE, CP.78380, SAN LUIS POTOSI, SAN LUIS POTOSI</t>
  </si>
  <si>
    <t>444 555 5310</t>
  </si>
  <si>
    <t>et5814403@gmail.com</t>
  </si>
  <si>
    <t>MIRIAM HERNANDEZ GARCIA</t>
  </si>
  <si>
    <t>2A. CERRADA ESTACION BUENAVISTA</t>
  </si>
  <si>
    <t>562 506 5929</t>
  </si>
  <si>
    <t>CALLE ALAMO 1814 -B, LA AZUCENA, EL SALTO JALISCO</t>
  </si>
  <si>
    <t>332 578 5760</t>
  </si>
  <si>
    <t>ramirezenrique03034@gmail.com</t>
  </si>
  <si>
    <t>MARIA GUADALUPE ORTIZ</t>
  </si>
  <si>
    <t>CARR GUADALAJARA EL SALTO, KM 7.3</t>
  </si>
  <si>
    <t>ELIZABETH AVALOS CRUZ</t>
  </si>
  <si>
    <t>444 116 71 14</t>
  </si>
  <si>
    <t>HURTADO</t>
  </si>
  <si>
    <t>AVALOS</t>
  </si>
  <si>
    <t>TANIA DEL CARMEN</t>
  </si>
  <si>
    <t>HUAT950916DAA</t>
  </si>
  <si>
    <t>GUADALCAZAR 1606, COL. SAN FELIPE, SOLEDAD DE GRACIANO SANCHEZ, SAN LUIS POTOSI</t>
  </si>
  <si>
    <t>tania.hurtava@gmail.com</t>
  </si>
  <si>
    <t>GUADALCAZAR. COL. SAN FELIPE</t>
  </si>
  <si>
    <t>292 322 81 69</t>
  </si>
  <si>
    <t>PALOMO</t>
  </si>
  <si>
    <t>BEATRIZ</t>
  </si>
  <si>
    <t>CAPB940604J32</t>
  </si>
  <si>
    <t>CALLE DE LA PARROQUIA #303, FRACC. SAN JOSE 1A. SECC, CP.78433, SOLEDAD DE GRACIANO SANCHEZ, SAN LUIS POTOSI</t>
  </si>
  <si>
    <t>4443 303148</t>
  </si>
  <si>
    <t>beatriz.campos.p@hotmail.com</t>
  </si>
  <si>
    <t>OFELIA PALOMO ALCACIO</t>
  </si>
  <si>
    <t>LA PARROQUIA, SAN JOSE</t>
  </si>
  <si>
    <t>444 2425295</t>
  </si>
  <si>
    <t>MARIANO</t>
  </si>
  <si>
    <t>MARL990511ML8</t>
  </si>
  <si>
    <t xml:space="preserve">UNION LIBRE </t>
  </si>
  <si>
    <t>COLOMBO #152 COL. CHULAVISTA TLAJOMULCO DE ZUÑIGA, JALISCO C.P 45653</t>
  </si>
  <si>
    <t xml:space="preserve">MEXICANA </t>
  </si>
  <si>
    <t xml:space="preserve">DOMINGO </t>
  </si>
  <si>
    <t>luisenrique-mn@hotmail.com</t>
  </si>
  <si>
    <t xml:space="preserve">ALEJANDRA JAZMIN QUEZADA VAZQUEZ </t>
  </si>
  <si>
    <t xml:space="preserve">COLOMBO, CHULAVISTA </t>
  </si>
  <si>
    <t>OSCAR JESUS</t>
  </si>
  <si>
    <t>HEAO890507R42</t>
  </si>
  <si>
    <t>PRIV. JESUS GARCIA #14, COL. LA ROCIO, EL CASTILLO JALISCO C.P. 45685</t>
  </si>
  <si>
    <t>ALONDRA OCAMPO</t>
  </si>
  <si>
    <t>CALLE ANGULO, CIRCUNVALACION VALLARTA</t>
  </si>
  <si>
    <t>C</t>
  </si>
  <si>
    <t>331 288 54 93</t>
  </si>
  <si>
    <t>MAGAÑA</t>
  </si>
  <si>
    <t>ANGEL JAIR</t>
  </si>
  <si>
    <t>CERRO TURBINA #476, COL CHULAVISTA CP, 45653, TLAJOMULCO DE ZUÑIGA, JALISCO</t>
  </si>
  <si>
    <t>33 43 38 53 45</t>
  </si>
  <si>
    <t>angel.magana089@gmail.com</t>
  </si>
  <si>
    <t>JATZIRI VANESA HERNANDEZ MUÑOZ</t>
  </si>
  <si>
    <t>VALLE DE LOS GRANADOS, HACIENDA LOS EUCALIPTOS</t>
  </si>
  <si>
    <t>33 29 28 83 06</t>
  </si>
  <si>
    <t>AADH940321EV0</t>
  </si>
  <si>
    <t>AV SANTA CECILIA MZA 46 LT #11-B, FRACC REAL DE SAN PABLO, TOLUCA, MEX, C.P. 50295</t>
  </si>
  <si>
    <t>JEFE DE COMBUSTIBLE</t>
  </si>
  <si>
    <t>563 547 2202</t>
  </si>
  <si>
    <t>hec.os.andrade@gmail.com</t>
  </si>
  <si>
    <t>EUSTOLIA DOMINGUEZ CARRILLO</t>
  </si>
  <si>
    <t>SANTA CECLIA, REAL DE SAN PABLO (CASAS ARA)</t>
  </si>
  <si>
    <t>MZ-47</t>
  </si>
  <si>
    <t>L-11 B</t>
  </si>
  <si>
    <t>TOLUCA</t>
  </si>
  <si>
    <t>722 616 41 67</t>
  </si>
  <si>
    <t>SALGADO</t>
  </si>
  <si>
    <t>EFRAIN TEODORO</t>
  </si>
  <si>
    <t>CTO LAGO TURQUEZA 374 A, LOS LAGOS, RESIDENCIAL LOS LAGOS, C.P. 78427</t>
  </si>
  <si>
    <t>444 419 5352</t>
  </si>
  <si>
    <t>sstefrain@gmail.com</t>
  </si>
  <si>
    <t>REYNA SANCHEZ SANCHEZ</t>
  </si>
  <si>
    <t>CTO LAGO TURQUEZA</t>
  </si>
  <si>
    <t xml:space="preserve">CORTEZ </t>
  </si>
  <si>
    <t>HIRAM DAVID</t>
  </si>
  <si>
    <t>HECH970126HGRRRR05</t>
  </si>
  <si>
    <t>HECH970126B44</t>
  </si>
  <si>
    <t>GRANIZO 30, VOLCAN CIRRUS, EL MIRADOR, JALISCO, C.P. 45683</t>
  </si>
  <si>
    <t>331 169 46 69</t>
  </si>
  <si>
    <t>toryserrano20@gmail.com</t>
  </si>
  <si>
    <t>VICTORINA HERNANDEZ CORTEZ</t>
  </si>
  <si>
    <t>NMAMÁ</t>
  </si>
  <si>
    <t>CLEOFAS MOTA, ALVARO OBREGON</t>
  </si>
  <si>
    <t>DICO-912</t>
  </si>
  <si>
    <t>LUIS ANGEL</t>
  </si>
  <si>
    <t>OOQL931128PJ0</t>
  </si>
  <si>
    <t>331 138 67 01</t>
  </si>
  <si>
    <t>CASTILLO DE MOMBELTRAN #489, CASTILLO DE MAQUEDA , PARQUES DEL CASTILLO JALISCO, C.P. 45685</t>
  </si>
  <si>
    <t>yg4355524@gmail.com</t>
  </si>
  <si>
    <t>JESSICA NAYELI GUZMAN SANTANA</t>
  </si>
  <si>
    <t>STA RITA, JARDINES DE SAN IGNACIO</t>
  </si>
  <si>
    <t>331 138 37 01</t>
  </si>
  <si>
    <t>29 DIAS</t>
  </si>
  <si>
    <t>CUELLAR</t>
  </si>
  <si>
    <t>CUGS890612B1A</t>
  </si>
  <si>
    <t>JESSICA YADIRA</t>
  </si>
  <si>
    <t>VAGJ840825J97</t>
  </si>
  <si>
    <t>CTO COLINAS DEL LAGO 900, COND LAGO DE CUITZ INTERIOR 37, COLINAS DE LA PIEDAD, EL MARQUES, QRO C.P. 76246</t>
  </si>
  <si>
    <t>jessicayadira_01@msn.com</t>
  </si>
  <si>
    <t>PARQUE CIMATARIO, HACIENDAS NATURA</t>
  </si>
  <si>
    <t>CELAYA</t>
  </si>
  <si>
    <t>Andrea Jocelyn Guarino Vazquez</t>
  </si>
  <si>
    <t>461 352 30 19</t>
  </si>
  <si>
    <t>MANGO</t>
  </si>
  <si>
    <t>DICO-914</t>
  </si>
  <si>
    <t xml:space="preserve">RICARDO EZEQUIEL </t>
  </si>
  <si>
    <t>VIGR000804AY2</t>
  </si>
  <si>
    <t>CALLE CERRO SANTA ANA #323,  C. DE LA SILLA Y CORONADO, CHULAVISTA, JALISCO C.P. 45653</t>
  </si>
  <si>
    <t>333 391 19 36</t>
  </si>
  <si>
    <t>ricardoezequielvillalobos35@gmail.com</t>
  </si>
  <si>
    <t>MARIA ELENA NATHALY LIMON</t>
  </si>
  <si>
    <t>CERRO SANTA ANA, CHULAVISTA</t>
  </si>
  <si>
    <t>334 763 70 45</t>
  </si>
  <si>
    <t>CONS-913</t>
  </si>
  <si>
    <t>DICO-915</t>
  </si>
  <si>
    <t>POLANCO</t>
  </si>
  <si>
    <t>DANIEL</t>
  </si>
  <si>
    <t>TOPD810905HA0</t>
  </si>
  <si>
    <t>CLL CTO SIERRA STA BARBARA SUR, HACIENDA SANTA FE, TLAJOMULCO DE ZUÑIGA, C.P. 45653</t>
  </si>
  <si>
    <t>334 418 76 80</t>
  </si>
  <si>
    <t>dannytorres596@gmail.com</t>
  </si>
  <si>
    <t>AXEL TORRES DIAZ</t>
  </si>
  <si>
    <t>ANGULO, CIRCUNVALACION VALLARTA</t>
  </si>
  <si>
    <t>334 4360177</t>
  </si>
  <si>
    <t>MONTE VINSON #205 A, FRAC VILA MONTAÑA, AGUASCALIENTES, C.P. 20126</t>
  </si>
  <si>
    <t>LAT-676</t>
  </si>
  <si>
    <t>449 584 1686</t>
  </si>
  <si>
    <t>martineza65582@gmail.com</t>
  </si>
  <si>
    <t>AV CULTURA MAYA, MIRADOR DE LAS CULTURAS</t>
  </si>
  <si>
    <t>C TECOLOTE 1022 A, COL PRIVADAS DE CAMINO REAL, GRAL ESCOBEDO,N.L. C.P. 66064</t>
  </si>
  <si>
    <t>mb770702@gmail.com</t>
  </si>
  <si>
    <t>Araceli Badillo Beltrán</t>
  </si>
  <si>
    <t>LAT-916</t>
  </si>
  <si>
    <t>LAT-917</t>
  </si>
  <si>
    <t>LAT-918</t>
  </si>
  <si>
    <t xml:space="preserve">BADILLO </t>
  </si>
  <si>
    <t>BELTRAN</t>
  </si>
  <si>
    <t>BABM770702S76</t>
  </si>
  <si>
    <t>AV MARIO MORENO MZ 2 LT27 N32, HOGAR Y REDENCIÓN C.P. 01450, SAN ANGEL I, CDMX</t>
  </si>
  <si>
    <t>55 3527 6774</t>
  </si>
  <si>
    <t>ARACELI BADILLO BELTRAN</t>
  </si>
  <si>
    <t>AVENIDA (AV) , AV CONSTITUCIÓN PTE.</t>
  </si>
  <si>
    <t>81 12888169</t>
  </si>
  <si>
    <t>Brenda linda Chávez ochoa</t>
  </si>
  <si>
    <t>PEDRO CELESTINO NEGRETE PTE, INDUSTRIAL</t>
  </si>
  <si>
    <t>brendalindachavezochoa@gmail.com</t>
  </si>
  <si>
    <t>LAT-919</t>
  </si>
  <si>
    <t>LAT-920</t>
  </si>
  <si>
    <t>LAT-921</t>
  </si>
  <si>
    <t xml:space="preserve">ALMAZAN </t>
  </si>
  <si>
    <t>LUIS LEONARDO</t>
  </si>
  <si>
    <t>ZAMARRIPA</t>
  </si>
  <si>
    <t>GUARDIOLA</t>
  </si>
  <si>
    <t xml:space="preserve">JORGE </t>
  </si>
  <si>
    <t>GOMS821125SB7</t>
  </si>
  <si>
    <t>AAGL9608295UA</t>
  </si>
  <si>
    <t>ZAGJ960509NR2</t>
  </si>
  <si>
    <t>C IGNACIO ZARAGOZA, S/N, GUERRERO Y OBREGON , SANTO DOMINGO, C.P. 79460,SLP</t>
  </si>
  <si>
    <t>444 311 82 72</t>
  </si>
  <si>
    <t>sergiogonzalez8376@gmail.com</t>
  </si>
  <si>
    <t>Lupita Yazmin Murillo Gutierre</t>
  </si>
  <si>
    <t>MELGAR</t>
  </si>
  <si>
    <t>Lupita Yazmin Murillo Gutierrez</t>
  </si>
  <si>
    <t>486 103 34 74</t>
  </si>
  <si>
    <t>MORELOS 525, BARRIO GUADALUPE, VILLA JUAREZ, SLP, C.P. 79460</t>
  </si>
  <si>
    <t>486 113 78 60</t>
  </si>
  <si>
    <t>MORELOS, GUADALUPE</t>
  </si>
  <si>
    <t>VILLA JUAREZ</t>
  </si>
  <si>
    <t>ABRAHAM GONZALEZ 3, R MURRIETA Y FELIPE ANGEL, CERRITOS, C.P. 79440</t>
  </si>
  <si>
    <t>487 875 8662</t>
  </si>
  <si>
    <t>zamarripagjorge@gmail.com</t>
  </si>
  <si>
    <t>MARIA DE JESUS RAMIREZ HUERTA</t>
  </si>
  <si>
    <t>ADELINA HERNANDEZ, JOSE GUADALUPE PERALTA GAMEZ</t>
  </si>
  <si>
    <t>487 8758662</t>
  </si>
  <si>
    <t>lg5379790@gmail.com</t>
  </si>
  <si>
    <t>Alicia garcia mancilla</t>
  </si>
  <si>
    <t xml:space="preserve">CASTILLO </t>
  </si>
  <si>
    <t>MICHAEL EDUARDO</t>
  </si>
  <si>
    <t>CALM890314HK0</t>
  </si>
  <si>
    <t>SAN AGUSTIN 195 3, COL LIBERTAD SAN LUIS POTOSI, SLP, C.P. 78390</t>
  </si>
  <si>
    <t>LIC GEOLOGIA</t>
  </si>
  <si>
    <t>JEFE DE OPERACIONES</t>
  </si>
  <si>
    <t>444 118 72 04</t>
  </si>
  <si>
    <t>michael.castillo.transporte@gmail.com</t>
  </si>
  <si>
    <t>CLARIZA LOPEZ VILLANUEVA</t>
  </si>
  <si>
    <t xml:space="preserve">MADRE PERLA, COL INDUSTRIAS </t>
  </si>
  <si>
    <t>444 572 41 82</t>
  </si>
  <si>
    <t>TRAM-1119</t>
  </si>
  <si>
    <t>RAFAEL GUADALUPE</t>
  </si>
  <si>
    <t>PEDRO RAFAEL</t>
  </si>
  <si>
    <t>GUEP8309254N0</t>
  </si>
  <si>
    <t>SEGUNDA NORTE 6040, COL NUEVO MEXICO, ZAPOPAL, JALISCO, C.P. 45138</t>
  </si>
  <si>
    <t>CHOFER CAT 6</t>
  </si>
  <si>
    <t>JUAN MANUEL MALDONADO</t>
  </si>
  <si>
    <t>331 768 81 68</t>
  </si>
  <si>
    <t>rafaelgesparza8@gmail.com</t>
  </si>
  <si>
    <t>ANA JESSICA SOSA PEREZ</t>
  </si>
  <si>
    <t>CARRETERA A LA BASE AEREA KM2, ZAPOPAN</t>
  </si>
  <si>
    <t>333 374 36 31</t>
  </si>
  <si>
    <t>MARR911024UU5</t>
  </si>
  <si>
    <t>CTO TURIN 250, SAN LORENZO, SOLEDAD DE GRACIANO SANCHEZ, C.P. 78433</t>
  </si>
  <si>
    <t>444 638 41 42</t>
  </si>
  <si>
    <t>rafa242019@gmail.com</t>
  </si>
  <si>
    <t>DEL PINO, ARBOLEDAS DEL REAL</t>
  </si>
  <si>
    <t>CONS-922</t>
  </si>
  <si>
    <t>CONS-923</t>
  </si>
  <si>
    <t>CONS-924</t>
  </si>
  <si>
    <t>REINA</t>
  </si>
  <si>
    <t>REPE8806081K5</t>
  </si>
  <si>
    <t>VICTORIA 200, FRACCIÓN ZAPOTE , EL ZAPOTE, SLP, C.P. 79482</t>
  </si>
  <si>
    <t>444 641 54 39</t>
  </si>
  <si>
    <t>MARIA GRACIELA RUELAS GAITAN</t>
  </si>
  <si>
    <t>PINO AMERICANO, VALLE DE LOS PINOS</t>
  </si>
  <si>
    <t>LEON</t>
  </si>
  <si>
    <t xml:space="preserve">NINGUNA </t>
  </si>
  <si>
    <t>DICO-925</t>
  </si>
  <si>
    <t xml:space="preserve">POZOS </t>
  </si>
  <si>
    <t>GUILLEN</t>
  </si>
  <si>
    <t>ERICK YAHIR</t>
  </si>
  <si>
    <t>POGE0207027U8</t>
  </si>
  <si>
    <t>COLINAS DEL SUR 1151, 52E, COLINAS DEL SUR, TLAQUEPAQUE, JALISCO, C.P. 45601</t>
  </si>
  <si>
    <t>333 7023077</t>
  </si>
  <si>
    <t>erickyahirpozosguillen14@gmail.com</t>
  </si>
  <si>
    <t>BEATRIZ ADRIANA GUILLEN HERNANDEZ</t>
  </si>
  <si>
    <t>LUIS J. JIMENEZ, 05 DE MAYO</t>
  </si>
  <si>
    <t>333 4565269</t>
  </si>
  <si>
    <t>DICO-926</t>
  </si>
  <si>
    <t>04099190797</t>
  </si>
  <si>
    <t>QUGB910520HCMNRR09</t>
  </si>
  <si>
    <t>QUGB910520LD5</t>
  </si>
  <si>
    <t>LEYLANDI 59, CAMPO BELLO, JALISCO, C.P. 45685</t>
  </si>
  <si>
    <t>332 1135465</t>
  </si>
  <si>
    <t>bryanq9@outlook.com</t>
  </si>
  <si>
    <t>ANGELICA MONSERRAT QUINTERO GARCIA</t>
  </si>
  <si>
    <t>MAPLE, VILLAS DE GUADALUPE</t>
  </si>
  <si>
    <t>333 4451176</t>
  </si>
  <si>
    <t>RH+</t>
  </si>
  <si>
    <t xml:space="preserve">BRONQUEOS </t>
  </si>
  <si>
    <t xml:space="preserve">NO </t>
  </si>
  <si>
    <t>LAT-927</t>
  </si>
  <si>
    <t>PRIV FLOR DE AZAHAR 295, FRACC VILLA ANDREA, SAN LUIS POTOSÍ, C.P. 78421</t>
  </si>
  <si>
    <t>SUPER INTENDENTE</t>
  </si>
  <si>
    <t>FORESTA ABEDUL, FORESTA JARDIN</t>
  </si>
  <si>
    <t>LAT-928</t>
  </si>
  <si>
    <t>BARCENA</t>
  </si>
  <si>
    <t>ALMA ALONDRA</t>
  </si>
  <si>
    <t>MOBA03112056A</t>
  </si>
  <si>
    <t>JULIO PENA 210, COL. EL PASEO, SAN LUIS POTOSÍ, C.P. 78320</t>
  </si>
  <si>
    <t>44 41 19 84 11</t>
  </si>
  <si>
    <t>alondramb00@gmail.com</t>
  </si>
  <si>
    <t>OSBEIDEY YARUMI SILVA VAZQUEZ</t>
  </si>
  <si>
    <t xml:space="preserve">PAREJA </t>
  </si>
  <si>
    <t>44 43 74 12 40</t>
  </si>
  <si>
    <t>LAT-929</t>
  </si>
  <si>
    <t>PIMIENTA</t>
  </si>
  <si>
    <t>GERMAN</t>
  </si>
  <si>
    <t>EIPG6808303I8</t>
  </si>
  <si>
    <t>LIC A LOPEZ MATEOS 24 INT, COL ZURITA, PANUCO, VERACRUZ, C.P. 93997</t>
  </si>
  <si>
    <t>INGENIERO CIVIL</t>
  </si>
  <si>
    <t>833 112 93 25</t>
  </si>
  <si>
    <t>enriquezgerman89@gmail.com</t>
  </si>
  <si>
    <t>Kimberly Michelle Enríquez Álvarez</t>
  </si>
  <si>
    <t>ADOLFO LOPEZ MATEOS, ZURITA</t>
  </si>
  <si>
    <t>PANUCO</t>
  </si>
  <si>
    <t>LAT-930</t>
  </si>
  <si>
    <t>ANDRES EDUARDO</t>
  </si>
  <si>
    <t>AEMA980706HCCRRN06</t>
  </si>
  <si>
    <t>AEMA9807067D4</t>
  </si>
  <si>
    <t>PROA 768, ALTAVELA, MEZCALES, NAYARIT, C.P. 63738</t>
  </si>
  <si>
    <t>322 318 92 97</t>
  </si>
  <si>
    <t>aarceo130@gmail.com</t>
  </si>
  <si>
    <t>GABRIELA RAQUEL DE LEÓN BENITEZ</t>
  </si>
  <si>
    <t>8, MAYAPAN</t>
  </si>
  <si>
    <t>MERIDA</t>
  </si>
  <si>
    <t>YUCATAN</t>
  </si>
  <si>
    <t>CONS-931</t>
  </si>
  <si>
    <t>ANGEL ADRIAN</t>
  </si>
  <si>
    <t>MAAA050117TZ1</t>
  </si>
  <si>
    <t>PRIMERA 400, PRADERAS DE LOS GIRASOLES, GRAL ESCOBEDO, C.P. 66056</t>
  </si>
  <si>
    <t>PRADERAS DE GIRADOLES, NUEVO LEON</t>
  </si>
  <si>
    <t>NUEVO LEÓN</t>
  </si>
  <si>
    <t>BOCA DE TOMATES SN LOCALIDAD PUERTO VALLARTA, MUNICIPIO PUERTO VALLARTA, JALISCO C.P. 48291</t>
  </si>
  <si>
    <t>CONS-932</t>
  </si>
  <si>
    <t>RAMOZ</t>
  </si>
  <si>
    <t>JOSE HILARIO</t>
  </si>
  <si>
    <t>PARH920731KW1</t>
  </si>
  <si>
    <t>MAGDALENO CEDILLO 517 - A, EXPROPIACIÓN PETROLERA, C.P. 78430</t>
  </si>
  <si>
    <t>444 578 97 79</t>
  </si>
  <si>
    <t>josehilariopadronramosgmail.com</t>
  </si>
  <si>
    <t>KAROLI DIAZ CIGARRILLO</t>
  </si>
  <si>
    <t>MARIANO PAREDES, VILLAS DEL MORRO</t>
  </si>
  <si>
    <t>444 556 05 71</t>
  </si>
  <si>
    <t>PACHECO</t>
  </si>
  <si>
    <t>JESUS SALOME</t>
  </si>
  <si>
    <t>GOPJ900211M54</t>
  </si>
  <si>
    <t>CALLE MEXICO 5, LAZARO CARDENAS, SAN JOSE DEL VALLE, NAYARIT, C.P. 48280</t>
  </si>
  <si>
    <t>322 321 3437</t>
  </si>
  <si>
    <t xml:space="preserve">José francisco Gómez arreola </t>
  </si>
  <si>
    <t>HOMERO, CHAPULTEPEC MORALES</t>
  </si>
  <si>
    <t>PISO 10</t>
  </si>
  <si>
    <t>padre</t>
  </si>
  <si>
    <t>322 16 43 935</t>
  </si>
  <si>
    <t>LAT-933</t>
  </si>
  <si>
    <t>PADILLA</t>
  </si>
  <si>
    <t>LUIS ALBERTO</t>
  </si>
  <si>
    <t>PAHL980918UX2</t>
  </si>
  <si>
    <t>PRIV 8 AGOSTO 14, SANTA CRUZ DEL VALLE, TLAJOMULCO DE ZUÑIGA, JALISCO, C.P. 45655</t>
  </si>
  <si>
    <t>334 402 52 58</t>
  </si>
  <si>
    <t>albertoph7814@gmail.com</t>
  </si>
  <si>
    <t xml:space="preserve">Olivia Hernandez Gutiérrez </t>
  </si>
  <si>
    <t>madre</t>
  </si>
  <si>
    <t>no</t>
  </si>
  <si>
    <t>8 DE AGOSTO, SANTA CRUZ DEL VALLE</t>
  </si>
  <si>
    <t>333 303 18 35</t>
  </si>
  <si>
    <t>o+</t>
  </si>
  <si>
    <t>CONS-934</t>
  </si>
  <si>
    <t>LUIS RUBEN</t>
  </si>
  <si>
    <t>OISL980104HSPLFS01</t>
  </si>
  <si>
    <t>OISL980104CE8</t>
  </si>
  <si>
    <t>CALLE OAXACA 138, FRACC LA PIEDAD, RIO VERDE, S.L.P., C.P. 79618</t>
  </si>
  <si>
    <t>487 156 72 75</t>
  </si>
  <si>
    <t>luissifuentes632@gmail.com</t>
  </si>
  <si>
    <t>ODALIS OSYANIT TAPIA SANCHEZ</t>
  </si>
  <si>
    <t>PONIENTE, CASA BLANCA</t>
  </si>
  <si>
    <t>487 195 68 67</t>
  </si>
  <si>
    <t>LAT-935</t>
  </si>
  <si>
    <t>SADJ791225459</t>
  </si>
  <si>
    <t>CIPRES 1000, EL ARENAL, SAN LUIS POTOSÍ, S.L.P., C.P. 78117</t>
  </si>
  <si>
    <t>444 682 1885</t>
  </si>
  <si>
    <t>sanchez.jsd80@gmail.com</t>
  </si>
  <si>
    <t>MARIA DE JESUS GUERRERO HERRERA</t>
  </si>
  <si>
    <t>PASEO DEL SEMILLERO, SAN LUIS POTOSI</t>
  </si>
  <si>
    <t>334 86 68 454</t>
  </si>
  <si>
    <t>LAT-209</t>
  </si>
  <si>
    <t>CONS-936</t>
  </si>
  <si>
    <t>DIMAS</t>
  </si>
  <si>
    <t>UTRILLA</t>
  </si>
  <si>
    <t>DIUM911125256</t>
  </si>
  <si>
    <t>C SIN NOMBRE S/N, EJ GUADALUPE VICTORIA 30680, TUZANTAN, CHIS, C.P. 30680</t>
  </si>
  <si>
    <t>442 486 79 83</t>
  </si>
  <si>
    <t>mikidimas1991@gmail.com</t>
  </si>
  <si>
    <t>SIN NOMBRE, OTRA NO ESPECIFICADA EN EL CATALOGO</t>
  </si>
  <si>
    <t>GUADALUPE VICTORIA</t>
  </si>
  <si>
    <t xml:space="preserve">TUZANTAN </t>
  </si>
  <si>
    <t>LAT-937</t>
  </si>
  <si>
    <t>PILAS</t>
  </si>
  <si>
    <t>PALOMERA</t>
  </si>
  <si>
    <t>PIPJ6409136A7</t>
  </si>
  <si>
    <t>ECUADOR 1239, COL, 05 DE DICIEMBRE, PUERTO VALLARTA, JALISCO, C.P. 48350</t>
  </si>
  <si>
    <t>CBTIS</t>
  </si>
  <si>
    <t>TRAXCAVISTA</t>
  </si>
  <si>
    <t>322 329 29 55</t>
  </si>
  <si>
    <t>DIEGO ALEJANDRO PILAS PULIDO</t>
  </si>
  <si>
    <t>PUERTO VERACRUZ, RAMBLASES</t>
  </si>
  <si>
    <t>PUERTO VALLARTA</t>
  </si>
  <si>
    <t>322 180 105</t>
  </si>
  <si>
    <t>juanjosepilaspalomera7@gmail.com</t>
  </si>
  <si>
    <t>LAT-938</t>
  </si>
  <si>
    <t>MONTES</t>
  </si>
  <si>
    <t>FREDY</t>
  </si>
  <si>
    <t>MOPF981111RJ9</t>
  </si>
  <si>
    <t>HUNGRIA 1276, BRISAS DEL PACIFICO, PUERTO VALLARTA, JALISCO, C.P. 48290</t>
  </si>
  <si>
    <t>322 127 24 23</t>
  </si>
  <si>
    <t>GEORGINA PRIETO SOTO</t>
  </si>
  <si>
    <t>HUNGRIA, BRISAS DEL PACIFICO</t>
  </si>
  <si>
    <t xml:space="preserve">322 353 0287 </t>
  </si>
  <si>
    <t>COLMENARES</t>
  </si>
  <si>
    <t>COSM810603R54</t>
  </si>
  <si>
    <t>VALLE GRANDE 266, VALLE DORADO, NAYARIT, C.P. 63735</t>
  </si>
  <si>
    <t>josemanuelcolmenares647@gmail.com</t>
  </si>
  <si>
    <t>SANDRA CANALES FLORES</t>
  </si>
  <si>
    <t>CAMPOS ELISES, POLANCO CHAPULTEPEC</t>
  </si>
  <si>
    <t>P 15</t>
  </si>
  <si>
    <t>322 175 19 93</t>
  </si>
  <si>
    <t>jsgp1190@gmail.com</t>
  </si>
  <si>
    <t>DICO-940</t>
  </si>
  <si>
    <t xml:space="preserve">HUERTA </t>
  </si>
  <si>
    <t>CARLOS FABIAN</t>
  </si>
  <si>
    <t>MAHC9012204XA</t>
  </si>
  <si>
    <t>CEREZO 54 D, CAMPO BELLO, JALISCO, C.P. 45685</t>
  </si>
  <si>
    <t>331 234 78 31</t>
  </si>
  <si>
    <t xml:space="preserve">ANA ROSA PEREZ SALAZAR </t>
  </si>
  <si>
    <t>AVENIDA VALLARTA, CIUDAD GRANJA</t>
  </si>
  <si>
    <t>F 45</t>
  </si>
  <si>
    <t>ANA ROSA PEREZ SALAZAR</t>
  </si>
  <si>
    <t>CONTUGE</t>
  </si>
  <si>
    <t>TRAM-1125</t>
  </si>
  <si>
    <t>CHIPOL</t>
  </si>
  <si>
    <t>LEONEL</t>
  </si>
  <si>
    <t>CIML860118TT7</t>
  </si>
  <si>
    <t>LEAL DE LA BORDALEZA 119, FRACCION ZAPOTE, LOS VINEDOS, SLP, C.P. 79482</t>
  </si>
  <si>
    <t>DESPACHADOR DE DIESEL</t>
  </si>
  <si>
    <t>444 435 1092</t>
  </si>
  <si>
    <t>chipolleonel@gmail.com</t>
  </si>
  <si>
    <t>LAURA ALICIA ALVARADO ROSAS</t>
  </si>
  <si>
    <t>PRIVADA GIRASOLES CIRCUITO AMAPOLAS, SOLEDAD DE GRACIANO SANCHEZ</t>
  </si>
  <si>
    <t>444 614 44 99</t>
  </si>
  <si>
    <t>LAT-941</t>
  </si>
  <si>
    <t>CEDILLO</t>
  </si>
  <si>
    <t>CEHE880316HSPDRD00</t>
  </si>
  <si>
    <t>CEHE880316M37</t>
  </si>
  <si>
    <t>AVE CURIE 111, SAN MANUEL, SAN LUIS POTOSÍ, C.P. 78379</t>
  </si>
  <si>
    <t>MUESTREADOR</t>
  </si>
  <si>
    <t>444 578 66 09</t>
  </si>
  <si>
    <t>cedillojoseeduardo249@gmail.com</t>
  </si>
  <si>
    <t>BRENDA YAZMIN IBARRA ROMO</t>
  </si>
  <si>
    <t>CALLE NUEVO LAREDO, LOS GOMEZ</t>
  </si>
  <si>
    <t>444 291 19 39</t>
  </si>
  <si>
    <t>CONS-942</t>
  </si>
  <si>
    <t>ALEXIS</t>
  </si>
  <si>
    <t>VAEA0005275I4</t>
  </si>
  <si>
    <t>C SIN NOMBRE S/N, LOC ESTANQUE DE AGUA BUENA, MATEHUALA, SLP, C.P. 78800</t>
  </si>
  <si>
    <t>488 120 82 61</t>
  </si>
  <si>
    <t>alexisvargasestrada@hotmail.com</t>
  </si>
  <si>
    <t>ANGIE CITLALI MARTINEZ</t>
  </si>
  <si>
    <t>SIN NOMBRE, MATEHUALA</t>
  </si>
  <si>
    <t>AMPICILINA</t>
  </si>
  <si>
    <t>DICO-943</t>
  </si>
  <si>
    <t>IVAN SALVADOR</t>
  </si>
  <si>
    <t>GAPI8305075L7</t>
  </si>
  <si>
    <t>UVA 2915 C, BONITO JALISCO, JALISCO, C.P. 45696</t>
  </si>
  <si>
    <t>331 87 87 391</t>
  </si>
  <si>
    <t>ivangarcia070583@gmail.com</t>
  </si>
  <si>
    <t>MONICA ALEJANDRA AMADOR ALATORRE</t>
  </si>
  <si>
    <t>BOLUVARD LA LUZ, LAS FUENTES</t>
  </si>
  <si>
    <t>331 46 04775</t>
  </si>
  <si>
    <t>LAT-944</t>
  </si>
  <si>
    <t>RAMIRO</t>
  </si>
  <si>
    <t>RAUL EFRAIN</t>
  </si>
  <si>
    <t>RAOR9011214Z1</t>
  </si>
  <si>
    <t>VALLE DE JALPA 155, FRESNOS, SOLEDAD DE GRACIANO SANCHEZ, SLP, C.P. 78433</t>
  </si>
  <si>
    <t>487 125 7940</t>
  </si>
  <si>
    <t>raulortiz754@yahoo.com</t>
  </si>
  <si>
    <t>ALMA ROSA CANTU VAZQUEZ</t>
  </si>
  <si>
    <t>MADRINA</t>
  </si>
  <si>
    <t>6 A DE GALEANA, SAN ANTONIO</t>
  </si>
  <si>
    <t>487 138 39 68</t>
  </si>
  <si>
    <t>LAT-945</t>
  </si>
  <si>
    <t>LAT-946</t>
  </si>
  <si>
    <t>ARCEO</t>
  </si>
  <si>
    <t>MARTIN EDUARDO</t>
  </si>
  <si>
    <t>AEFM771002HXA</t>
  </si>
  <si>
    <t>PASEO DE LAS ARBOLEDAS, #3 A, ARBOLEDAS DE SAN JOSÉ, SAN JOSE DEL VALLE, NAYARIT, C.P.45890</t>
  </si>
  <si>
    <t>332 400 0920</t>
  </si>
  <si>
    <t>martinarceo797@gmail.com</t>
  </si>
  <si>
    <t>Rosa  Nelly Flores Polanco</t>
  </si>
  <si>
    <t>CALLE 21, VERGEL IV</t>
  </si>
  <si>
    <t>ROSA NELI FLORES POLANCO</t>
  </si>
  <si>
    <t>999 459 11 04</t>
  </si>
  <si>
    <t>TELLO</t>
  </si>
  <si>
    <t>FREDDY ESTEBAN</t>
  </si>
  <si>
    <t>LOTF7412064FA</t>
  </si>
  <si>
    <t>RIVERENA CAMARONES #193, RAMBLASES, PUERTO VALLARTA JALISCO, C.P. 48343</t>
  </si>
  <si>
    <t>322 149 13 37</t>
  </si>
  <si>
    <t>freddylop922@gmail.com</t>
  </si>
  <si>
    <t>ALMA VANESSA CHAVEZ HERNANDEZ</t>
  </si>
  <si>
    <t>A, LA LOMITA</t>
  </si>
  <si>
    <t>BAHIA DE BANDERAS</t>
  </si>
  <si>
    <t>NAYARIT</t>
  </si>
  <si>
    <t>ALMA VANESA CHAVEZ HERNANDEZ</t>
  </si>
  <si>
    <t>322 243 08 21</t>
  </si>
  <si>
    <t>CONS-947</t>
  </si>
  <si>
    <t>CONS-948</t>
  </si>
  <si>
    <t>JAUREGUI</t>
  </si>
  <si>
    <t>ARROYO PALOMAR #148, LOS RUISEÑORES, LOC. TALA, JALISCO C.P 45350</t>
  </si>
  <si>
    <t>gl503993@gmail.com</t>
  </si>
  <si>
    <t xml:space="preserve">MARIA RAMONA BERENICE JAUREGUI </t>
  </si>
  <si>
    <t xml:space="preserve">TALA </t>
  </si>
  <si>
    <t>33 398 35 66 60</t>
  </si>
  <si>
    <t xml:space="preserve">SANTOS </t>
  </si>
  <si>
    <t xml:space="preserve">CALDERON </t>
  </si>
  <si>
    <t xml:space="preserve">HECTOR JONATHAN </t>
  </si>
  <si>
    <t>SACH980520I4A</t>
  </si>
  <si>
    <t>MICHOACAN #12, CERRITO, LOC. EL REFUGIO,  JALISCO C.P 45310</t>
  </si>
  <si>
    <t>333 935 66 60</t>
  </si>
  <si>
    <t>384 115 35 60</t>
  </si>
  <si>
    <t>hectorlokote708@gmail.com</t>
  </si>
  <si>
    <t xml:space="preserve">HUGO SANTOS NAVARRO </t>
  </si>
  <si>
    <t xml:space="preserve">MICHOACAN </t>
  </si>
  <si>
    <t xml:space="preserve">JALISCO </t>
  </si>
  <si>
    <t>332 175 00 10</t>
  </si>
  <si>
    <t>CONS-949</t>
  </si>
  <si>
    <t>BIZARRAGA</t>
  </si>
  <si>
    <t xml:space="preserve">JOSE FRANCISCO </t>
  </si>
  <si>
    <t>HEBF0009124D5</t>
  </si>
  <si>
    <t>PRIVADA DE LUIS DONALDO C, #11, SAN MARTIN, EL REFUGIO CD FER, SAN LUIS POTOSI, C.P 79650</t>
  </si>
  <si>
    <t>MONTACARGUISTA 5</t>
  </si>
  <si>
    <t>jfranciscohdz986@gmail.com</t>
  </si>
  <si>
    <t xml:space="preserve">JOAQUIN HERNANDEZ RANGEL </t>
  </si>
  <si>
    <t>487 107 19 21</t>
  </si>
  <si>
    <t>487 140 94 69</t>
  </si>
  <si>
    <t>ABASOLO,</t>
  </si>
  <si>
    <t>SALCEDO</t>
  </si>
  <si>
    <t>CONS-950</t>
  </si>
  <si>
    <t>GAGJ930605HJCRNR08</t>
  </si>
  <si>
    <t>GAGJ930605LQ7</t>
  </si>
  <si>
    <t>PAGANNI 3A, LA MORA, CUISILLOS, JALISCO C.P 45310</t>
  </si>
  <si>
    <t>384 115 05 88</t>
  </si>
  <si>
    <t xml:space="preserve">garciajairojosue477@gmail.com </t>
  </si>
  <si>
    <t xml:space="preserve">ANADORAMAR DE JESUS SANCHEZ RIOS </t>
  </si>
  <si>
    <t xml:space="preserve">ESPOSA </t>
  </si>
  <si>
    <t xml:space="preserve">LEONA VICARIO </t>
  </si>
  <si>
    <t>384 117 74 31</t>
  </si>
  <si>
    <t xml:space="preserve">FEMENINO </t>
  </si>
  <si>
    <t xml:space="preserve">MACULINO </t>
  </si>
  <si>
    <t xml:space="preserve">4 MESES </t>
  </si>
  <si>
    <t>CONS-951</t>
  </si>
  <si>
    <t xml:space="preserve">RENDON </t>
  </si>
  <si>
    <t xml:space="preserve">VICTOR DAVID </t>
  </si>
  <si>
    <t>LORV900225H6A</t>
  </si>
  <si>
    <t>ARROYO SALVIAL #425, RUISEÑORES, TALA, JALISCO C.P 45350</t>
  </si>
  <si>
    <t>981 430 82 81</t>
  </si>
  <si>
    <t xml:space="preserve">lopezdavid952@gmail.com </t>
  </si>
  <si>
    <t xml:space="preserve">ROSA MARIA SANDOVAL MONREAL </t>
  </si>
  <si>
    <t>CALZADA LOS PINOS</t>
  </si>
  <si>
    <t xml:space="preserve">ROSA MARIA SANDOVAL MONTREAL </t>
  </si>
  <si>
    <t>331 499 90 08</t>
  </si>
  <si>
    <t>CHOFER 6</t>
  </si>
  <si>
    <t>CONS-952</t>
  </si>
  <si>
    <t xml:space="preserve">COLUNGA </t>
  </si>
  <si>
    <t xml:space="preserve">LUIS GERARDO </t>
  </si>
  <si>
    <t>MACL960926C6A</t>
  </si>
  <si>
    <t>CONSUELO #201, SOLEDAD DE GRACIANO SANCHEZ, SAN LUIS POTOSI, C.P 78430</t>
  </si>
  <si>
    <t xml:space="preserve">CHOFER </t>
  </si>
  <si>
    <t>444 109 65 17</t>
  </si>
  <si>
    <t>luisgerardomtz23@gmail.com</t>
  </si>
  <si>
    <t xml:space="preserve">JUANA COLUNGA ORDAZ </t>
  </si>
  <si>
    <t>CARRETERA A PEÑASCO</t>
  </si>
  <si>
    <t xml:space="preserve">MILPILLAS </t>
  </si>
  <si>
    <t xml:space="preserve">ANA CRISTINA MARTINEZ COLUNGA </t>
  </si>
  <si>
    <t>444 725 29 73</t>
  </si>
  <si>
    <t>TRAM-1134</t>
  </si>
  <si>
    <t>03149660098</t>
  </si>
  <si>
    <t xml:space="preserve">LUIS HUMBERTO </t>
  </si>
  <si>
    <t>ROGL960502535</t>
  </si>
  <si>
    <t>BOSQUES DE ALTAMIRA #108, BOSQUES DE ORIENTE, SOLEDAD DE GRACINO SANCHEZ, S.L.P, C.P 78438</t>
  </si>
  <si>
    <t xml:space="preserve">SOLDADOR </t>
  </si>
  <si>
    <t>444 213 53 01</t>
  </si>
  <si>
    <t>luishumberto_96@outlook.com</t>
  </si>
  <si>
    <t xml:space="preserve">VERONICA GARCIA ALANIZ </t>
  </si>
  <si>
    <t xml:space="preserve">BOSQUES DE ALTAMIRA </t>
  </si>
  <si>
    <t xml:space="preserve">MADRE </t>
  </si>
  <si>
    <t>444 342 74 27</t>
  </si>
  <si>
    <t xml:space="preserve">NEGADAS </t>
  </si>
  <si>
    <t>CONS-625</t>
  </si>
  <si>
    <t>CISNEROS</t>
  </si>
  <si>
    <t>DIEGO ERNESTO</t>
  </si>
  <si>
    <t>CIJD041107LJ6</t>
  </si>
  <si>
    <t>APOLO M15L1, LUIS CORDOBA REYES, SAN LUIS POTOSÍ, S.L.P., C.P. 00000</t>
  </si>
  <si>
    <t>444 125 16 49</t>
  </si>
  <si>
    <t>dc9779037@gmail.com</t>
  </si>
  <si>
    <t>MARIA GUADALUPE JIMENEZ CASTRO</t>
  </si>
  <si>
    <t>NOGAL, TLAXCALA</t>
  </si>
  <si>
    <t>444 141 11 21</t>
  </si>
  <si>
    <t>JUAN JOSE URIEL</t>
  </si>
  <si>
    <t>TORJ0407194EA</t>
  </si>
  <si>
    <t>3RA AVENIDA 310 A, SATELITE DEL NORTE 2EC, SALINAS VICTORIA N.L,N.L, C.P. 65510</t>
  </si>
  <si>
    <t>812 575 74 05</t>
  </si>
  <si>
    <t>juanurieltr@icloud.com</t>
  </si>
  <si>
    <t>SANDRA ELIZABETH RUIZ ESQUIVEL</t>
  </si>
  <si>
    <t>3ERA AVENIDA, CIUDAD SATELITE DEL NORTE</t>
  </si>
  <si>
    <t>811 684 01 64</t>
  </si>
  <si>
    <t>XIMENA LUNA VAZQUEZ</t>
  </si>
  <si>
    <t>CONS-587</t>
  </si>
  <si>
    <t xml:space="preserve">CUEVAS </t>
  </si>
  <si>
    <t>SANTIAGO DANIEL</t>
  </si>
  <si>
    <t>CUGS050315BP4</t>
  </si>
  <si>
    <t>CALLE LUIS J JIMENEZ 532, COL. CINCO DE MAYO 2A SECCION, GUADALAJARA, C.P. 4970</t>
  </si>
  <si>
    <t>331 923 46 70</t>
  </si>
  <si>
    <t>danielguillen2005@icloud.com</t>
  </si>
  <si>
    <t xml:space="preserve">ALEJANDRA BERENICE GUILLEN </t>
  </si>
  <si>
    <t>SANTA ROSA DE LIMA, ZAPOPAN</t>
  </si>
  <si>
    <t>ALEJANDRA BERENICE GUILLEN</t>
  </si>
  <si>
    <t>331 299 82 99</t>
  </si>
  <si>
    <t>DICO-953</t>
  </si>
  <si>
    <t>LAT-954</t>
  </si>
  <si>
    <t>SAJA890510HSPNMN03</t>
  </si>
  <si>
    <t>SAJA890510KC9</t>
  </si>
  <si>
    <t>FLAMINGOS 105, COL. JULIAS, SAN LUIS POTOSÍ, S.L.P., C.P. 78136</t>
  </si>
  <si>
    <t xml:space="preserve">44 45 97 76 83 </t>
  </si>
  <si>
    <t>trenzasnikes@gmail.com</t>
  </si>
  <si>
    <t>CAROLINA MARTINEZ RAMIREZ</t>
  </si>
  <si>
    <t>FLAMINGOS</t>
  </si>
  <si>
    <t>LAT-955</t>
  </si>
  <si>
    <t>LOMELI</t>
  </si>
  <si>
    <t xml:space="preserve">ADRIAN GERARDO </t>
  </si>
  <si>
    <t>LOHA780506HASMRD03</t>
  </si>
  <si>
    <t>LOHA780506NV3</t>
  </si>
  <si>
    <t>C PAVON 13, LOC PUERTO DE SAN JOSE, CERRITOS, S.L.P., C.P. 76402</t>
  </si>
  <si>
    <t>486 113 16 27</t>
  </si>
  <si>
    <t>lomeli.219k@gmail.com</t>
  </si>
  <si>
    <t>GLADIS ISELA GUARDIOLA DUQUE</t>
  </si>
  <si>
    <t>CARR MEXICO TOLUCA, PARQUE INDUSTRIAL LERMA</t>
  </si>
  <si>
    <t>KM 54</t>
  </si>
  <si>
    <t>LERMA</t>
  </si>
  <si>
    <t>449 570 86 86</t>
  </si>
  <si>
    <t>LAT-956</t>
  </si>
  <si>
    <t>TAVERA</t>
  </si>
  <si>
    <t>JOSE CRUZ</t>
  </si>
  <si>
    <t>TARC630504HSPVSR03</t>
  </si>
  <si>
    <t>TARC630504TX1</t>
  </si>
  <si>
    <t>CTO SANTA TERESA 208,SANTO TOMAS, SOLEDAD DE GRACIANO SANCHEZ, S.L.P., C.P.78433</t>
  </si>
  <si>
    <t>CARR TECNICA</t>
  </si>
  <si>
    <t>44 44 49 80 97</t>
  </si>
  <si>
    <t>rtavera631@gmail.com</t>
  </si>
  <si>
    <t xml:space="preserve">ARACELI VAZQUEZ TORRES </t>
  </si>
  <si>
    <t>NATLACIUHATZIN, RETORNOS</t>
  </si>
  <si>
    <t>ARACELI VAZQUEZ TORRES</t>
  </si>
  <si>
    <t>44 43 15 38 86</t>
  </si>
  <si>
    <t>CONT-907</t>
  </si>
  <si>
    <t>REGALADO</t>
  </si>
  <si>
    <t>CRISTOBAL FERNANDO</t>
  </si>
  <si>
    <t>REMC980710HSPGRR08</t>
  </si>
  <si>
    <t>REMC9807104J8</t>
  </si>
  <si>
    <t>PLAN DE SAN LUIS 166, BARRIO DE SANTIAGO, SAN LUIS POTOSÍ, S.L.P., C.P. 78049</t>
  </si>
  <si>
    <t>UNIVERSIDAD</t>
  </si>
  <si>
    <t xml:space="preserve">ANALISTA DE CONTROL DE COMBUSTIBLE </t>
  </si>
  <si>
    <t>444 532 75 40</t>
  </si>
  <si>
    <t>fer.ub1998@outlook.es</t>
  </si>
  <si>
    <t>BRENDA DAYANA VAZQUEZ MARTINEZ</t>
  </si>
  <si>
    <t>PLAN DE SAN LUIS, SAN LUIS POTOSÍ</t>
  </si>
  <si>
    <t>444 548 9168</t>
  </si>
  <si>
    <t>04028478941</t>
  </si>
  <si>
    <t>COSME</t>
  </si>
  <si>
    <t>DOSITEO</t>
  </si>
  <si>
    <t>COGD850414HPLSMS07</t>
  </si>
  <si>
    <t>COGD850414GCA</t>
  </si>
  <si>
    <t>GANADEROS 19, VISTAS DEL PEDREGAL, PEDREGAL DE SANTA MA, JALISCO,C.P.45430</t>
  </si>
  <si>
    <t>333 807 23 26</t>
  </si>
  <si>
    <t>ddgo14@hotmail.com</t>
  </si>
  <si>
    <t>ALMA ROSA FLORES SANTOS</t>
  </si>
  <si>
    <t>NEXTENGO, AZCAPOTZALCO</t>
  </si>
  <si>
    <t>332 241 28 37</t>
  </si>
  <si>
    <t>PALACIOS</t>
  </si>
  <si>
    <t>EAPM9008024J6</t>
  </si>
  <si>
    <t>JORGE EUGEL 490, SOLEDAD DE GRACIANO SANCHEZ, S.L.P.,C.P.490</t>
  </si>
  <si>
    <t>ANALISTA SR DE ATRACCIÓN DE TALENTO</t>
  </si>
  <si>
    <t>444 423 7290</t>
  </si>
  <si>
    <t>miguelescalante897@hotmail.com</t>
  </si>
  <si>
    <t>PAOLA ITZAMARA ESCALANTE PALACIOS</t>
  </si>
  <si>
    <t>CAMELINAS, LAS AMERICAS</t>
  </si>
  <si>
    <t>LUIS ENRIQUE ESCALANTE PALACIOS</t>
  </si>
  <si>
    <t>444 2769018</t>
  </si>
  <si>
    <t>TRAM-1149</t>
  </si>
  <si>
    <t>TRAM-234</t>
  </si>
  <si>
    <t>DICO-957</t>
  </si>
  <si>
    <t>CONS-958</t>
  </si>
  <si>
    <t xml:space="preserve">MORALES </t>
  </si>
  <si>
    <t xml:space="preserve">BARRON </t>
  </si>
  <si>
    <t>MOBA940630HSPRRR08</t>
  </si>
  <si>
    <t>MOBA940630N3A</t>
  </si>
  <si>
    <t>EJIDO EL ZOCOHUITE, EL ZOCOHUITE, S.L.P, C.P. 79250</t>
  </si>
  <si>
    <t>481 119 74 71</t>
  </si>
  <si>
    <t>BRENDA PAOLA MARTINEZ JUAREZ</t>
  </si>
  <si>
    <t>JOSE MA PINO SUAREZ</t>
  </si>
  <si>
    <t>TRAM-1154</t>
  </si>
  <si>
    <t>PEÑA</t>
  </si>
  <si>
    <t>ROSA ANGELICA</t>
  </si>
  <si>
    <t>TOPR860522MQTRXS08</t>
  </si>
  <si>
    <t>TOPR8605223R7</t>
  </si>
  <si>
    <t>M AVILA CAMACHO 1125, SAN ANTONIO, SOLEDAD DE GRACIANO SANCHEZ, S.L.P., C.P. 78436</t>
  </si>
  <si>
    <t>444 845 5865</t>
  </si>
  <si>
    <t>angelikdelatorre@hotmail.com</t>
  </si>
  <si>
    <t>JOSE FINA PEÑA HERNANDEZ</t>
  </si>
  <si>
    <t>MANUEL AVILA CAMACHO</t>
  </si>
  <si>
    <t>444 511 36 07</t>
  </si>
  <si>
    <t>CONS-959</t>
  </si>
  <si>
    <t>GOPJ920730HSPNXL08</t>
  </si>
  <si>
    <t>GOPJ920730FW5</t>
  </si>
  <si>
    <t>HACIENDA EL SAUCILLO SN, FRACC DR. GABRIEL MTZ, RIO VERDE, SAN LUIS POTOSÍ, C.P. 79610</t>
  </si>
  <si>
    <t>487 144 24 13</t>
  </si>
  <si>
    <t>jglz19927@gmail.com</t>
  </si>
  <si>
    <t>ALMA DELIA CASTRO PEREZ</t>
  </si>
  <si>
    <t>487 114 55 63</t>
  </si>
  <si>
    <t>LAT-960</t>
  </si>
  <si>
    <t>LUNA</t>
  </si>
  <si>
    <t>ELIAS FRANCISCO</t>
  </si>
  <si>
    <t>LUPE070927HVZNRLA0</t>
  </si>
  <si>
    <t>LUPE0709278RA</t>
  </si>
  <si>
    <t>PALMERAL  NO. 0532 A, FRACC MISION DEL PALMAR , SAN LUIS POTOSÍ, S.L.P., C.P. 78394</t>
  </si>
  <si>
    <t>56 32 46 78 09</t>
  </si>
  <si>
    <t>elinperezlunafran.55@gmail.com</t>
  </si>
  <si>
    <t>SAN FRANCISCO TEPOJACO, CUAUTITLAN IZCALLI</t>
  </si>
  <si>
    <t>782 101 63 49</t>
  </si>
  <si>
    <t>CONS-961</t>
  </si>
  <si>
    <t>ALTAMIRA</t>
  </si>
  <si>
    <t>BRENDA YEDID</t>
  </si>
  <si>
    <t>HEAB860425MASRLR04</t>
  </si>
  <si>
    <t>HEAB860425UB4</t>
  </si>
  <si>
    <t>CIRCUITO BALEARES 277, FRACC BARLOVENTO, AGUASCALIENTES, AGS, C.P. 20286</t>
  </si>
  <si>
    <t>449 147 75 40</t>
  </si>
  <si>
    <t>yedid09.yh@gmail.com</t>
  </si>
  <si>
    <t>JOSE FABIAN BAÑOS RAMIREZ</t>
  </si>
  <si>
    <t>AV AGUASCALIENTES PTE, PRIMO VERDAD</t>
  </si>
  <si>
    <t>446 102 76 18</t>
  </si>
  <si>
    <t>LAT-962</t>
  </si>
  <si>
    <t>LAT-963</t>
  </si>
  <si>
    <t>08148665469</t>
  </si>
  <si>
    <t>AGUNDIS</t>
  </si>
  <si>
    <t>AULO860508HSPGRM02</t>
  </si>
  <si>
    <t>AULO860508958</t>
  </si>
  <si>
    <t>CTO SAN BAUTISTA 128 C, LA VIRGEN, SOLEDAD DE GRACIANO SANCHEZ, S.L.P., C.P. 78430</t>
  </si>
  <si>
    <t>44 44 49 70 75</t>
  </si>
  <si>
    <t>omaragundiz1@hotmail.com</t>
  </si>
  <si>
    <t>JESSICA JAZMIN ANAYA LOPEZ</t>
  </si>
  <si>
    <t>GENOVEVO RIVAS GUILLEN, SOLEDAD DE GRACIANO SANCHEZ</t>
  </si>
  <si>
    <t>3645 A</t>
  </si>
  <si>
    <t>JASSICA JAZMIN ANAYA LOPEZ</t>
  </si>
  <si>
    <t>ZACARIAS</t>
  </si>
  <si>
    <t>ERICK ADRIAN</t>
  </si>
  <si>
    <t>CAZE041221HSPSCRA1</t>
  </si>
  <si>
    <t>CAZE0412216Y3</t>
  </si>
  <si>
    <t>ALFAREROS 17, COL LOMAS DE LOS FILTROS, SAN LUIS POTOSÍ, S.L.P., C.P. 78180</t>
  </si>
  <si>
    <t>erickadrian913mv@gmail.com</t>
  </si>
  <si>
    <t>MICHELLE MERCADO MARTINEZ</t>
  </si>
  <si>
    <t>VALENTIN SOTO GAMA, MATEHUALA</t>
  </si>
  <si>
    <t>56 50 36 18 40</t>
  </si>
  <si>
    <t>A-</t>
  </si>
  <si>
    <t>CONS-964</t>
  </si>
  <si>
    <t>VIVAR</t>
  </si>
  <si>
    <t>OSCAR AARON</t>
  </si>
  <si>
    <t>VIMO990910HCHVNS08</t>
  </si>
  <si>
    <t>VIMO990910HP2</t>
  </si>
  <si>
    <t>SALAMANCA NO. 132, COL. ESPAÑA, AGUASCALIENTES, AGS, C.P. 20210</t>
  </si>
  <si>
    <t>229 343 53 20</t>
  </si>
  <si>
    <t>montoyaaaron@gmail.com</t>
  </si>
  <si>
    <t>GRISELDA MONTOYA PEREZ</t>
  </si>
  <si>
    <t>NATURAL, BOCA DEL RIO CENTRO</t>
  </si>
  <si>
    <t>BOCA DEL RIO</t>
  </si>
  <si>
    <t>229 173 03 40</t>
  </si>
  <si>
    <t>LAT-965</t>
  </si>
  <si>
    <t>LAT-966</t>
  </si>
  <si>
    <t>ABRAHAM MISAEL</t>
  </si>
  <si>
    <t>MEBA920125HNLDRB09</t>
  </si>
  <si>
    <t>MRBA9201252G1</t>
  </si>
  <si>
    <t>EMILIANO ZAPATA 1 A, CERRITOS, S.L.P., C.P. 79440</t>
  </si>
  <si>
    <t>31 3958 11 22</t>
  </si>
  <si>
    <t>misaelmedinabarron1@gmail.com</t>
  </si>
  <si>
    <t>MERARY DANIELA JIMENEZ</t>
  </si>
  <si>
    <t>EMILIANO ZAPATA, OTRA NO ESPECIFICADA EN EL CATALOGO</t>
  </si>
  <si>
    <t>486 102 29 76</t>
  </si>
  <si>
    <t>JARA</t>
  </si>
  <si>
    <t>SOLANO</t>
  </si>
  <si>
    <t>JONATHAN JESUS</t>
  </si>
  <si>
    <t>JASJ040818HSPRLNA9</t>
  </si>
  <si>
    <t>JASJ0408185L1</t>
  </si>
  <si>
    <t>CIRCUITO OROZCO 64, FRACC EL FORTIN, CERRITOS, S.L.P., C.P. 79402</t>
  </si>
  <si>
    <t>444 220 72 94</t>
  </si>
  <si>
    <t>jonathanjesusj60@gmail.com</t>
  </si>
  <si>
    <t>LAURA AZUCENA SOLANO RUIZ</t>
  </si>
  <si>
    <t>CIRCUITO OROZCO, EL FORTIN</t>
  </si>
  <si>
    <t>486 108 1039</t>
  </si>
  <si>
    <t>CONS-967</t>
  </si>
  <si>
    <t>BEAS</t>
  </si>
  <si>
    <t>GERARDO JESUS</t>
  </si>
  <si>
    <t>BEJG970816HJCSCR03</t>
  </si>
  <si>
    <t>BEJG9708161R4</t>
  </si>
  <si>
    <t>8 DE JULIO 52 BIS, BARRIO EL VENADO, TALA, JALISCO, C.P. 45300</t>
  </si>
  <si>
    <t>AYUDANTE GENERAL  6</t>
  </si>
  <si>
    <t>384 135 97 13</t>
  </si>
  <si>
    <t>gerardojesusbeasjacobo@gmail.com</t>
  </si>
  <si>
    <t>FATIMA GUADALUPE BEAS JACOBO</t>
  </si>
  <si>
    <t>8 DE JULIO, TALA CENTRO</t>
  </si>
  <si>
    <t>384 738 40 42</t>
  </si>
  <si>
    <t>CONS-968</t>
  </si>
  <si>
    <t>05169760476</t>
  </si>
  <si>
    <t>JAVIER ANTONIO</t>
  </si>
  <si>
    <t>RIVJ970228HSPVZV07</t>
  </si>
  <si>
    <t>RIVJ9702283R8</t>
  </si>
  <si>
    <t>EMILIANO ZAPATA #320, FRACC MILPILLAS, S.L.P., C.P. 79575</t>
  </si>
  <si>
    <t>444 339 3530</t>
  </si>
  <si>
    <t>javierriveravazquez2014@gmail.com</t>
  </si>
  <si>
    <t>ROSA VAZQUEZ GARCÍA</t>
  </si>
  <si>
    <t>EMILIANO ZAPATA,MILPILLAS</t>
  </si>
  <si>
    <t>ROSA VAZQUEZ GARCPIA</t>
  </si>
  <si>
    <t>444 606 95 86</t>
  </si>
  <si>
    <t>LAT-969</t>
  </si>
  <si>
    <t>SALDIERNA</t>
  </si>
  <si>
    <t>DANIELA ADRIANA</t>
  </si>
  <si>
    <t>JUSD761201MSPRLN05</t>
  </si>
  <si>
    <t>JUSD761201EWA</t>
  </si>
  <si>
    <t>PUERTO LIMON 214, VILLAS DEL SOL, SAN LUIS POTOSÍ, SLP, C.P. 78390</t>
  </si>
  <si>
    <t>TECNICO</t>
  </si>
  <si>
    <t>FACTURISTA</t>
  </si>
  <si>
    <t>dajusa_761201@hotmail.com</t>
  </si>
  <si>
    <t>ARTURO COLORADO JUAREZ</t>
  </si>
  <si>
    <t>1 PRIVADA DE CONSTITUCIÓN, JULIAN CARRILLO</t>
  </si>
  <si>
    <t>444 202 35 08</t>
  </si>
  <si>
    <t>07/11/20253</t>
  </si>
  <si>
    <t>JONATHAN ALEJANDRO</t>
  </si>
  <si>
    <t>TEDJ041201HJCLLNA5</t>
  </si>
  <si>
    <t>TEDJ041201HU8</t>
  </si>
  <si>
    <t>FRANCISCO VILLA 20 B, LOMAS DEL BATAN, ZAPOPAN, JALISCO, C.P.45190</t>
  </si>
  <si>
    <t>332 66371 46</t>
  </si>
  <si>
    <t>jonathan_tello@icloud.com</t>
  </si>
  <si>
    <t>JENIFER MONSERRAT GARCÍA DIAZ</t>
  </si>
  <si>
    <t>16 DE SEPTIEMBRE, TOLUQUILLA</t>
  </si>
  <si>
    <t>JENIFER MONSERRAT GARCIA DIAZ</t>
  </si>
  <si>
    <t>332 540 49 55</t>
  </si>
  <si>
    <t xml:space="preserve">6 MESES </t>
  </si>
  <si>
    <t>LAT-971</t>
  </si>
  <si>
    <t>ANDRES</t>
  </si>
  <si>
    <t>DEGA731125HSPLRN06</t>
  </si>
  <si>
    <t>DEGA731125MP8</t>
  </si>
  <si>
    <t>CTO SAN AUGUSTO 33, SOLEDAD DE GRACIANO SANCHEZ, SLP, C.P. 78430</t>
  </si>
  <si>
    <t>PROFESIONAL</t>
  </si>
  <si>
    <t>44 42 30 78 47</t>
  </si>
  <si>
    <t>director.dga@gmail.com</t>
  </si>
  <si>
    <t>LIDIA ALMA GUERRERO ESPARZA</t>
  </si>
  <si>
    <t>CAMINO REAL PROVIDENCIA, SAN FRANCISCO</t>
  </si>
  <si>
    <t>DIEGO DELGADILLO MORAN</t>
  </si>
  <si>
    <t>444 443 46 09</t>
  </si>
  <si>
    <t>CONS-972</t>
  </si>
  <si>
    <t>EVELIO</t>
  </si>
  <si>
    <t>RECE860714HSPYSV01</t>
  </si>
  <si>
    <t>RECE860714L65</t>
  </si>
  <si>
    <t>ALEMANIA 304, COL LAZARO CARDENAS, CIUDAD VALLES, SLP, C.P. 79020</t>
  </si>
  <si>
    <t>481 387 60 32</t>
  </si>
  <si>
    <t xml:space="preserve">GLORIA MEDINA MARQUEZ </t>
  </si>
  <si>
    <t>FRANCISCO DEL PASO Y TRONCOSO, JARDIN BALBUENA</t>
  </si>
  <si>
    <t>VENUSTIANO CARRANZA</t>
  </si>
  <si>
    <t>GLORIA MEDINA MARQUEZ</t>
  </si>
  <si>
    <t>eveliodulcecastillo@gmail.com</t>
  </si>
  <si>
    <t>CONS-973</t>
  </si>
  <si>
    <t>SANTIAGO DE JESUS</t>
  </si>
  <si>
    <t>NAMS071010HSPVNNA0</t>
  </si>
  <si>
    <t>NAMS071010RH7</t>
  </si>
  <si>
    <t>CALLE 5 PRIV DL SOLEDAD 138, LA VIRGEN, SOLEDAD DE GRACIANO SANCHEZ, SLP,C.P.78430</t>
  </si>
  <si>
    <t>44 46 89 38 56</t>
  </si>
  <si>
    <t>santynavarro943@gmail.com</t>
  </si>
  <si>
    <t>RENE NAVARRO CARRILLO</t>
  </si>
  <si>
    <t>5 PRIVADA DE LA SOLEDAD</t>
  </si>
  <si>
    <t>444 322 63 58</t>
  </si>
  <si>
    <t>CONS-974</t>
  </si>
  <si>
    <t>HECTOR FABIAN</t>
  </si>
  <si>
    <t>SAGH030307HSPLLCA2</t>
  </si>
  <si>
    <t>SAGH030307SD5</t>
  </si>
  <si>
    <t>PEDRO DE GANTE 530, SOLEDAD DE GRACIANO SANCHEZ, SLP, C.P.78430</t>
  </si>
  <si>
    <t>720 145 10 19</t>
  </si>
  <si>
    <t>hectorfabiansalazar134@gmail.com</t>
  </si>
  <si>
    <t>LUZ MARIA GALAVIZ MARTINEZ</t>
  </si>
  <si>
    <t>C PEDRO DE GANTE, COL EXPROPIACION PETROLERA</t>
  </si>
  <si>
    <t>444 942 21296</t>
  </si>
  <si>
    <t>LAT-975</t>
  </si>
  <si>
    <t>VALERIO</t>
  </si>
  <si>
    <t>VALENTÍN</t>
  </si>
  <si>
    <t>HEVV880718HSPRLL07</t>
  </si>
  <si>
    <t>HEVV880718NS5</t>
  </si>
  <si>
    <t>3 DE MAYO 270, S/N MARCOS DE CARMON, SLP, C.P., 78480</t>
  </si>
  <si>
    <t>44 44 70 10 81</t>
  </si>
  <si>
    <t>fernandezvalerio1807@gmail.com</t>
  </si>
  <si>
    <t>ALONSO GARCIA SILVANA</t>
  </si>
  <si>
    <t>3 DE MAYO, OTRA NO ESPECIFICADA EN EL CATALOGO</t>
  </si>
  <si>
    <t>44 43 01 36 99</t>
  </si>
  <si>
    <t>LAT-976</t>
  </si>
  <si>
    <t>JESUS ALEJANDRO</t>
  </si>
  <si>
    <t>CEHJ971128HSPDRS08</t>
  </si>
  <si>
    <t>CEHJ9711281M6</t>
  </si>
  <si>
    <t>CALLE 101 #1017, VILLAS DEL SOL, SAN LUIS POTOSI, SLP, C.P., 78390</t>
  </si>
  <si>
    <t>31 161 30959</t>
  </si>
  <si>
    <t>jc0604111@gmail.com</t>
  </si>
  <si>
    <t>MARIA ELENA HERNANDEZ JUACHE</t>
  </si>
  <si>
    <t>101, LAS MERCEDES</t>
  </si>
  <si>
    <t>44 45 11 52 07</t>
  </si>
  <si>
    <t>FOFR911017HNLLLC03</t>
  </si>
  <si>
    <t>FOFR911017TM7</t>
  </si>
  <si>
    <t>CAM ANT A ESTANZUELA 47, LOS RODRIGUEZ, LP, C.P. 78480</t>
  </si>
  <si>
    <t>444 202 95 58</t>
  </si>
  <si>
    <t>ricardoffls17@gmail.com</t>
  </si>
  <si>
    <t>MELINA ESPITIA OMAÑA</t>
  </si>
  <si>
    <t>MANUEL DOBLADO, PLAN PONCIANO ARRIAGA</t>
  </si>
  <si>
    <t>444 214 06 97</t>
  </si>
  <si>
    <t>DESCONOCIDO</t>
  </si>
  <si>
    <t>TRAM-1165</t>
  </si>
  <si>
    <t>811*</t>
  </si>
  <si>
    <t>832*</t>
  </si>
  <si>
    <t>´03230646816</t>
  </si>
  <si>
    <t>GUIZAR</t>
  </si>
  <si>
    <t>CAMARILLO</t>
  </si>
  <si>
    <t>ULISES HILARIO</t>
  </si>
  <si>
    <t>ARROYO DEL BRONCE 219, RUISENORES, TALA JALISCO, C.P.45350</t>
  </si>
  <si>
    <t>335 109 55 32</t>
  </si>
  <si>
    <t>uliseshilariog585@gmail.com</t>
  </si>
  <si>
    <t>MARIA DE LOS ANGELES CAMARILLO SAUCEDO</t>
  </si>
  <si>
    <t>CALLE AROYO DEL BRONCE, LOS RUISEÑORES</t>
  </si>
  <si>
    <t>MARIA DE LOS ANGELES CAMARILO SAUCEDO</t>
  </si>
  <si>
    <t>GUCU060818HJCZMLA8</t>
  </si>
  <si>
    <t>GUCU060818R39</t>
  </si>
  <si>
    <t>CONS-977</t>
  </si>
  <si>
    <t>333 477 59 59</t>
  </si>
  <si>
    <t>adriansantacruz81@gmail.com</t>
  </si>
  <si>
    <t>ADRIANA BERENICE SANTACRUZ RUIZ</t>
  </si>
  <si>
    <t>ARROYO DEL COTORRO, LOS RUISEÑORES</t>
  </si>
  <si>
    <t>IZAGUIRRE</t>
  </si>
  <si>
    <t>MAGDALENO CEDILLO 305, SOLEDAD DE GRACIANO SANCHEZ, SLP, C.P. 78430</t>
  </si>
  <si>
    <t>44 47 02 55 80</t>
  </si>
  <si>
    <t>MARIA DEL CARMEN SANTILLAN</t>
  </si>
  <si>
    <t>MAGDALENO CEDILLO, SOLEDAD DE GRACIANO SANCHEZ</t>
  </si>
  <si>
    <t xml:space="preserve">MARIA DEL CARMEN SANTILLAN </t>
  </si>
  <si>
    <t>44 45 42 85 14</t>
  </si>
  <si>
    <t>´02200129506</t>
  </si>
  <si>
    <t>JOJAN FELIPE</t>
  </si>
  <si>
    <t>PELJ010816HJCRPJA6</t>
  </si>
  <si>
    <t>PELJ0108169J1</t>
  </si>
  <si>
    <t>JUAN ESCUTIA 508 B, EX HACIENDA EL CASTILLO, JALISCO, C.P. 45686</t>
  </si>
  <si>
    <t>IVAN EDUARDO PEREZ LOPEZ</t>
  </si>
  <si>
    <t>MORELOS, EL CASTILLO</t>
  </si>
  <si>
    <t>JENNIFER CITLALLI IBARRA VILA</t>
  </si>
  <si>
    <t>331 583 12 87</t>
  </si>
  <si>
    <t>LAT-979</t>
  </si>
  <si>
    <t>LAT-980</t>
  </si>
  <si>
    <t>LAT-981</t>
  </si>
  <si>
    <t>CONS-982</t>
  </si>
  <si>
    <t>´05139215247</t>
  </si>
  <si>
    <t>CEPEDA</t>
  </si>
  <si>
    <t>ALAN GERARDO</t>
  </si>
  <si>
    <t>CXCA921216HSPSPL07</t>
  </si>
  <si>
    <t>CACX921216EM0</t>
  </si>
  <si>
    <t>SAN RAUL 106, FRACC VALLE DE SAN ISIDRO, SOLEDAD DE GRACIANO SANCHEZ, SLP, C.P. 78435</t>
  </si>
  <si>
    <t>444 321 4712</t>
  </si>
  <si>
    <t>alan.g.caztro@hotmail.com</t>
  </si>
  <si>
    <t>ZAHID TORRES SANCHEZ</t>
  </si>
  <si>
    <t>CORONEL ONTAÑON, SAN MIGUELITO</t>
  </si>
  <si>
    <t>444 300 9471</t>
  </si>
  <si>
    <t>P+</t>
  </si>
  <si>
    <t>CURTO</t>
  </si>
  <si>
    <t>LOCL811226HDFZRS01</t>
  </si>
  <si>
    <t>LOCL811226JJ1</t>
  </si>
  <si>
    <t>RINCON DE LA VICTORIA 816, RINCONADA DE LOS ANDES, SAN LUIS POTOSI, SLP, C.P. 78218</t>
  </si>
  <si>
    <t>444 492 26 86</t>
  </si>
  <si>
    <t>curtodistribucion@live.com.mx</t>
  </si>
  <si>
    <t>DENISSE ARLETTE OVALLE ARREDONDO</t>
  </si>
  <si>
    <t>AVENIDA HIMNO NACIONAL, SAN LUIS POTOSI</t>
  </si>
  <si>
    <t>444 317 55 22</t>
  </si>
  <si>
    <t>CASIANO</t>
  </si>
  <si>
    <t>VICTOR ALEJANDRO</t>
  </si>
  <si>
    <t>CAMV971206HTSSRC04</t>
  </si>
  <si>
    <t>CAMV971206SN4</t>
  </si>
  <si>
    <t>AZUCENA 26, JARDINES DEL SOL, NAYARIT, C.P. 48902</t>
  </si>
  <si>
    <t>322 127 10 73</t>
  </si>
  <si>
    <t>am207517@gmail.com</t>
  </si>
  <si>
    <t>MARIA DEL RAYO MORENO QUINTANAR</t>
  </si>
  <si>
    <t>AZUCENA, BAHIA DE BANDERAS</t>
  </si>
  <si>
    <t>322 194 7862</t>
  </si>
  <si>
    <t>´06139886862</t>
  </si>
  <si>
    <t>MANUEL ALEJANDRO</t>
  </si>
  <si>
    <t>MALM980218HSPRPN06</t>
  </si>
  <si>
    <t>MALM980218D18</t>
  </si>
  <si>
    <t>SIERRA ENCANTADA 506 A, VILLA LOS CACTUS, SOLEDAD DE GRACIANO SANCHEZ, SLP. C.P. 78438</t>
  </si>
  <si>
    <t>444 374 06 49</t>
  </si>
  <si>
    <t>alejandro.martinez5h@gmail.com</t>
  </si>
  <si>
    <t>HERMELINDA LOPEZ VALERO</t>
  </si>
  <si>
    <t>SIERRA DE LA ENCANTADA, SOLEDAD DE GRACIANO SANCHEZ</t>
  </si>
  <si>
    <t>444 242 98 51</t>
  </si>
  <si>
    <t>ALFARO</t>
  </si>
  <si>
    <t>ARANZA DAMARI</t>
  </si>
  <si>
    <t>MOAA960515MJCRLR06</t>
  </si>
  <si>
    <t>MOAA9605155W6</t>
  </si>
  <si>
    <t>CALLE 1 130, INDUST AVIACION, SAN LUIS POTOSI, SLP, C.P. 78140</t>
  </si>
  <si>
    <t>ASISTENTE DE DIRECCIÓN</t>
  </si>
  <si>
    <t>444 600 23 18</t>
  </si>
  <si>
    <t>aranzadamarim@gmail.com</t>
  </si>
  <si>
    <t>ROBERTO MACIAS RANGEL</t>
  </si>
  <si>
    <t>ESPOSP</t>
  </si>
  <si>
    <t>444 597 49 83</t>
  </si>
  <si>
    <t>1, INDUSTRIAL AVIACION</t>
  </si>
  <si>
    <t>´04129634251</t>
  </si>
  <si>
    <t>MELENDEZ</t>
  </si>
  <si>
    <t>MEDM961015HJCLLS00</t>
  </si>
  <si>
    <t>MEDM9610159H6</t>
  </si>
  <si>
    <t>CALLE NICOLAS BRAVO 2, LAS JUNTITAS, SAN PEDRO TLAQUEPAQUE, CP.45590</t>
  </si>
  <si>
    <t>331 230 41 12</t>
  </si>
  <si>
    <t>misaelmelendez96@gmail.com</t>
  </si>
  <si>
    <t>MARISOL SEBASTIAN GABRIEL</t>
  </si>
  <si>
    <t>NICOLAS BRAVO, LAS JUNTITAS</t>
  </si>
  <si>
    <t>AZUCENA JASMIN MELENDEZ DELGADO</t>
  </si>
  <si>
    <t>333 721 21 85</t>
  </si>
  <si>
    <t>´04028663245</t>
  </si>
  <si>
    <t xml:space="preserve">SOTELO </t>
  </si>
  <si>
    <t>SOSS861207HNTTNR04</t>
  </si>
  <si>
    <t>SOSS861207HT9</t>
  </si>
  <si>
    <t>LAZARO CARDENAS 584, LAS JUNTAS, PUERTO VALLARTA, JALISCO, C.P. 48291</t>
  </si>
  <si>
    <t>322 242 06 54</t>
  </si>
  <si>
    <t>pesc020799@gmail.com</t>
  </si>
  <si>
    <t>CARMEN SANCHEZ PEREZ</t>
  </si>
  <si>
    <t>AV AGUAMILPA, CIUDAD INDUSTRIAL</t>
  </si>
  <si>
    <t>TEPIC</t>
  </si>
  <si>
    <t>322 190 63 00</t>
  </si>
  <si>
    <t>CONS-986</t>
  </si>
  <si>
    <t>HARO</t>
  </si>
  <si>
    <t>YOLANDA</t>
  </si>
  <si>
    <t>HAGY741002MJCRNL07</t>
  </si>
  <si>
    <t>HAGY7410021U3</t>
  </si>
  <si>
    <t>REAL DE LAS LIMAS 819, RESIDENCIAL LA SOLEDAD, TLAQUEPAQUE, JALISCO, C.P.45525</t>
  </si>
  <si>
    <t>33 29190475</t>
  </si>
  <si>
    <t>haroyolanda32@gmail.com</t>
  </si>
  <si>
    <t xml:space="preserve">Valentín Haro González </t>
  </si>
  <si>
    <t>AV SAN JACINTO, JARDINES DE LA PAZ</t>
  </si>
  <si>
    <t>LOCAL 2</t>
  </si>
  <si>
    <t>VALENTIN HARO GONZALEZ</t>
  </si>
  <si>
    <t>CONS-987</t>
  </si>
  <si>
    <t>BARAJAS</t>
  </si>
  <si>
    <t xml:space="preserve">MENDOZA </t>
  </si>
  <si>
    <t>SAMUEL ALEJANDRO</t>
  </si>
  <si>
    <t>BAMS050801HSPRNMA0</t>
  </si>
  <si>
    <t>BAMS0508014Q4</t>
  </si>
  <si>
    <t>VERACRUZ 101 A, REPUBLICA, MATEHUALA, C.P.78740</t>
  </si>
  <si>
    <t>488 1787822</t>
  </si>
  <si>
    <t>barajasmendozasamuelalejandro@gmail.com</t>
  </si>
  <si>
    <t>ESTHEFANI RODRIGUEZ MEDINA</t>
  </si>
  <si>
    <t>CROACIA, LAS MERCEDES II</t>
  </si>
  <si>
    <t>488 883 6041</t>
  </si>
  <si>
    <t>LAT-988</t>
  </si>
  <si>
    <t>SERRATOS</t>
  </si>
  <si>
    <t>SEML670216HNTRLS04</t>
  </si>
  <si>
    <t>SEML6702169T8</t>
  </si>
  <si>
    <t>OAXACA 148, MOJONERAS, PUERTO VALLARTA, JALISCO, C.P.48290</t>
  </si>
  <si>
    <t>322 7797814</t>
  </si>
  <si>
    <t>luisserratos25@gmail.com</t>
  </si>
  <si>
    <t>DORAELDA ESTRADA VIRGEN</t>
  </si>
  <si>
    <t>NICOLAS LEAÑO, ARCOS SUR</t>
  </si>
  <si>
    <t xml:space="preserve">GUADALUPE </t>
  </si>
  <si>
    <t>CONS-989</t>
  </si>
  <si>
    <t>BRANDON JESUS</t>
  </si>
  <si>
    <t>PAJB071020HSPDMRA8</t>
  </si>
  <si>
    <t>FERROCARRIL S/N, SAN FELIPE EJC, SAN FELIPE, SAN LUIS POTOSI, C.P.79250</t>
  </si>
  <si>
    <t>834 165 12 34</t>
  </si>
  <si>
    <t>Martha Adriana Padilla Jimenez</t>
  </si>
  <si>
    <t>MARTHA ADRIANA PADILLA JIMENEZ</t>
  </si>
  <si>
    <t>834 257 26 28</t>
  </si>
  <si>
    <t>PAJB071020GN2</t>
  </si>
  <si>
    <t>padillabrandon2345@gmail.com</t>
  </si>
  <si>
    <t>FERROCARIL, SAN FELIPE</t>
  </si>
  <si>
    <t>LAT-990</t>
  </si>
  <si>
    <t>ROMA900304HSPCRR03</t>
  </si>
  <si>
    <t>ROGA9003043K7</t>
  </si>
  <si>
    <t>JULIAN DE LOS REYES 135, COL VILLA DE POZOS, VILLA DE POZOZ, S.L.P., C.P. 78421</t>
  </si>
  <si>
    <t>44 42 39 74 82</t>
  </si>
  <si>
    <t>ADRIANA ISABEL LARA TAPIA</t>
  </si>
  <si>
    <t>EJE 132, ZONA INDUSTRIAL</t>
  </si>
  <si>
    <t>44 45 07 70 43</t>
  </si>
  <si>
    <t>CONS-991</t>
  </si>
  <si>
    <t>BAÑUELOS</t>
  </si>
  <si>
    <t>ANGEL DAVID</t>
  </si>
  <si>
    <t>BAMA980817HJCXLN05</t>
  </si>
  <si>
    <t>BAMA980817Q44</t>
  </si>
  <si>
    <t>ARROYO SEAMOUNT 245 B, RUISENORES TALA, JALISCO, C.P. 45350</t>
  </si>
  <si>
    <t>332 961 93 90</t>
  </si>
  <si>
    <t>davidbanuelos122@gmail.com</t>
  </si>
  <si>
    <t>LUZ ANDREA HERNANDEZ MONTESANO</t>
  </si>
  <si>
    <t>PRIVADA CONSTANCIO HERNANDEZ</t>
  </si>
  <si>
    <t>SAN JUAN DE OCOTAN</t>
  </si>
  <si>
    <t>DICO-978</t>
  </si>
  <si>
    <t>DICO-984</t>
  </si>
  <si>
    <t>LAT-985</t>
  </si>
  <si>
    <t>332 930 15 71</t>
  </si>
  <si>
    <t>DICO-992</t>
  </si>
  <si>
    <t xml:space="preserve">MIGUEL </t>
  </si>
  <si>
    <t>CUEVAS</t>
  </si>
  <si>
    <t>MICC951213HJCGVR01</t>
  </si>
  <si>
    <t>MICC951213BU6</t>
  </si>
  <si>
    <t>CANARIO 84 F, CIMA SERENAL, EL SALTO, JALISCO, C.P. 45685</t>
  </si>
  <si>
    <t>332 044 05 28</t>
  </si>
  <si>
    <t>carlosmiguel15991@gmail.com</t>
  </si>
  <si>
    <t>DANIELA MICHEL MIGUEL CUEVAS</t>
  </si>
  <si>
    <t>GONZALEZ GALLO, EL VERDE</t>
  </si>
  <si>
    <t xml:space="preserve">DANIELA MICHEL MIGUEL CUEVAS </t>
  </si>
  <si>
    <t>332 636 48 55</t>
  </si>
  <si>
    <t xml:space="preserve">10 M </t>
  </si>
  <si>
    <t>DICO-993</t>
  </si>
  <si>
    <t>04139552659</t>
  </si>
  <si>
    <t>OSCAR ALEXANDERS</t>
  </si>
  <si>
    <t>HEPO951227HJCRDS07</t>
  </si>
  <si>
    <t>HEPO951227FH6</t>
  </si>
  <si>
    <t>12 DE DICIEMBRE 2 A, EL VERDE, EL SALTO, JALISCO, C.P. 45694</t>
  </si>
  <si>
    <t>333 788 16 02</t>
  </si>
  <si>
    <t>oscaralexandershdz@gmail.com</t>
  </si>
  <si>
    <t>MARIA GUADALUPE PALOMINO HERNANDEZ</t>
  </si>
  <si>
    <t>SANTA CATALINA, NUEVA STA MARIA</t>
  </si>
  <si>
    <t>332 579 77 87</t>
  </si>
  <si>
    <t>CONS-994</t>
  </si>
  <si>
    <t>CONSUELO</t>
  </si>
  <si>
    <t>FOCD931030HMCLNV06</t>
  </si>
  <si>
    <t>FOCD931030DF4</t>
  </si>
  <si>
    <t>ANDORRA 60, LA CIMA, JALISCO, C.P., 45350</t>
  </si>
  <si>
    <t>331 966 47 08</t>
  </si>
  <si>
    <t>turboflorez76@gmail.com</t>
  </si>
  <si>
    <t>DANIELA MACIAS BUSTOS</t>
  </si>
  <si>
    <t>331 228 22 44</t>
  </si>
  <si>
    <t>SAN DIEGO, EL TEZAL</t>
  </si>
  <si>
    <t>CABO SAN LUCAS</t>
  </si>
  <si>
    <t>ZUSTAITA</t>
  </si>
  <si>
    <t>ZULS830526MSPSRN03</t>
  </si>
  <si>
    <t>ZULS830526EN8</t>
  </si>
  <si>
    <t>PRIV COXCATLAN 12, ESTRADA, SLP, C.P. 78432</t>
  </si>
  <si>
    <t>444 293 99 79</t>
  </si>
  <si>
    <t>zustaitalermasandra@gmail.com</t>
  </si>
  <si>
    <t>MENDOZA VAZQUEZ JUAN MIGUEL</t>
  </si>
  <si>
    <t>BLVD ADOLFO LOPEZ MATEOS, TLACOPAC</t>
  </si>
  <si>
    <t>444 311 47 94</t>
  </si>
  <si>
    <t>´01049</t>
  </si>
  <si>
    <t>TRAM-1186</t>
  </si>
  <si>
    <t>LAT-995</t>
  </si>
  <si>
    <t>ROPJ030101HSPDRRA5</t>
  </si>
  <si>
    <t>ROPJ030101TE6</t>
  </si>
  <si>
    <t>AV NICOLAS ZAPATA 355 INT 18, TEQUISQUIAPAN, SAN LUIS POTOSÍ, SLP, C.P. 78230</t>
  </si>
  <si>
    <t>415 216 58 95</t>
  </si>
  <si>
    <t>jorgerdzprec@gmail.com</t>
  </si>
  <si>
    <t>JORGE RODRIGUEZ SANDOVAL</t>
  </si>
  <si>
    <t>CRONOS, VILLA MAGNA</t>
  </si>
  <si>
    <t>JORGE RODRIGEZ SANDOVAL</t>
  </si>
  <si>
    <t>444 495 26 36</t>
  </si>
  <si>
    <t>LAT-996</t>
  </si>
  <si>
    <t xml:space="preserve">VAZQUEZ </t>
  </si>
  <si>
    <t>UZZIEL</t>
  </si>
  <si>
    <t>VASU970816HMNZNZ08</t>
  </si>
  <si>
    <t>VASU9708163U2</t>
  </si>
  <si>
    <t>C GARDENIA 567 A, COL LAS FLORES, SAN LUIS POTOSÍ, S.L.P., C.P. 78109</t>
  </si>
  <si>
    <t>44 43 20 41 76</t>
  </si>
  <si>
    <t>vasquez-usiel16@hotmail.com</t>
  </si>
  <si>
    <t>RUTH SANCHEZ VAZQUEZ</t>
  </si>
  <si>
    <t>ORQUIDEA, LAS FLORES</t>
  </si>
  <si>
    <t>444 241 14 21</t>
  </si>
  <si>
    <t>LAT-997</t>
  </si>
  <si>
    <t>NOGUERON</t>
  </si>
  <si>
    <t>NOOJ760311HMSGLR06</t>
  </si>
  <si>
    <t>NOOJ760311E17</t>
  </si>
  <si>
    <t>CUAUHTEMOC 6 C, COL. SANTA CRUZ, CERRITOS, S.L.P., C.P. 79440</t>
  </si>
  <si>
    <t>486 103 65 03</t>
  </si>
  <si>
    <t>tallerbhyp@gmail.com</t>
  </si>
  <si>
    <t>MA. LIZBETH GUTIERREZ MARTINEZ</t>
  </si>
  <si>
    <t>BENITO JUAREZ, OTRA NO ESPECIFICADA EN EL CATALOGO</t>
  </si>
  <si>
    <t xml:space="preserve">AGUASCALIENTES </t>
  </si>
  <si>
    <t>JESUS MARIA</t>
  </si>
  <si>
    <t>486 106 64 58</t>
  </si>
  <si>
    <t>LAT-998</t>
  </si>
  <si>
    <t>VILLA DE REYES</t>
  </si>
  <si>
    <t>ALDEMAR</t>
  </si>
  <si>
    <t>CUVA890504HSPLDL00</t>
  </si>
  <si>
    <t>CUVA890504SD4</t>
  </si>
  <si>
    <t>5TA PRIV VEGEL SR 108, BARRIO VERGEL, SAN LUIS POTOSÍ, SLP, C.P. 78100</t>
  </si>
  <si>
    <t>4444 506 527</t>
  </si>
  <si>
    <t>qalde777@gmail.com</t>
  </si>
  <si>
    <t>MARELY RUBI CUELLAR RODRIGUEZ</t>
  </si>
  <si>
    <t>AV. VENUSTIANO CARRANZA, TEQUISQUIAPAN</t>
  </si>
  <si>
    <t>444 263 63 47</t>
  </si>
  <si>
    <t>NEAVE</t>
  </si>
  <si>
    <t>CANF861123HSPSVR09</t>
  </si>
  <si>
    <t>CANF8611231L1</t>
  </si>
  <si>
    <t>MANANTIALES 104, FRACC SANTA BARBARA, S.L.P., C.P. 78427</t>
  </si>
  <si>
    <t>444 220 0196</t>
  </si>
  <si>
    <t>casneave10@gmail.com</t>
  </si>
  <si>
    <t xml:space="preserve">J FRANCISCO CASTILLO PALOMO </t>
  </si>
  <si>
    <t>CTOL HACIENDA DE MEXICO, HACIENDAS DE JACARANDAS</t>
  </si>
  <si>
    <t>J FRANCISCO CASTILLO PALOMO</t>
  </si>
  <si>
    <t>444 220 01 96</t>
  </si>
  <si>
    <t>MARISCOS</t>
  </si>
  <si>
    <t>ROBLEDO</t>
  </si>
  <si>
    <t>MATIAS</t>
  </si>
  <si>
    <t>ROSM710525HSPBLT02</t>
  </si>
  <si>
    <t>ROSM710525BJ3</t>
  </si>
  <si>
    <t>ESPANA 139, RICARDO B. ANAYA, SAN LUIS POTOSI, S.L.P., C.P. 78390</t>
  </si>
  <si>
    <t>SUPERVISOR DE MANTENIMIENTO</t>
  </si>
  <si>
    <t>444 625 4110</t>
  </si>
  <si>
    <t>matias.segutal@hotmail.com</t>
  </si>
  <si>
    <t>XOCHITL ANGUIANO ROMERO</t>
  </si>
  <si>
    <t>ESPAÑA, RICARDO B. ANAYA</t>
  </si>
  <si>
    <t>444 158 25 89</t>
  </si>
  <si>
    <t>TRAM-1192</t>
  </si>
  <si>
    <t>TRAM-1193</t>
  </si>
  <si>
    <t>CONS-999</t>
  </si>
  <si>
    <t xml:space="preserve">GONZALEZ </t>
  </si>
  <si>
    <t>DAISY AMANDA</t>
  </si>
  <si>
    <t>GOBD860712MCHNLS03</t>
  </si>
  <si>
    <t>GOBD860712HEA</t>
  </si>
  <si>
    <t>AV CALZ NAVARRA 471 77, ALCAZAR RESIDENCIAL, MARAVILLAS DE GUADALUPE, AGUASCALIENTES, C.P. 20908</t>
  </si>
  <si>
    <t>449 154 57 87</t>
  </si>
  <si>
    <t>daysi_qlezb@hotmail.com</t>
  </si>
  <si>
    <t>YARETZY GISSEL CASTRO GONZALEZ</t>
  </si>
  <si>
    <t>HACIENDA EL MILAGRO, HACIENDAS DE AGUASCALIENTES 1A SECCION</t>
  </si>
  <si>
    <t>ISMAEL GONZALEZ PARRA</t>
  </si>
  <si>
    <t>449 276 93 36</t>
  </si>
  <si>
    <t>CONS-1000</t>
  </si>
  <si>
    <t>CARLOS ERNESTO</t>
  </si>
  <si>
    <t>ROFC961107HSPSLR03</t>
  </si>
  <si>
    <t>ROFC961107674</t>
  </si>
  <si>
    <t>CALLEJON DE LA FAUNA 108, PUENTE DEL CARMEN, S.L.P., C.P. 79610</t>
  </si>
  <si>
    <t>487 167 3778</t>
  </si>
  <si>
    <t>carloserosales29@icloud.com</t>
  </si>
  <si>
    <t>JANETH GUTIERREZ RODRIGUEZ</t>
  </si>
  <si>
    <t>CALLEJON DE LA FAUNA, INFONAVIT</t>
  </si>
  <si>
    <t>487 121 4222</t>
  </si>
  <si>
    <t xml:space="preserve">1 MES </t>
  </si>
  <si>
    <t>LAT-1001</t>
  </si>
  <si>
    <t>CONS-1002</t>
  </si>
  <si>
    <t>´09139363379</t>
  </si>
  <si>
    <t>BONILLA</t>
  </si>
  <si>
    <t>BOVL930517HSPNZS06</t>
  </si>
  <si>
    <t>BOVL930517IJ0</t>
  </si>
  <si>
    <t>CATEQUISTAS 120, LAS MERCEDES, SAN LUIS POTOSÍ, S.L.P., C.P. 78394</t>
  </si>
  <si>
    <t>444 374 01 42</t>
  </si>
  <si>
    <t>bdnnzn70@gmail.com</t>
  </si>
  <si>
    <t>NANCY NALLELY CEDILLO</t>
  </si>
  <si>
    <t>MIGUEL ALEMAN, SAN ANTONIO</t>
  </si>
  <si>
    <t>444 452 67 32</t>
  </si>
  <si>
    <t>CARLOS DANIEL</t>
  </si>
  <si>
    <t>TOMC010323HASRNRA4</t>
  </si>
  <si>
    <t>TOMC010323JP1</t>
  </si>
  <si>
    <t>CERRO DEL PINAL NO. 328, INT. MZ-8 LT-18, COL. CERRO ALTO FRACC, C.P. 20179, AGUASCALIENTES, AGS.</t>
  </si>
  <si>
    <t>449 183 96 33</t>
  </si>
  <si>
    <t>carlos23marzopop@gmail.com</t>
  </si>
  <si>
    <t>MARIA ANGELICA MONTES ORTIZ</t>
  </si>
  <si>
    <t>LAS PALMAS, JESUS TERAN</t>
  </si>
  <si>
    <t>449 157 97 44</t>
  </si>
  <si>
    <t>CONS-1003</t>
  </si>
  <si>
    <t>SOSA</t>
  </si>
  <si>
    <t>FOSL901130HDGLSS06</t>
  </si>
  <si>
    <t>FOSL901130H39</t>
  </si>
  <si>
    <t>CALLE FERROCARRIL 10, LA VENTA DEL ASTILLERO, JALISCO, C.P. 45221</t>
  </si>
  <si>
    <t xml:space="preserve">SECUNDARIA </t>
  </si>
  <si>
    <t>334 372 36 62</t>
  </si>
  <si>
    <t>luisenriquefloressosa1@gmail.com</t>
  </si>
  <si>
    <t>VANESSA MACIAS SANDOVAL</t>
  </si>
  <si>
    <t>FERROCARRIL, LA VENTA DEL ASTILLERO</t>
  </si>
  <si>
    <t>LA VENTA DEL ASTILLERO</t>
  </si>
  <si>
    <t>332 405 17 35</t>
  </si>
  <si>
    <t>4 M</t>
  </si>
  <si>
    <t>GRISELDA</t>
  </si>
  <si>
    <t>TOCG760302MSPRSR01</t>
  </si>
  <si>
    <t>TOCG760302895</t>
  </si>
  <si>
    <t>INSURGENTES 1121, FRAC DURANGO, SAN LUIS POTOSI, SLP, C.P. 78300</t>
  </si>
  <si>
    <t>444 113 17 96</t>
  </si>
  <si>
    <t>griselda.torres@hotmail.com</t>
  </si>
  <si>
    <t>DANIEL JOSUE MARTINEZ TORRES</t>
  </si>
  <si>
    <t>INSURGENTES, INSURGENTES</t>
  </si>
  <si>
    <t>MARTHA SILVIA TORRES CASTILLO</t>
  </si>
  <si>
    <t>TRAM-1198</t>
  </si>
  <si>
    <t>CONS-1004</t>
  </si>
  <si>
    <t xml:space="preserve">COVARRUBIAS </t>
  </si>
  <si>
    <t>LUIS FERNANDO</t>
  </si>
  <si>
    <t>DICL970907HJCZVS08</t>
  </si>
  <si>
    <t>DICL970907C91</t>
  </si>
  <si>
    <t>ARROYO DEL LORO 128, RUISENORES, TALA, JALISCO, C.P. 45350</t>
  </si>
  <si>
    <t>333 401 3103</t>
  </si>
  <si>
    <t>diascovarrubiaslfernando@gmail.com</t>
  </si>
  <si>
    <t xml:space="preserve">NORMA PATRICIA REYES VAZQUEZ </t>
  </si>
  <si>
    <t>ATEMAJAC, COPALITA</t>
  </si>
  <si>
    <t>NORMA PATRICIA REYES VAZQUEZ</t>
  </si>
  <si>
    <t>384 209 34 45</t>
  </si>
  <si>
    <t>SIFUENTES</t>
  </si>
  <si>
    <t>OLGUIN</t>
  </si>
  <si>
    <t>CORDERO</t>
  </si>
  <si>
    <t>SERNA</t>
  </si>
  <si>
    <t>AGUILERA</t>
  </si>
  <si>
    <t>TORNERO</t>
  </si>
  <si>
    <t>CASTILLEJOS</t>
  </si>
  <si>
    <t>NUÑO</t>
  </si>
  <si>
    <t>LEOS</t>
  </si>
  <si>
    <t>ORLACHIA</t>
  </si>
  <si>
    <t>ARZOLA</t>
  </si>
  <si>
    <t>URQUIZA</t>
  </si>
  <si>
    <t>SAN ROMAN</t>
  </si>
  <si>
    <t>PEDRO DAMIAN</t>
  </si>
  <si>
    <t>VICTOR MARTIN</t>
  </si>
  <si>
    <t>ANGEL URIEL</t>
  </si>
  <si>
    <t>JUANA EDITH</t>
  </si>
  <si>
    <t>BRANDON EVERARDO</t>
  </si>
  <si>
    <t>ANGEL FERNANDO</t>
  </si>
  <si>
    <t>RUBEN ALFONSO</t>
  </si>
  <si>
    <t>JOSE GUSTAVO</t>
  </si>
  <si>
    <t>OMAR ANTONIO</t>
  </si>
  <si>
    <t>ARIANA GUADALUPE</t>
  </si>
  <si>
    <t>ALBERTO</t>
  </si>
  <si>
    <t>ESTANISLADO</t>
  </si>
  <si>
    <t>ULISES</t>
  </si>
  <si>
    <t>ERIKA</t>
  </si>
  <si>
    <t>MA. DEL CARMEN</t>
  </si>
  <si>
    <t>FERJ580221HVZRDN07</t>
  </si>
  <si>
    <t>CAAF650224HSPBRD01</t>
  </si>
  <si>
    <t>VILLARREAL</t>
  </si>
  <si>
    <t>RACM870722MSPMSG07</t>
  </si>
  <si>
    <t>RACM8707228LA</t>
  </si>
  <si>
    <t>GALO881017HSPRPS04</t>
  </si>
  <si>
    <t>OSVALDO</t>
  </si>
  <si>
    <t>GEOVANII DANIEL</t>
  </si>
  <si>
    <t>BRAYAN  GEOVANNI</t>
  </si>
  <si>
    <t xml:space="preserve">JAIRO JOSUE </t>
  </si>
  <si>
    <t>41806502278</t>
  </si>
  <si>
    <t>41907262665</t>
  </si>
  <si>
    <t>41967627971</t>
  </si>
  <si>
    <t>41967915863</t>
  </si>
  <si>
    <t>41028604282</t>
  </si>
  <si>
    <t>23038911295</t>
  </si>
  <si>
    <t>41119223455</t>
  </si>
  <si>
    <t>41008351078</t>
  </si>
  <si>
    <t>41886810120</t>
  </si>
  <si>
    <t>04068202896</t>
  </si>
  <si>
    <t>51998206836</t>
  </si>
  <si>
    <t>41128804956</t>
  </si>
  <si>
    <t>05189819021</t>
  </si>
  <si>
    <t>03189082765</t>
  </si>
  <si>
    <t>41078510082</t>
  </si>
  <si>
    <t>41129504795</t>
  </si>
  <si>
    <t>10149147307</t>
  </si>
  <si>
    <t>03179668698</t>
  </si>
  <si>
    <t>41957725538</t>
  </si>
  <si>
    <t>05200029428</t>
  </si>
  <si>
    <t>02239210608</t>
  </si>
  <si>
    <t>41887123366</t>
  </si>
  <si>
    <t>51038606326</t>
  </si>
  <si>
    <t>04907446340</t>
  </si>
  <si>
    <t>41149600961</t>
  </si>
  <si>
    <t>41139408540</t>
  </si>
  <si>
    <t>03219917469</t>
  </si>
  <si>
    <t>45048446244</t>
  </si>
  <si>
    <t>41098915519</t>
  </si>
  <si>
    <t>25149662444</t>
  </si>
  <si>
    <t>54856867988</t>
  </si>
  <si>
    <t>16108823754</t>
  </si>
  <si>
    <t>74927574611</t>
  </si>
  <si>
    <t>9168926492</t>
  </si>
  <si>
    <t>41129106021</t>
  </si>
  <si>
    <t>92988206931</t>
  </si>
  <si>
    <t>41997908011</t>
  </si>
  <si>
    <t>04978040089</t>
  </si>
  <si>
    <t>04906994399</t>
  </si>
  <si>
    <t>06139449604</t>
  </si>
  <si>
    <t>41088812163</t>
  </si>
  <si>
    <t>41867200168</t>
  </si>
  <si>
    <t>68169875470</t>
  </si>
  <si>
    <t>14129610052</t>
  </si>
  <si>
    <t>41028432510</t>
  </si>
  <si>
    <t>31169813495</t>
  </si>
  <si>
    <t>08159337800</t>
  </si>
  <si>
    <t>09210056884</t>
  </si>
  <si>
    <t>09089097548</t>
  </si>
  <si>
    <t>41957523792</t>
  </si>
  <si>
    <t>41098904687</t>
  </si>
  <si>
    <t>41927520258</t>
  </si>
  <si>
    <t>14160202280</t>
  </si>
  <si>
    <t>43927225086</t>
  </si>
  <si>
    <t>09897133782</t>
  </si>
  <si>
    <t>41017104377</t>
  </si>
  <si>
    <t>51876710719</t>
  </si>
  <si>
    <t>41139402154</t>
  </si>
  <si>
    <t>90089006929</t>
  </si>
  <si>
    <t>41078937277</t>
  </si>
  <si>
    <t>41927119937</t>
  </si>
  <si>
    <t>04109102113</t>
  </si>
  <si>
    <t>41109131916</t>
  </si>
  <si>
    <t>08149145446</t>
  </si>
  <si>
    <t>41139308062</t>
  </si>
  <si>
    <t>18159773870</t>
  </si>
  <si>
    <t>04038100873</t>
  </si>
  <si>
    <t>41068746167</t>
  </si>
  <si>
    <t>41129110536</t>
  </si>
  <si>
    <t>17159436777</t>
  </si>
  <si>
    <t>41099027777</t>
  </si>
  <si>
    <t>03169908831</t>
  </si>
  <si>
    <t>14916702476</t>
  </si>
  <si>
    <t>43028424117</t>
  </si>
  <si>
    <t>41927123376</t>
  </si>
  <si>
    <t>05199059048</t>
  </si>
  <si>
    <t>75048708525</t>
  </si>
  <si>
    <t>10190094564</t>
  </si>
  <si>
    <t>23139888517</t>
  </si>
  <si>
    <t>15886624731</t>
  </si>
  <si>
    <t>41089031144</t>
  </si>
  <si>
    <t>56897068609</t>
  </si>
  <si>
    <t>10159124626</t>
  </si>
  <si>
    <t>41068422157</t>
  </si>
  <si>
    <t>21160315830</t>
  </si>
  <si>
    <t>35179902958</t>
  </si>
  <si>
    <t>65048204401</t>
  </si>
  <si>
    <t>06856637985</t>
  </si>
  <si>
    <t>41018500326</t>
  </si>
  <si>
    <t>41098408036</t>
  </si>
  <si>
    <t>41119330342</t>
  </si>
  <si>
    <t>66149605595</t>
  </si>
  <si>
    <t>56907084778</t>
  </si>
  <si>
    <t>76956200281</t>
  </si>
  <si>
    <t>54907615766</t>
  </si>
  <si>
    <t>04058743586</t>
  </si>
  <si>
    <t>32169723767</t>
  </si>
  <si>
    <t>41129117127</t>
  </si>
  <si>
    <t>41108902812</t>
  </si>
  <si>
    <t>41048729341</t>
  </si>
  <si>
    <t>30947436215</t>
  </si>
  <si>
    <t>26189981405</t>
  </si>
  <si>
    <t>03168569824</t>
  </si>
  <si>
    <t>300007818674</t>
  </si>
  <si>
    <t>43129470894</t>
  </si>
  <si>
    <t>51937404567</t>
  </si>
  <si>
    <t>44169841291</t>
  </si>
  <si>
    <t>17190398275</t>
  </si>
  <si>
    <t>41079103259</t>
  </si>
  <si>
    <t>92907159492</t>
  </si>
  <si>
    <t>41957928793</t>
  </si>
  <si>
    <t>73169687016</t>
  </si>
  <si>
    <t>25169420830</t>
  </si>
  <si>
    <t>10836635341</t>
  </si>
  <si>
    <t>65967249494</t>
  </si>
  <si>
    <t>38149539223</t>
  </si>
  <si>
    <t>41048600120</t>
  </si>
  <si>
    <t>41057805149</t>
  </si>
  <si>
    <t>90169927408</t>
  </si>
  <si>
    <t>41988223123</t>
  </si>
  <si>
    <t>41877036644</t>
  </si>
  <si>
    <t>14998248893</t>
  </si>
  <si>
    <t>25169356844</t>
  </si>
  <si>
    <t>26210299660</t>
  </si>
  <si>
    <t>25159365466</t>
  </si>
  <si>
    <t>26149607116</t>
  </si>
  <si>
    <t>41048206464</t>
  </si>
  <si>
    <t>78119113534</t>
  </si>
  <si>
    <t>54169684245</t>
  </si>
  <si>
    <t>74160167172</t>
  </si>
  <si>
    <t>90108714099</t>
  </si>
  <si>
    <t>41068936610</t>
  </si>
  <si>
    <t>41069018665</t>
  </si>
  <si>
    <t>25190443041</t>
  </si>
  <si>
    <t>41038615229</t>
  </si>
  <si>
    <t>73169693741</t>
  </si>
  <si>
    <t>14998109129</t>
  </si>
  <si>
    <t>41008102182</t>
  </si>
  <si>
    <t>32169549451</t>
  </si>
  <si>
    <t>75048711305</t>
  </si>
  <si>
    <t>41138803170</t>
  </si>
  <si>
    <t>41078313933</t>
  </si>
  <si>
    <t>14089217807</t>
  </si>
  <si>
    <t>14038515640</t>
  </si>
  <si>
    <t>35179991498</t>
  </si>
  <si>
    <t>41048108041</t>
  </si>
  <si>
    <t>27149275490</t>
  </si>
  <si>
    <t>41058422084</t>
  </si>
  <si>
    <t>41078918954</t>
  </si>
  <si>
    <t>41129424853</t>
  </si>
  <si>
    <t>54149686393</t>
  </si>
  <si>
    <t>17159215239</t>
  </si>
  <si>
    <t>75927421836</t>
  </si>
  <si>
    <t>08200359613</t>
  </si>
  <si>
    <t>11160345770</t>
  </si>
  <si>
    <t>14139419825</t>
  </si>
  <si>
    <t>14079114667</t>
  </si>
  <si>
    <t>50159686174</t>
  </si>
  <si>
    <t>41008312328</t>
  </si>
  <si>
    <t>14099306228</t>
  </si>
  <si>
    <t>72937349925</t>
  </si>
  <si>
    <t>41947437913</t>
  </si>
  <si>
    <t>51937606815</t>
  </si>
  <si>
    <t>44149683250</t>
  </si>
  <si>
    <t>28169561504</t>
  </si>
  <si>
    <t>63150018750</t>
  </si>
  <si>
    <t>14947520418</t>
  </si>
  <si>
    <t>41068832843</t>
  </si>
  <si>
    <t>16160286403</t>
  </si>
  <si>
    <t>53967709691</t>
  </si>
  <si>
    <t>09089158290</t>
  </si>
  <si>
    <t>47998208160</t>
  </si>
  <si>
    <t>12078327504</t>
  </si>
  <si>
    <t>41079103135</t>
  </si>
  <si>
    <t>75866719661</t>
  </si>
  <si>
    <t>74169810244</t>
  </si>
  <si>
    <t>41038323832</t>
  </si>
  <si>
    <t>57169821055</t>
  </si>
  <si>
    <t>41988119552</t>
  </si>
  <si>
    <t>04088325461</t>
  </si>
  <si>
    <t>75139593786</t>
  </si>
  <si>
    <t>04988145910</t>
  </si>
  <si>
    <t>56947755114</t>
  </si>
  <si>
    <t>04048643953</t>
  </si>
  <si>
    <t>08210671304</t>
  </si>
  <si>
    <t>92018336351</t>
  </si>
  <si>
    <t>17190171953</t>
  </si>
  <si>
    <t>33997824629</t>
  </si>
  <si>
    <t>01139545311</t>
  </si>
  <si>
    <t>08139815503</t>
  </si>
  <si>
    <t>04957916531</t>
  </si>
  <si>
    <t>41088715689</t>
  </si>
  <si>
    <t>04139724019</t>
  </si>
  <si>
    <t>41917432639</t>
  </si>
  <si>
    <t>18149837405</t>
  </si>
  <si>
    <t>56947900710</t>
  </si>
  <si>
    <t>63200582516</t>
  </si>
  <si>
    <t>13128906941</t>
  </si>
  <si>
    <t>04099228001</t>
  </si>
  <si>
    <t>04027901091</t>
  </si>
  <si>
    <t>05199581728</t>
  </si>
  <si>
    <t>10190320225</t>
  </si>
  <si>
    <t>26179743724</t>
  </si>
  <si>
    <t>74169543274</t>
  </si>
  <si>
    <t>43109335828</t>
  </si>
  <si>
    <t>04108702863</t>
  </si>
  <si>
    <t>75139465381</t>
  </si>
  <si>
    <t>44159416872</t>
  </si>
  <si>
    <t>26210339045</t>
  </si>
  <si>
    <t>05170190101</t>
  </si>
  <si>
    <t>56846801345</t>
  </si>
  <si>
    <t>73180473420</t>
  </si>
  <si>
    <t>17180052346</t>
  </si>
  <si>
    <t>14028900190</t>
  </si>
  <si>
    <t>31897000910</t>
  </si>
  <si>
    <t>41917400396</t>
  </si>
  <si>
    <t>52028607894</t>
  </si>
  <si>
    <t>75079056158</t>
  </si>
  <si>
    <t>05179538722</t>
  </si>
  <si>
    <t>46169901447</t>
  </si>
  <si>
    <t>41139433795</t>
  </si>
  <si>
    <t>65088839280</t>
  </si>
  <si>
    <t>08220103421</t>
  </si>
  <si>
    <t>04089300497</t>
  </si>
  <si>
    <t>26149583234</t>
  </si>
  <si>
    <t>12058427068</t>
  </si>
  <si>
    <t>43058945627</t>
  </si>
  <si>
    <t>0848243697</t>
  </si>
  <si>
    <t>33038302833</t>
  </si>
  <si>
    <t>41129128843</t>
  </si>
  <si>
    <t>41088804335</t>
  </si>
  <si>
    <t>12018399605</t>
  </si>
  <si>
    <t>55069005662</t>
  </si>
  <si>
    <t>25200325212</t>
  </si>
  <si>
    <t>49876897221</t>
  </si>
  <si>
    <t>17169878455</t>
  </si>
  <si>
    <t>17159248206</t>
  </si>
  <si>
    <t>17149873626</t>
  </si>
  <si>
    <t>41967905732</t>
  </si>
  <si>
    <t>39169831524</t>
  </si>
  <si>
    <t>04169112333</t>
  </si>
  <si>
    <t>55846406076</t>
  </si>
  <si>
    <t>35159842224</t>
  </si>
  <si>
    <t>54998176587</t>
  </si>
  <si>
    <t>41138605948</t>
  </si>
  <si>
    <t>04018373524</t>
  </si>
  <si>
    <t>41078841511</t>
  </si>
  <si>
    <t>47160010428</t>
  </si>
  <si>
    <t>05189001323</t>
  </si>
  <si>
    <t>84957700416</t>
  </si>
  <si>
    <t>54927485331</t>
  </si>
  <si>
    <t>19190185819</t>
  </si>
  <si>
    <t>03210454686</t>
  </si>
  <si>
    <t>41099014247</t>
  </si>
  <si>
    <t>41806800276</t>
  </si>
  <si>
    <t>41028605735</t>
  </si>
  <si>
    <t>02167226907</t>
  </si>
  <si>
    <t>19149030819</t>
  </si>
  <si>
    <t>34068506277</t>
  </si>
  <si>
    <t>13129110816</t>
  </si>
  <si>
    <t>41058415294</t>
  </si>
  <si>
    <t>08169069286</t>
  </si>
  <si>
    <t>51150012956</t>
  </si>
  <si>
    <t>41907337368</t>
  </si>
  <si>
    <t>09988086998</t>
  </si>
  <si>
    <t>41078414319</t>
  </si>
  <si>
    <t>30987412787</t>
  </si>
  <si>
    <t>41078931510</t>
  </si>
  <si>
    <t>08189894242</t>
  </si>
  <si>
    <t>41129004481</t>
  </si>
  <si>
    <t>41028436511</t>
  </si>
  <si>
    <t>41139406171</t>
  </si>
  <si>
    <t>41108809108</t>
  </si>
  <si>
    <t>19169718335</t>
  </si>
  <si>
    <t>14058727372</t>
  </si>
  <si>
    <t>18150134593</t>
  </si>
  <si>
    <t>41998311447</t>
  </si>
  <si>
    <t>41997200419</t>
  </si>
  <si>
    <t>41098202371</t>
  </si>
  <si>
    <t>41109221105</t>
  </si>
  <si>
    <t>64159701982</t>
  </si>
  <si>
    <t>41119350514</t>
  </si>
  <si>
    <t>20896907258</t>
  </si>
  <si>
    <t>41119227084</t>
  </si>
  <si>
    <t>41119324345</t>
  </si>
  <si>
    <t>51068820078</t>
  </si>
  <si>
    <t>01139615441</t>
  </si>
  <si>
    <t>40169692429</t>
  </si>
  <si>
    <t>41078728445</t>
  </si>
  <si>
    <t>05138894604</t>
  </si>
  <si>
    <t>75058858236</t>
  </si>
  <si>
    <t>41079102186</t>
  </si>
  <si>
    <t>41038404608</t>
  </si>
  <si>
    <t>10240496835</t>
  </si>
  <si>
    <t>14987814879</t>
  </si>
  <si>
    <t>41089104198</t>
  </si>
  <si>
    <t>19230855272</t>
  </si>
  <si>
    <t>41109107122</t>
  </si>
  <si>
    <t>25190444007</t>
  </si>
  <si>
    <t>51997804177</t>
  </si>
  <si>
    <t>52160092491</t>
  </si>
  <si>
    <t>41058413406</t>
  </si>
  <si>
    <t>10230258724</t>
  </si>
  <si>
    <t>41119226482</t>
  </si>
  <si>
    <t>62169346343</t>
  </si>
  <si>
    <t>03169796137</t>
  </si>
  <si>
    <t>08169596684</t>
  </si>
  <si>
    <t>04048491551</t>
  </si>
  <si>
    <t>38159382662</t>
  </si>
  <si>
    <t>52210513595</t>
  </si>
  <si>
    <t>19200400190</t>
  </si>
  <si>
    <t>17200406811</t>
  </si>
  <si>
    <t>49967602720</t>
  </si>
  <si>
    <t>20139969669</t>
  </si>
  <si>
    <t>44210548671</t>
  </si>
  <si>
    <t>04078997238</t>
  </si>
  <si>
    <t>08139452893</t>
  </si>
  <si>
    <t>17200070005</t>
  </si>
  <si>
    <t>04988133973</t>
  </si>
  <si>
    <t>41068918766</t>
  </si>
  <si>
    <t>30987710818</t>
  </si>
  <si>
    <t>30169624571</t>
  </si>
  <si>
    <t>58159617230</t>
  </si>
  <si>
    <t>25190223567</t>
  </si>
  <si>
    <t>10220577182</t>
  </si>
  <si>
    <t>75079068930</t>
  </si>
  <si>
    <t>02159889431</t>
  </si>
  <si>
    <t>03190035695</t>
  </si>
  <si>
    <t>10169629952</t>
  </si>
  <si>
    <t>05149032772</t>
  </si>
  <si>
    <t>50220423672</t>
  </si>
  <si>
    <t>46210525062</t>
  </si>
  <si>
    <t>41947317818</t>
  </si>
  <si>
    <t>41836517163</t>
  </si>
  <si>
    <t>ARGUELLO</t>
  </si>
  <si>
    <t>03217652779</t>
  </si>
  <si>
    <t>20077500047</t>
  </si>
  <si>
    <t>06169515894</t>
  </si>
  <si>
    <t>SAGB730430HSPLRN05</t>
  </si>
  <si>
    <t>GOSR770513MSPNLC02</t>
  </si>
  <si>
    <t>AAVJ740921MSPRZS09</t>
  </si>
  <si>
    <t>BEAM820808MGRZGR02</t>
  </si>
  <si>
    <t>BABJ790514MSPTRN09</t>
  </si>
  <si>
    <t>MOMF651027HSPCRL08</t>
  </si>
  <si>
    <t>LOSE760825HJCPLD00</t>
  </si>
  <si>
    <t>GAML860130HSPYRS05</t>
  </si>
  <si>
    <t>JARR760111HSPSDL09</t>
  </si>
  <si>
    <t>SAMJ670429HSPLDN00</t>
  </si>
  <si>
    <t>GUNJ791022HSPRRN01</t>
  </si>
  <si>
    <t>TOCM690522MSPRSR12</t>
  </si>
  <si>
    <t>AARE730131HSPLMN08</t>
  </si>
  <si>
    <t>SOVV850822MSPTZR05</t>
  </si>
  <si>
    <t>TOMJ861001HSPRYN03</t>
  </si>
  <si>
    <t>SALC720829MSPLRR03</t>
  </si>
  <si>
    <t>LIMH651123HDFMNC05</t>
  </si>
  <si>
    <t>LOQI890617HSPRNS03</t>
  </si>
  <si>
    <t>TOVJ890223HSLRLS04</t>
  </si>
  <si>
    <t>GOMS920103HSPNRL05</t>
  </si>
  <si>
    <t>AAHN911029MJCLRM07</t>
  </si>
  <si>
    <t>MAGC830602MJCDTC01</t>
  </si>
  <si>
    <t>AASA770801HNLMCN00</t>
  </si>
  <si>
    <t>VIMR820703HASLRD08</t>
  </si>
  <si>
    <t>TERR681217MSPRVS09</t>
  </si>
  <si>
    <t>LISK761013MDFNNR09</t>
  </si>
  <si>
    <t>LOHM790129MTSPRR02</t>
  </si>
  <si>
    <t>RARL860527MSPMYL07</t>
  </si>
  <si>
    <t>MEHI660509HNLDRS09</t>
  </si>
  <si>
    <t>COEF940612HSPRSL03</t>
  </si>
  <si>
    <t>OEON950616MSPRLR03</t>
  </si>
  <si>
    <t>CAHL591029HNLHRN08</t>
  </si>
  <si>
    <t>HEFA941101HSPRLN08</t>
  </si>
  <si>
    <t>AEDR681118HTSRVL00</t>
  </si>
  <si>
    <t>GARU820107HDFRDL05</t>
  </si>
  <si>
    <t>MOIG820306MJCRSL06</t>
  </si>
  <si>
    <t>MORI821106MASRDV08</t>
  </si>
  <si>
    <t>EIED921204MSPSSM09</t>
  </si>
  <si>
    <t>SAPJ690508HSPLRN08</t>
  </si>
  <si>
    <t>PAME941031HASRND00</t>
  </si>
  <si>
    <t>GOMJ510829HSPMRN02</t>
  </si>
  <si>
    <t>GACS950517MSPRNN00</t>
  </si>
  <si>
    <t>PARA861007HSPRDB09</t>
  </si>
  <si>
    <t>AUGI930903MSPGRS02</t>
  </si>
  <si>
    <t>SAGR640229HJCNTB04</t>
  </si>
  <si>
    <t>SAPA780721HSPNRL09</t>
  </si>
  <si>
    <t>CUCA881026MSPRSN03</t>
  </si>
  <si>
    <t>HETI921211HSPRLR08</t>
  </si>
  <si>
    <t>VAPJ751225HSPLRS02</t>
  </si>
  <si>
    <t>SAIE901216HSPNNZ06</t>
  </si>
  <si>
    <t>SOMN850810MSPTRH03</t>
  </si>
  <si>
    <t>CASV950911HSPBNN00</t>
  </si>
  <si>
    <t>HEAM910824MSPRRG08</t>
  </si>
  <si>
    <t>CATH791209HSPHRM01</t>
  </si>
  <si>
    <t>RORM910604MJCCYY06</t>
  </si>
  <si>
    <t>CARD921009MSPRNL06</t>
  </si>
  <si>
    <t>TOVL960901HSLRLS00</t>
  </si>
  <si>
    <t>MAMS770521MSPRNS00</t>
  </si>
  <si>
    <t>GOAN910817MSPMVD00</t>
  </si>
  <si>
    <t>HEMF001203HSPRRRB5</t>
  </si>
  <si>
    <t>MARM920206MSPRDN02</t>
  </si>
  <si>
    <t>DIEC710504HSPZSM07</t>
  </si>
  <si>
    <t>GOCJ770510HSPNSN01</t>
  </si>
  <si>
    <t>RINR790809HSPVGM03</t>
  </si>
  <si>
    <t>HEFV831021HSPRLC09</t>
  </si>
  <si>
    <t>GARE860928HASLVM04</t>
  </si>
  <si>
    <t>GUSF740314HJCZLR08</t>
  </si>
  <si>
    <t>HEHR960811HSPRRN07</t>
  </si>
  <si>
    <t>RAGM940516HSPMTG00</t>
  </si>
  <si>
    <t>AIGF990427MSPRNR02</t>
  </si>
  <si>
    <t>AAHL840704HVZLRS06</t>
  </si>
  <si>
    <t>MAAJ891206HGTLGN06</t>
  </si>
  <si>
    <t>JANW960308HSPCXL02</t>
  </si>
  <si>
    <t>LOVL680308HJCPLS05</t>
  </si>
  <si>
    <t>GOBR880101HMCNND07</t>
  </si>
  <si>
    <t>GOVE761115HJCNZS04</t>
  </si>
  <si>
    <t>GAJF890503HSPRSR07</t>
  </si>
  <si>
    <t>EAGE910916MSPSLD07</t>
  </si>
  <si>
    <t>GUCJ820701HDFNRR06</t>
  </si>
  <si>
    <t>GURA790528HSPRBN07</t>
  </si>
  <si>
    <t>COGM800907MJCRMN01</t>
  </si>
  <si>
    <t>MIGJ691224HJCRRR09</t>
  </si>
  <si>
    <t>GARJ940226HZSRDN02</t>
  </si>
  <si>
    <t>ZULE880218MSPXRR08</t>
  </si>
  <si>
    <t>AUFF880909HSPGLR09</t>
  </si>
  <si>
    <t>RAMF720111HSPMDD09</t>
  </si>
  <si>
    <t>MASJ980310HSPCNM09</t>
  </si>
  <si>
    <t>HECV960630MGTRRN05</t>
  </si>
  <si>
    <t>GATN840403MSPRRR01</t>
  </si>
  <si>
    <t>JABY980818MSPSLS06</t>
  </si>
  <si>
    <t>SACD930801HSPNRV01</t>
  </si>
  <si>
    <t>BAMJ000807HJCRRRA7</t>
  </si>
  <si>
    <t>GAZV901108HTSRPC05</t>
  </si>
  <si>
    <t>GORG820804HNLNYL06</t>
  </si>
  <si>
    <t>MEVR750504HSPJZT06</t>
  </si>
  <si>
    <t>CAGF890607MSPRMT02</t>
  </si>
  <si>
    <t>DEGM750326MSPLRN01</t>
  </si>
  <si>
    <t>HEHP020928HSPRRLA7</t>
  </si>
  <si>
    <t>ROTA721216MNLSND00</t>
  </si>
  <si>
    <t>MAZJ710217HSLRZS01</t>
  </si>
  <si>
    <t>ROLZ710427MSPCPT08</t>
  </si>
  <si>
    <t>VEHJ670419HJCGRN07</t>
  </si>
  <si>
    <t>RAHH940422HSPNRM01</t>
  </si>
  <si>
    <t>HECV900802HDFRBC05</t>
  </si>
  <si>
    <t>MAPD891208HSPRRV05</t>
  </si>
  <si>
    <t>TIEJ710323HSPRSN04</t>
  </si>
  <si>
    <t>DIRH911213HJCZZG04</t>
  </si>
  <si>
    <t>MEMP910707HSPDDD04</t>
  </si>
  <si>
    <t>RIPG970217MJCVSD06</t>
  </si>
  <si>
    <t>RERE910813HSPYBD03</t>
  </si>
  <si>
    <t>CEGL931121MSPRNR07</t>
  </si>
  <si>
    <t>AIPA970207HSPRDD00</t>
  </si>
  <si>
    <t>BADE810223HSPLMD03</t>
  </si>
  <si>
    <t>RAPA870402HSPMCL09</t>
  </si>
  <si>
    <t>BAHJ920407HSPRRV03</t>
  </si>
  <si>
    <t>BIMT910317MSPRDN03</t>
  </si>
  <si>
    <t>TUDS940320HSPRMR02</t>
  </si>
  <si>
    <t>MIVL900519HSPRGS03</t>
  </si>
  <si>
    <t>VAVC990315HJCRLR02</t>
  </si>
  <si>
    <t>BACG900717HJCLSR08</t>
  </si>
  <si>
    <t>SAQJ670616HMCNRN08</t>
  </si>
  <si>
    <t>ROTJ841023HNLSNN04</t>
  </si>
  <si>
    <t>CAOL860619MMCSRC07</t>
  </si>
  <si>
    <t>RERH710814HSPNSG06</t>
  </si>
  <si>
    <t>GAVJ800326HTSRLR08</t>
  </si>
  <si>
    <t>RIGM900210HSPSNN05</t>
  </si>
  <si>
    <t>VINJ890312HJCLTR05</t>
  </si>
  <si>
    <t>MUPF020727HSPXXRA5</t>
  </si>
  <si>
    <t>VIGC940923HSPDRR02</t>
  </si>
  <si>
    <t>GAGD880515MASYNN09</t>
  </si>
  <si>
    <t>LORD980812HSPPMV09</t>
  </si>
  <si>
    <t>BALM961022HSPRMS10</t>
  </si>
  <si>
    <t>MEFG840228HJCJRL07</t>
  </si>
  <si>
    <t>TACF660107HMCPRL00</t>
  </si>
  <si>
    <t>GAMA900128MSPLNL06</t>
  </si>
  <si>
    <t>BAPF700515HJCRLL05</t>
  </si>
  <si>
    <t>MACG910120HDFRSL06</t>
  </si>
  <si>
    <t>MEPJ841103HSPDDR05</t>
  </si>
  <si>
    <t>MOCJ030126HSPLSNA3</t>
  </si>
  <si>
    <t>PEPJ990807HJCRNL03</t>
  </si>
  <si>
    <t>LOCG860119MSPPRS08</t>
  </si>
  <si>
    <t>HELB990820MSPRPT05</t>
  </si>
  <si>
    <t>CESC821030HVZRNR00</t>
  </si>
  <si>
    <t>GOHI660515HDFNRS02</t>
  </si>
  <si>
    <t>CARL850106HSPMGS03</t>
  </si>
  <si>
    <t>GAMF840410MSPMRB07</t>
  </si>
  <si>
    <t>AOMV020701MSPCRLA1</t>
  </si>
  <si>
    <t>GABF950907HJCRCR05</t>
  </si>
  <si>
    <t>GODE990123MSPNZS07</t>
  </si>
  <si>
    <t>CAMJ921219HSPSRV02</t>
  </si>
  <si>
    <t>OIAH960306HSPBNM00</t>
  </si>
  <si>
    <t>VACJ701119HJCLRN08</t>
  </si>
  <si>
    <t>HEGA621126HHGRLR04</t>
  </si>
  <si>
    <t>REPI760618HJCYRG02</t>
  </si>
  <si>
    <t>MAMJ870410HJCLJN09</t>
  </si>
  <si>
    <t>GAGE920712HJCRRD07</t>
  </si>
  <si>
    <t>GASM671117MGRLLR08</t>
  </si>
  <si>
    <t>GOSG970714MTSNNL03</t>
  </si>
  <si>
    <t>NACL911029MSPVRR06</t>
  </si>
  <si>
    <t>BAVG890119HSPLZD06</t>
  </si>
  <si>
    <t>MAVI950202HJCRLV00</t>
  </si>
  <si>
    <t>CABJ920308HJCMRN04</t>
  </si>
  <si>
    <t>MAFA741203HDFRNN05</t>
  </si>
  <si>
    <t>AEVF991006HJCLLR02</t>
  </si>
  <si>
    <t>MAAM850626MSPRZR04</t>
  </si>
  <si>
    <t>MOGH780820HDFRRG01</t>
  </si>
  <si>
    <t>LOMJ800503HMNPNS09</t>
  </si>
  <si>
    <t>HEAJ941018HNLRGN03</t>
  </si>
  <si>
    <t>MASD740813HDFRLV03</t>
  </si>
  <si>
    <t>MAZI980126HSPRVR06</t>
  </si>
  <si>
    <t>TOGF031217HASRRLA3</t>
  </si>
  <si>
    <t>AEAE910128HTSNMR03</t>
  </si>
  <si>
    <t>VIJO730214HDFLMM08</t>
  </si>
  <si>
    <t>SASM790808MSPNLR01</t>
  </si>
  <si>
    <t>HEPJ961116MSPRNS18</t>
  </si>
  <si>
    <t>RILA940302HMCVGL06</t>
  </si>
  <si>
    <t>CAMR660602HDFRRB04</t>
  </si>
  <si>
    <t>CUZS721008HVZRMR00</t>
  </si>
  <si>
    <t>MALC951202HDFRGH03</t>
  </si>
  <si>
    <t>TORJ860108HSPRZR06</t>
  </si>
  <si>
    <t>LAAM780207HSPLNR09</t>
  </si>
  <si>
    <t>JAGJ990330HMCCTN00</t>
  </si>
  <si>
    <t>SANJ800229HJCNVN07</t>
  </si>
  <si>
    <t>AAMP820814HSPLLR16</t>
  </si>
  <si>
    <t>RUVS701013HSPZZL03</t>
  </si>
  <si>
    <t>MEOF831006HQTNLR06</t>
  </si>
  <si>
    <t>SARG930530MSPNDR04</t>
  </si>
  <si>
    <t>CAAF810601HJCHVR01</t>
  </si>
  <si>
    <t>QUEF021208HSPRSBA2</t>
  </si>
  <si>
    <t>VIAJ930727HJCLVN05</t>
  </si>
  <si>
    <t>SAMP960317HSPNRD05</t>
  </si>
  <si>
    <t>LOGC970619HJCPRR00</t>
  </si>
  <si>
    <t>GOAS820517MSPNLD03</t>
  </si>
  <si>
    <t>HERE910421HCSRSM00</t>
  </si>
  <si>
    <t>IAMA920124HJCBNL04</t>
  </si>
  <si>
    <t>AAGJ961128MSPRRM07</t>
  </si>
  <si>
    <t>VASM010520HJCRNRA5</t>
  </si>
  <si>
    <t>TAEM820312HJCRNR00</t>
  </si>
  <si>
    <t>VADP870428HJCRZR08</t>
  </si>
  <si>
    <t>HECL890114HSPRRR02</t>
  </si>
  <si>
    <t>HEDM900503HDFRRS04</t>
  </si>
  <si>
    <t>HEAC040811HNLRMSA9</t>
  </si>
  <si>
    <t>VEMM860215MSPRRR06</t>
  </si>
  <si>
    <t>HESJ961204HSPRLS07</t>
  </si>
  <si>
    <t>AASE980310HMSRBM09</t>
  </si>
  <si>
    <t>CARA810602HHGMYR02</t>
  </si>
  <si>
    <t>TOCK950926MSPRDR08</t>
  </si>
  <si>
    <t>VAFF880607HSPNLL07</t>
  </si>
  <si>
    <t>GODG831228HSPNZR04</t>
  </si>
  <si>
    <t>VAPW920419HCSZRL07</t>
  </si>
  <si>
    <t>OEMG850903HQTLRR01</t>
  </si>
  <si>
    <t>SAOA991227HJCNRN01</t>
  </si>
  <si>
    <t>GOML811231HSPNNS03</t>
  </si>
  <si>
    <t>GAGC921121HJCRRS02</t>
  </si>
  <si>
    <t>JUGJ841111HSPRRN08</t>
  </si>
  <si>
    <t>MACK891121MSPRMR04</t>
  </si>
  <si>
    <t>HEJG841201HCSRMN04</t>
  </si>
  <si>
    <t>MUGG941118HSPRTL00</t>
  </si>
  <si>
    <t>CAHI960312HSPSRS08</t>
  </si>
  <si>
    <t>AAGM920215HSPLRG05</t>
  </si>
  <si>
    <t>CASJ740715HMNMTN06</t>
  </si>
  <si>
    <t>PERA030713HQTRBNA5</t>
  </si>
  <si>
    <t>GAGM031103HSPMNLA7</t>
  </si>
  <si>
    <t>PESF810108HJCRNR00</t>
  </si>
  <si>
    <t>JIOL940531HMCMSS00</t>
  </si>
  <si>
    <t>MEDM910508HMCDMG09</t>
  </si>
  <si>
    <t>CABJ960317HSPMNS09</t>
  </si>
  <si>
    <t>QUGJ830215HSPNVR06</t>
  </si>
  <si>
    <t>GOMF930205HGTNRR09</t>
  </si>
  <si>
    <t>LORY730420MGRPMV03</t>
  </si>
  <si>
    <t>MAMJ740602HSPRXS05</t>
  </si>
  <si>
    <t>CACJ760629HCHRSR02</t>
  </si>
  <si>
    <t>GUAL950409HSPZLS08</t>
  </si>
  <si>
    <t>ROPF001029HSPDRRA1</t>
  </si>
  <si>
    <t>JARA041201HBCRDLA5</t>
  </si>
  <si>
    <t>MEAD751128HQTNRL08</t>
  </si>
  <si>
    <t>SIGS880414HSPLNN04</t>
  </si>
  <si>
    <t>MACK020313HSPRRVA3</t>
  </si>
  <si>
    <t>RASL770922MMNNTZ18</t>
  </si>
  <si>
    <t>CERP911013HTSRZD07</t>
  </si>
  <si>
    <t>AIOS821116MNLMRL06</t>
  </si>
  <si>
    <t>MOSA831101HGTRNL09</t>
  </si>
  <si>
    <t>OISP911014HSPRNB03</t>
  </si>
  <si>
    <t>PEGE670611HDFRRD00</t>
  </si>
  <si>
    <t>CARL980420HSPSDS08</t>
  </si>
  <si>
    <t>MALC831205HSPRZR05</t>
  </si>
  <si>
    <t>MOML981006MSPRXL02</t>
  </si>
  <si>
    <t>HELJ820409HSPRRN06</t>
  </si>
  <si>
    <t>JASE831104HMNCRL01</t>
  </si>
  <si>
    <t>FOUJ950112HJCLDN07</t>
  </si>
  <si>
    <t>GAPA811014HMNRRR09</t>
  </si>
  <si>
    <t>GUSJ770508HVZRNS13</t>
  </si>
  <si>
    <t>HEPT860708HJCRLB03</t>
  </si>
  <si>
    <t>GAHA061225HJCLRLA2</t>
  </si>
  <si>
    <t>GUJJ830723HVZTRV07</t>
  </si>
  <si>
    <t>PEJA010305HQTDLLA2</t>
  </si>
  <si>
    <t>MOMA781227HSPRRD02</t>
  </si>
  <si>
    <t>RIAD951124MSPVLN07</t>
  </si>
  <si>
    <t>MOMY980725MTCRRS03</t>
  </si>
  <si>
    <t>BAGE791028HJCRRD05</t>
  </si>
  <si>
    <t>SEAE870822HSPGGD03</t>
  </si>
  <si>
    <t>ZASA750407HSPPLL06</t>
  </si>
  <si>
    <t>ROAP980909HJCCGD07</t>
  </si>
  <si>
    <t>METV790306HJCDRC00</t>
  </si>
  <si>
    <t>MEGA050623HJCDLNA3</t>
  </si>
  <si>
    <t>GAHM890927HDFRRG02</t>
  </si>
  <si>
    <t>RECE920109HOCYSD09</t>
  </si>
  <si>
    <t>RONL791227HJCDXS07</t>
  </si>
  <si>
    <t>FOAJ950611MQTLLN01</t>
  </si>
  <si>
    <t>SALB031004HASNSRA5</t>
  </si>
  <si>
    <t>PAEJ970422HASDSN04</t>
  </si>
  <si>
    <t>OUOE950421HSPLRS00</t>
  </si>
  <si>
    <t>SASA931225HNLNNN01</t>
  </si>
  <si>
    <t>COMG871226HJCRCS00</t>
  </si>
  <si>
    <t>EICO940717HZSSMM06</t>
  </si>
  <si>
    <t>PUSA941220MSPNNR03</t>
  </si>
  <si>
    <t>LOVO031219HSPRZSA0</t>
  </si>
  <si>
    <t>CASA011207HJCRNDA8</t>
  </si>
  <si>
    <t>AESJ680608HZSLNR04</t>
  </si>
  <si>
    <t>SEFU040124HSPRRLA6</t>
  </si>
  <si>
    <t>IASM000711HSPZNGA1</t>
  </si>
  <si>
    <t>RAUE890725MQTMRR08</t>
  </si>
  <si>
    <t>SOVR710213HCLTLD02</t>
  </si>
  <si>
    <t>SALO740615HQTNPS05</t>
  </si>
  <si>
    <t>MARY860902MCMRDR06</t>
  </si>
  <si>
    <t>RARE901214HMNMDN03</t>
  </si>
  <si>
    <t>HUAT950916MSPRVN01</t>
  </si>
  <si>
    <t>CAPB940604MSPMLT04</t>
  </si>
  <si>
    <t>MARL990511HJCRMS08</t>
  </si>
  <si>
    <t>TOGE940928HSPRND04</t>
  </si>
  <si>
    <t>SASE880131HMCLNF04</t>
  </si>
  <si>
    <t>MARA011109HJCGDNA7</t>
  </si>
  <si>
    <t>OOQL931128HJCCZS06</t>
  </si>
  <si>
    <t>VAGJ840825MGTZRS09</t>
  </si>
  <si>
    <t>CUGS890612HTSLNR02</t>
  </si>
  <si>
    <t>GOMS821125HSPNRR08</t>
  </si>
  <si>
    <t>GUEP830925HCHTSD09</t>
  </si>
  <si>
    <t>MARR911024HSPRMF01</t>
  </si>
  <si>
    <t>REPE880608HSPNXD03</t>
  </si>
  <si>
    <t>MUTG830410HGTXRB09</t>
  </si>
  <si>
    <t>GOPJ900211HBCMCS09</t>
  </si>
  <si>
    <t>MOBA031120MSPRRLA1</t>
  </si>
  <si>
    <t>EIPG680830HVZNMR07</t>
  </si>
  <si>
    <t>PARH920731HSPDML00</t>
  </si>
  <si>
    <t>PAHL980918HJCDRS09</t>
  </si>
  <si>
    <t>SADJ791225HSPNMS06</t>
  </si>
  <si>
    <t>DIUM911125HCSMTS06</t>
  </si>
  <si>
    <t>PIPJ640913HJCLLN04</t>
  </si>
  <si>
    <t>MOPF981111HJCNRR04</t>
  </si>
  <si>
    <t>COSM810603HJCLLN08</t>
  </si>
  <si>
    <t>CIML860118HDFHJN01</t>
  </si>
  <si>
    <t>GAPI830507HJCRRV08</t>
  </si>
  <si>
    <t>VAEA000527HSPRSLA8</t>
  </si>
  <si>
    <t>RAOR901121HTSMRL03</t>
  </si>
  <si>
    <t>AEFM771002HCCRLR03</t>
  </si>
  <si>
    <t>LOTF741206HNTPLR09</t>
  </si>
  <si>
    <t>LOJG010510HJCPRSA5</t>
  </si>
  <si>
    <t>CIJD041107HSPSMGA5</t>
  </si>
  <si>
    <t>EAPM900802HSPSLG08</t>
  </si>
  <si>
    <t>SALM841106MJCLPY06</t>
  </si>
  <si>
    <t>ROSN880829MSPDRR01</t>
  </si>
  <si>
    <t>RORF680910HSPDMR09</t>
  </si>
  <si>
    <t>RARJ860202HSPMCS03</t>
  </si>
  <si>
    <t>AUHE720629MSPNRD09</t>
  </si>
  <si>
    <t>HESM740921HMCRNT00</t>
  </si>
  <si>
    <t>HEHN930807MSPRRM26</t>
  </si>
  <si>
    <t>ROSJ860701HSPDLN03</t>
  </si>
  <si>
    <t>ROHK900919MDFDRR05</t>
  </si>
  <si>
    <t>CAOC850731HZSBLR06</t>
  </si>
  <si>
    <t>EAET910412MHGSSR07</t>
  </si>
  <si>
    <t>GERA840525HSPRCR05</t>
  </si>
  <si>
    <t>REVC940619MSPSLR03</t>
  </si>
  <si>
    <t>CAMJ901229HSPNNN05</t>
  </si>
  <si>
    <t>OEPM881218HSPBRR08</t>
  </si>
  <si>
    <t>OOCE870811HSPRRD07</t>
  </si>
  <si>
    <t>FARJ000719HASBMNA7</t>
  </si>
  <si>
    <t>LOLJ730116HSPPPN06</t>
  </si>
  <si>
    <t>MACF801018HVZRRR09</t>
  </si>
  <si>
    <t>MADF841102HSPRZR03</t>
  </si>
  <si>
    <t>GASI740515HVZRNS03</t>
  </si>
  <si>
    <t>AOCL890427MSPLRZ02</t>
  </si>
  <si>
    <t>ROMJ981215HASDSN05</t>
  </si>
  <si>
    <t>QURM720927HNLNMR03</t>
  </si>
  <si>
    <t>RILM900609HSPVCG00</t>
  </si>
  <si>
    <t>GUJG840624HSPVRB05</t>
  </si>
  <si>
    <t>CABL940130HSPMLS08</t>
  </si>
  <si>
    <t>MOCE880614MSPNSL00</t>
  </si>
  <si>
    <t>RONL970115MSPDRZ05</t>
  </si>
  <si>
    <t>ROOG870405MGTDLB09</t>
  </si>
  <si>
    <t>MASO010624HSPRNSA6</t>
  </si>
  <si>
    <t>TERA830224HSPNDL00</t>
  </si>
  <si>
    <t>QUHM720615MSPNRR04</t>
  </si>
  <si>
    <t>AEBP821010MSPLNL01</t>
  </si>
  <si>
    <t>VETJ920513HSPLRN06</t>
  </si>
  <si>
    <t>DIVL971113HJCZLN02</t>
  </si>
  <si>
    <t>ROMO930112HNLDNB07</t>
  </si>
  <si>
    <t>REMF690612HDFYLR06</t>
  </si>
  <si>
    <t>SAMC920114HSPLRN06</t>
  </si>
  <si>
    <t>LOMH931019HSPPLC07</t>
  </si>
  <si>
    <t>DEAA880621HJCLRN00</t>
  </si>
  <si>
    <t>CABH961022HSPMRR08</t>
  </si>
  <si>
    <t>SEHA961122HMCGRN00</t>
  </si>
  <si>
    <t>BAOD871208MMNCLL03</t>
  </si>
  <si>
    <t>DIOI880110HJCZCV08</t>
  </si>
  <si>
    <t>ROGE910831HSPDND08</t>
  </si>
  <si>
    <t>TOCR850907HSPRSG05</t>
  </si>
  <si>
    <t>VEFV860807HJCLLC09</t>
  </si>
  <si>
    <t>PELR040710HSPRRMA6</t>
  </si>
  <si>
    <t>IINM851227HJCXVN00</t>
  </si>
  <si>
    <t>ROTM780218HDFDRG03</t>
  </si>
  <si>
    <t>ZATD910103HSPVRN04</t>
  </si>
  <si>
    <t>OEMD080501MJCRRNA5</t>
  </si>
  <si>
    <t>LORR910302HSPRVD07</t>
  </si>
  <si>
    <t>LOGJ040619HSPPLNA9</t>
  </si>
  <si>
    <t>COCA020403HNLNSLA3</t>
  </si>
  <si>
    <t>MORJ780925HDFNLN05</t>
  </si>
  <si>
    <t>SAHA000226HJCNRLA9</t>
  </si>
  <si>
    <t>AAME841028HMCNRN02</t>
  </si>
  <si>
    <t>BAMJ020827HSPRRNA2</t>
  </si>
  <si>
    <t>TOCJ920423HSPRHR08</t>
  </si>
  <si>
    <t>VAVA930819HDFRRL06</t>
  </si>
  <si>
    <t>MAPA970430HMNDRR08</t>
  </si>
  <si>
    <t>AALR951205HZSRPC02</t>
  </si>
  <si>
    <t>RULM840718HJCZZR01</t>
  </si>
  <si>
    <t>JISM930929HVZMNGO7</t>
  </si>
  <si>
    <t>FEMH050115HJCRNCA5</t>
  </si>
  <si>
    <t>COVA040717HJCNRNA8</t>
  </si>
  <si>
    <t>RUMR040224HNLZJBA5</t>
  </si>
  <si>
    <t>VEAJ760307HTSLRN03</t>
  </si>
  <si>
    <t>COBA991217HSPNRN02</t>
  </si>
  <si>
    <t>TOAN050401HJCSCHA7</t>
  </si>
  <si>
    <t>HEAO890507HJCRLS02</t>
  </si>
  <si>
    <t>AADH940321HDFNMC01</t>
  </si>
  <si>
    <t>VIGR000804HJCLMCA8</t>
  </si>
  <si>
    <t>TOPD810905HJCRLN01</t>
  </si>
  <si>
    <t>CALM890314HSPSPC00</t>
  </si>
  <si>
    <t>BABM770702HDFDLR02</t>
  </si>
  <si>
    <t>AAGL960829HSPLRS15</t>
  </si>
  <si>
    <t>ZAGJ960509HSPPRR00</t>
  </si>
  <si>
    <t>POGE020702HJCZLRA1</t>
  </si>
  <si>
    <t>MAAA050117HNLRLNA9</t>
  </si>
  <si>
    <t>MAHC901220HJCRRR05</t>
  </si>
  <si>
    <t>SACH980520HJCNLC00</t>
  </si>
  <si>
    <t>HEBF000912HSPRZRA5</t>
  </si>
  <si>
    <t>MACL960926HSPRLS04</t>
  </si>
  <si>
    <t>LORV900225HJCPNC07</t>
  </si>
  <si>
    <t>ROGL960502HSPDRS04</t>
  </si>
  <si>
    <t>TORJ040719HNLRZNA6</t>
  </si>
  <si>
    <t>CUGS050315HJCVLNA9</t>
  </si>
  <si>
    <t>FERJ580221SW6</t>
  </si>
  <si>
    <t>CAAF650224AJ1</t>
  </si>
  <si>
    <t>CAHL591029NG2</t>
  </si>
  <si>
    <t>GOMJ510829JI8</t>
  </si>
  <si>
    <t>MIVL900519IM6</t>
  </si>
  <si>
    <t>SAQJ670616DW1</t>
  </si>
  <si>
    <t>RARE9012146C5</t>
  </si>
  <si>
    <t>SASE880131KZ5</t>
  </si>
  <si>
    <t>MARA011109955</t>
  </si>
  <si>
    <t>MUTG830410TE6</t>
  </si>
  <si>
    <t>LOJG0105103H6</t>
  </si>
  <si>
    <t>AOCL8904278Z4</t>
  </si>
  <si>
    <t>DEAA880621594</t>
  </si>
  <si>
    <t>GALO881017AH7</t>
  </si>
  <si>
    <t>OEMD080501BN3</t>
  </si>
  <si>
    <t>NORTE</t>
  </si>
  <si>
    <t>LAT-168</t>
  </si>
  <si>
    <t>LAT-175</t>
  </si>
  <si>
    <t>LAT-229</t>
  </si>
  <si>
    <t>LAT-240</t>
  </si>
  <si>
    <t>LAT-261</t>
  </si>
  <si>
    <t>LAT-298</t>
  </si>
  <si>
    <t>LAT-308</t>
  </si>
  <si>
    <t>LAT-311</t>
  </si>
  <si>
    <t>LAT-365</t>
  </si>
  <si>
    <t>LAT-465</t>
  </si>
  <si>
    <t>LAT-487</t>
  </si>
  <si>
    <t>LAT-598</t>
  </si>
  <si>
    <t>LAT-651</t>
  </si>
  <si>
    <t>LAT-664</t>
  </si>
  <si>
    <t>LAT-719</t>
  </si>
  <si>
    <t>LAT-836</t>
  </si>
  <si>
    <t>LAT-160</t>
  </si>
  <si>
    <t>TRAM-561</t>
  </si>
  <si>
    <t>TRAM-596</t>
  </si>
  <si>
    <t>TRAM-649</t>
  </si>
  <si>
    <t>TRAM-738</t>
  </si>
  <si>
    <t>TRAM-797</t>
  </si>
  <si>
    <t>TRAM-855</t>
  </si>
  <si>
    <t>CONS-136</t>
  </si>
  <si>
    <t>LAT-139</t>
  </si>
  <si>
    <t>CONS-110</t>
  </si>
  <si>
    <t>CONS-348</t>
  </si>
  <si>
    <t>CONS-152</t>
  </si>
  <si>
    <t>CONS-357</t>
  </si>
  <si>
    <t>TRAM-803</t>
  </si>
  <si>
    <t>CONT-983</t>
  </si>
  <si>
    <t>LAT-939</t>
  </si>
  <si>
    <t>DICO-1005</t>
  </si>
  <si>
    <t>´03249219332</t>
  </si>
  <si>
    <t>ANALCO</t>
  </si>
  <si>
    <t>GUADALUPE</t>
  </si>
  <si>
    <t>VEAG920601HGRNND07</t>
  </si>
  <si>
    <t>VEAG920601C82</t>
  </si>
  <si>
    <t>ORIOL #219, CIMA SERENA, EL SALTO, JALISCO, C.P. 45685</t>
  </si>
  <si>
    <t>745 118 14 70</t>
  </si>
  <si>
    <t>analcojetsael@gmail.com</t>
  </si>
  <si>
    <t>MARITSA JOACHIN GALLARDO</t>
  </si>
  <si>
    <t>PRINCIPAL, OTRA NO ESPECIFICADA EN EL CATALOGO</t>
  </si>
  <si>
    <t>TECOANAPA</t>
  </si>
  <si>
    <t>MARTISA JOACHIN GALLARDO</t>
  </si>
  <si>
    <t>781 123 65 44</t>
  </si>
  <si>
    <t>BERNAL</t>
  </si>
  <si>
    <t>PAULINA GUADALUPE</t>
  </si>
  <si>
    <t>444 849 27 90</t>
  </si>
  <si>
    <t>pauligpe20@gmail.com</t>
  </si>
  <si>
    <t>ANTONIO NICODEMUS</t>
  </si>
  <si>
    <t>GAPA910117HSPLDN10</t>
  </si>
  <si>
    <t>GAPA9101179A2</t>
  </si>
  <si>
    <t>EMILIANO ZAPATA 410 A, CRUZ DEL MEZQUITE, SLP, C.P. 79650</t>
  </si>
  <si>
    <t>487 109 87 96</t>
  </si>
  <si>
    <t>nikoantoniogallegos17@gmail.com</t>
  </si>
  <si>
    <t>MARIA LORENA MUÑOZ CRUZ</t>
  </si>
  <si>
    <t>FRAMBOYANES, CENTRO</t>
  </si>
  <si>
    <t>444 413 79 24</t>
  </si>
  <si>
    <t>AABP971210MASLRL03</t>
  </si>
  <si>
    <t>AAPB971210K9A</t>
  </si>
  <si>
    <t>CIRCUITO LAGO ONTARIO 213, RESIDENCIAL LOS LAGOS, POZOS, S.L.P., C.P. 78427</t>
  </si>
  <si>
    <t>PATRICIA BERNAL ORNELAS</t>
  </si>
  <si>
    <t>LAGO ONTARIO, OTRA NO ESPECIFICADO EN EL CATALOGO</t>
  </si>
  <si>
    <t>VILLA DE POZOS</t>
  </si>
  <si>
    <t>444 121 06 40</t>
  </si>
  <si>
    <t>POLVO</t>
  </si>
  <si>
    <t>CONS-1006</t>
  </si>
  <si>
    <t>LAT-1007</t>
  </si>
  <si>
    <t>CONS-1008</t>
  </si>
  <si>
    <t>CAÑIZALES</t>
  </si>
  <si>
    <t>CARLOS JOEL</t>
  </si>
  <si>
    <t>CAAC820524HSPXVR08</t>
  </si>
  <si>
    <t>CAAC820524PY5</t>
  </si>
  <si>
    <t>SENDERO DE LA PUERTA ALTA 176, FRACC PUERTA DE PIEDRA, SAN LUIS POTOSI, SLP, C.P. 78385</t>
  </si>
  <si>
    <t>444 105 55 50</t>
  </si>
  <si>
    <t>cj_canizales@hotmail.com</t>
  </si>
  <si>
    <t>NANCY PATRICIA ALONSO REYES</t>
  </si>
  <si>
    <t>SAN LORENZO, SAN FELIPE</t>
  </si>
  <si>
    <t>444 805 19 44</t>
  </si>
  <si>
    <t>CONS-1010</t>
  </si>
  <si>
    <t>DULCE BEATRIZ</t>
  </si>
  <si>
    <t>RAZD031220MASNMLA6</t>
  </si>
  <si>
    <t>RAZD031220942</t>
  </si>
  <si>
    <t>JOSE RUIZ ESPARZA VEGA 130, VILLAS N.S.A GUADALUPE, AGUASCALIENTES, AGUASCALIENTES, C.P. 20126</t>
  </si>
  <si>
    <t>449 395 24 23</t>
  </si>
  <si>
    <t>dulcebeatrizrangelzamarripa04@gmail.com</t>
  </si>
  <si>
    <t>MA. GUADALUPE ZAMARRIPA BOCANEGRA</t>
  </si>
  <si>
    <t>JOSE RUIZ ESPARZA VEGA, VILLA DE NUESTRA SRA DE LA ASUNCIÓN SECTOR GUADALUPE</t>
  </si>
  <si>
    <t>MA. GUADALUPE AMARRIPA BOCANEGRA</t>
  </si>
  <si>
    <t>449 352 80 41</t>
  </si>
  <si>
    <t>DICO-1009</t>
  </si>
  <si>
    <t xml:space="preserve">SOLANO </t>
  </si>
  <si>
    <t>ANGELICA</t>
  </si>
  <si>
    <t>SOBA871008MJCLLN01</t>
  </si>
  <si>
    <t>SOBA8710081A1</t>
  </si>
  <si>
    <t>CASTILLO DE CHAPULTEPEC 1288 2, PARQUES DEL CASTILLO, JALISCO, C.P. 45685</t>
  </si>
  <si>
    <t>33 1839 4007</t>
  </si>
  <si>
    <t>angelicasolano1@gmail.com</t>
  </si>
  <si>
    <t>OSCAR ANTUNEZ HERNANDEZ</t>
  </si>
  <si>
    <t>ALEJANDRO DE RODAS, LAS CUMBRES</t>
  </si>
  <si>
    <t>33 22 02 5826</t>
  </si>
  <si>
    <t>VICTOR ISRAEL</t>
  </si>
  <si>
    <t>HECV980306HSPRSC00</t>
  </si>
  <si>
    <t>HECV980306IN5</t>
  </si>
  <si>
    <t>AND LA VIOLETA, #0323, PRADERAS DEL MAUREL, SOLEDAD DE GRACIANO SANCHEZ, S.L.P., C.P. 78436</t>
  </si>
  <si>
    <t>487 715 53 08</t>
  </si>
  <si>
    <t>victorisraelhernandezcastillo9@gmail.com</t>
  </si>
  <si>
    <t>PAOLA ITZEL HERNANDEZ CASTILLO</t>
  </si>
  <si>
    <t>FRANCISCO VILLA, OTRA NO ESPECIFICADO EN EL CATALOGO</t>
  </si>
  <si>
    <t>RAYON</t>
  </si>
  <si>
    <t>487 122 65 81</t>
  </si>
  <si>
    <t>´05139546278</t>
  </si>
  <si>
    <t xml:space="preserve">GAMEZ </t>
  </si>
  <si>
    <t>YADIRA</t>
  </si>
  <si>
    <t>COGY950325MSPRMD07</t>
  </si>
  <si>
    <t>COGY950325P11</t>
  </si>
  <si>
    <t>FTE A LA ESCUELA SN, SAN JOSE DE LOS SOTOLES, SLP, C.P. 78000</t>
  </si>
  <si>
    <t>488 136 41 78</t>
  </si>
  <si>
    <t>yadiracorg@gmail.com</t>
  </si>
  <si>
    <t>IMELDA GAMEZ PEREZ</t>
  </si>
  <si>
    <t>INDEPENDENCIA, SAN JOSE DE SOTOLES</t>
  </si>
  <si>
    <t>488 109 90 91</t>
  </si>
  <si>
    <t>DICO-701</t>
  </si>
  <si>
    <t>RAYMUNDO</t>
  </si>
  <si>
    <t>OIAR060529HSPBNYA3</t>
  </si>
  <si>
    <t>OIAR060529PF3</t>
  </si>
  <si>
    <t>CASTILLO DE MOMBELTRAN 477 3, PARQUES DEL CASTILLO, JALISCO, C.P. 45685</t>
  </si>
  <si>
    <t>481 126 22 66</t>
  </si>
  <si>
    <t>obisporaymundo77@gmail.com</t>
  </si>
  <si>
    <t>HUMBERTO OBISPO ANGELA</t>
  </si>
  <si>
    <t xml:space="preserve">CASTILLO DE MOMBELTRAN 477 , PARQUES DEL CASTILLO </t>
  </si>
  <si>
    <t>CONS-1011</t>
  </si>
  <si>
    <t>TRAM-1221</t>
  </si>
  <si>
    <t>LAT-1012</t>
  </si>
  <si>
    <t>HONORATO</t>
  </si>
  <si>
    <t>ANOTA</t>
  </si>
  <si>
    <t>HOAV680120HDFNNC00</t>
  </si>
  <si>
    <t>HOAV680120PDA</t>
  </si>
  <si>
    <t>C ALMENDROS 67, VILLA DE LAS FLORES 2DA SECC, COACALCO DE BERRIOZABAL, MEXICO, C.P. 55710</t>
  </si>
  <si>
    <t>SUPERVISOR DE OBRA ESPECIALIZADO</t>
  </si>
  <si>
    <t>55 79 30 51 32</t>
  </si>
  <si>
    <t>vmhonorato@hotmail.com</t>
  </si>
  <si>
    <t>ARLET JOCELYN HONORATO TORRES</t>
  </si>
  <si>
    <t>ALMENDROS, VILLA DE LAS FLORES 2A SECC</t>
  </si>
  <si>
    <t>COACALCO DE BERRIOZABAL</t>
  </si>
  <si>
    <t>55 79 25 33 13</t>
  </si>
  <si>
    <t>PIERRE GIOVANNI</t>
  </si>
  <si>
    <t>PERP831024HSPRYR08</t>
  </si>
  <si>
    <t>PERP831024TD1</t>
  </si>
  <si>
    <t>T ESTEVES 912 ED E 404, TEQUISQUIAPAN, SAN LUIS POTOSI, S.L.P., C.P. 78250</t>
  </si>
  <si>
    <t>MAESTRIA</t>
  </si>
  <si>
    <t>488 137 3475</t>
  </si>
  <si>
    <t>pierregio83@gmail.com</t>
  </si>
  <si>
    <t>MALPASO, MANUEL MORENO TORRES</t>
  </si>
  <si>
    <t>LAT-1014</t>
  </si>
  <si>
    <t>MAMP811221HZSRRD01</t>
  </si>
  <si>
    <t>HDA STO DOMINGO 125 A, LA CAMPINA RES V POZOS, BUENAVENTURA RESIDEN, SLP, C.P. 78423</t>
  </si>
  <si>
    <t>44 42 35 46 77</t>
  </si>
  <si>
    <t>pedrokarina36@gmail.com</t>
  </si>
  <si>
    <t>ARACELI LOPEZ IBAÑEZ</t>
  </si>
  <si>
    <t>DR COSS NTE, RESIDENCIAL VIDRIERA</t>
  </si>
  <si>
    <t>44 41 22 35 59</t>
  </si>
  <si>
    <t>LAT-1015</t>
  </si>
  <si>
    <t>´03147210888</t>
  </si>
  <si>
    <t>DE HARO</t>
  </si>
  <si>
    <t>RUVALCABA</t>
  </si>
  <si>
    <t>HARB720325HSPRVN07</t>
  </si>
  <si>
    <t>HARB720325GE6</t>
  </si>
  <si>
    <t>FRAY JOSE DE ARLEGUI 131, VILLA DE REYES, SLP, C.P. 79500</t>
  </si>
  <si>
    <t>444 135 15 30</t>
  </si>
  <si>
    <t>ruvalcababenito61@gmail.com</t>
  </si>
  <si>
    <t>GUADALUPE ALMENDAREZ NIÑO</t>
  </si>
  <si>
    <t>BLVD. ANTONIO ROCHA, LA PILA</t>
  </si>
  <si>
    <t>MARIA GUADALUPE ALMENDAREZ NIÑO</t>
  </si>
  <si>
    <t>44 45 07 83 48</t>
  </si>
  <si>
    <t xml:space="preserve">PEDRO </t>
  </si>
  <si>
    <t>MAMP811221M7</t>
  </si>
  <si>
    <t>SOTTO ANGEL</t>
  </si>
  <si>
    <t>LAVS930703HSPRRT09</t>
  </si>
  <si>
    <t>LAVS9307032P2</t>
  </si>
  <si>
    <t>CTO AMARELLO 144, FRACC OLINDA, POZOS, SLP, C.P. 78421</t>
  </si>
  <si>
    <t>AYUDANTE DE SOLDADOR</t>
  </si>
  <si>
    <t>444 537 24 25</t>
  </si>
  <si>
    <t>homsangel28@gmail.com</t>
  </si>
  <si>
    <t>MIROSLAVA INES VARGAS REYNA</t>
  </si>
  <si>
    <t>AVENIDA LIBERTAD, ZONA INDUSTRIAL</t>
  </si>
  <si>
    <t>MIROSLAVA ATENEA VARGAS RIVERA</t>
  </si>
  <si>
    <t>444 233 51 79</t>
  </si>
  <si>
    <t>TRAM-1235</t>
  </si>
  <si>
    <t>TRAM-840</t>
  </si>
  <si>
    <t>´03240767339</t>
  </si>
  <si>
    <t>GALARZA</t>
  </si>
  <si>
    <t>ADAIR ZURIEL</t>
  </si>
  <si>
    <t>GAMA070317HJCLCDA0</t>
  </si>
  <si>
    <t>GAMA070317E14</t>
  </si>
  <si>
    <t>ARROYO AMARGO 378 C, RUISENORES, TALA, JALISCO, C.P. 45350</t>
  </si>
  <si>
    <t>AYUDANTE GENERAL 5</t>
  </si>
  <si>
    <t>333 012 04 92</t>
  </si>
  <si>
    <t>adairgalarza826@gmail.com</t>
  </si>
  <si>
    <t>FERMIN GALARA HERRERA</t>
  </si>
  <si>
    <t>ARROYO AMARGO, LOS RUISEÑORES</t>
  </si>
  <si>
    <t>FERMIN GALARZA HERRERA</t>
  </si>
  <si>
    <t>334 631 17 03</t>
  </si>
  <si>
    <t>´05199809459</t>
  </si>
  <si>
    <t>OSCAR IVAN</t>
  </si>
  <si>
    <t>JIPO981218HSPMDS01</t>
  </si>
  <si>
    <t>JIPO9812183K5</t>
  </si>
  <si>
    <t>CALLE TREINTA Y DOS , EJIDO EL ABRA, CIUDAD VALLES, S.L.P., C.P. 79250</t>
  </si>
  <si>
    <t>481 100 73 46</t>
  </si>
  <si>
    <t>oscariv.padilla18@gmail.com</t>
  </si>
  <si>
    <t>ESTHER PADILLA GUILLEN</t>
  </si>
  <si>
    <t>CARRETERA VALLES TAMPICO, OTRA NO ESPECIFICADA EN EL CATALOGO</t>
  </si>
  <si>
    <t>481 145 33 52</t>
  </si>
  <si>
    <t>´09210434818</t>
  </si>
  <si>
    <t>25/03/206</t>
  </si>
  <si>
    <t>ESAU EMMANUEL</t>
  </si>
  <si>
    <t>MIPE040414HSPRXSA2</t>
  </si>
  <si>
    <t>MIPE040414F65</t>
  </si>
  <si>
    <t>LATINO 109 A, BOSQUES DE CASTILLA, SALINAS VICTORIA, N.L. N.L., C.P.65515</t>
  </si>
  <si>
    <t>esauxrd@gmail.com</t>
  </si>
  <si>
    <t>JUAN REYNA MEDELLIN</t>
  </si>
  <si>
    <t>PLATINO, BOSQUES DE CASTILLA</t>
  </si>
  <si>
    <t>811 8896143</t>
  </si>
  <si>
    <t>ISAURA DOLORES PEÑA MORALES</t>
  </si>
  <si>
    <t>CONS-1013</t>
  </si>
  <si>
    <t>CONS-1016</t>
  </si>
  <si>
    <t>CONS-1017</t>
  </si>
  <si>
    <t>CONS-1018</t>
  </si>
  <si>
    <t>CONS-1019</t>
  </si>
  <si>
    <t>´04048913679</t>
  </si>
  <si>
    <t>ELVER</t>
  </si>
  <si>
    <t>MEBE890307HGRDZL07</t>
  </si>
  <si>
    <t>MEBE8903078W6</t>
  </si>
  <si>
    <t>HIDALGO 340, LA VENTA DEL ASTILLERO, JALISCO, C.P. 45221</t>
  </si>
  <si>
    <t>333 017 73 29</t>
  </si>
  <si>
    <t>LAURA ISELA SIGALA RODRIGUEZ</t>
  </si>
  <si>
    <t>HIDALGO, OTRA NO ESPECIFICADA EN EL CATALOGO</t>
  </si>
  <si>
    <t>332 512 13 18</t>
  </si>
  <si>
    <t>CORONEL</t>
  </si>
  <si>
    <t>ESCOBAR</t>
  </si>
  <si>
    <t>ISMAEL MOISES</t>
  </si>
  <si>
    <t>COEI770703HSPRSS04</t>
  </si>
  <si>
    <t>COEI770703M13</t>
  </si>
  <si>
    <t>SAN PEDRO 433, PRADOSN VICENT OTE, SAN LUIS POTOSI, SLP, C.P. 78397</t>
  </si>
  <si>
    <t>moisescoronel.esc77@gmail.com</t>
  </si>
  <si>
    <t>FRANCISCA ESCOBAR ALVARADO</t>
  </si>
  <si>
    <t>ITURBIDE, OTRA NO ESPECIFICADA EN EL CATALOGO</t>
  </si>
  <si>
    <t>SAN MARCOS</t>
  </si>
  <si>
    <t>JULIA JANETH CUEVAS ESCOBAR</t>
  </si>
  <si>
    <t>44 42 84 44 68</t>
  </si>
  <si>
    <t>miguelangelmedranosigala@gmail.com</t>
  </si>
  <si>
    <t>LAT-460</t>
  </si>
  <si>
    <t>TRAM-1244</t>
  </si>
  <si>
    <t>MATA</t>
  </si>
  <si>
    <t>JESUS ADRIANA</t>
  </si>
  <si>
    <t>MACJ980426MSPTSS01</t>
  </si>
  <si>
    <t>MACJ9804267L7</t>
  </si>
  <si>
    <t>OLIVAR 109, PUERTA REAL, SOLEDAD DE GRACIANO SANCHEZ, SLP, C.P. 78430</t>
  </si>
  <si>
    <t>444 602 49 73</t>
  </si>
  <si>
    <t>matagamez2324@gmail.com</t>
  </si>
  <si>
    <t>GILBERTO GAMEZ GONZALEZ</t>
  </si>
  <si>
    <t>DE LA LUZ, OTRA NO ESPECIFICADA EN EL CATALOGO</t>
  </si>
  <si>
    <t>444 629 87 53</t>
  </si>
  <si>
    <t>POLEN</t>
  </si>
  <si>
    <t>LAT-1020</t>
  </si>
  <si>
    <t xml:space="preserve">CRUCES </t>
  </si>
  <si>
    <t>LUIS DAVID</t>
  </si>
  <si>
    <t>CUSL850313HSPRNS07</t>
  </si>
  <si>
    <t>CUSL850313TC2</t>
  </si>
  <si>
    <t>AV AMERICAS 205, PALMAS, SOLEDAD DE GRACIANO SANCHEZ, SLP, C.P. 78143</t>
  </si>
  <si>
    <t xml:space="preserve">MANUEL VELAZQUEZ </t>
  </si>
  <si>
    <t xml:space="preserve">729866 16 06 </t>
  </si>
  <si>
    <t>diecruces@gmail.com</t>
  </si>
  <si>
    <t>Yhira Janeth Silva Cruz</t>
  </si>
  <si>
    <t>BLVD JUAN ALINSO DE TORRES, SAN JERONIMO</t>
  </si>
  <si>
    <t>HECTOR ULISES</t>
  </si>
  <si>
    <t>SAMH970714HSPLRC03</t>
  </si>
  <si>
    <t>SAMH9707146N4</t>
  </si>
  <si>
    <t>ADOLFO LOPEZ MATEOS, SOLEDAD DE GRACIANO SANCHEZ CENTRO</t>
  </si>
  <si>
    <t>444 434 96 34</t>
  </si>
  <si>
    <t>ulisessalinas01@outlook.com</t>
  </si>
  <si>
    <t>LAURA LIZETH NIETO JARAMILLO</t>
  </si>
  <si>
    <t>44 43 34 44 94</t>
  </si>
  <si>
    <t>LAT-1021</t>
  </si>
  <si>
    <t>LAT-1022</t>
  </si>
  <si>
    <t>SAXJ001224HSPLXSA6</t>
  </si>
  <si>
    <t>SAJE001224IU5</t>
  </si>
  <si>
    <t>ADOLFO LOPEZ MATEOS, SAN JOSE DEL BARRO</t>
  </si>
  <si>
    <t>ADOLFO LOPEZ MATEOS 166, SN JOSE DEL BARRO, SOLEDAD DE GRACIANO SANCHEZ, SLP, C.P. 78433</t>
  </si>
  <si>
    <t>ADOLFO LOPEZ MATEOS 166, SAN JOSE DEL BARRO, SOLEDAD DE GRACIANO SANCHEZ, SLP, C.P. 78439</t>
  </si>
  <si>
    <t>44 46 40 73 66</t>
  </si>
  <si>
    <t>jesussalinas2c@gmail.com</t>
  </si>
  <si>
    <t>BRENDA JANETH MARTINEZ QUIROZ</t>
  </si>
  <si>
    <t>444 245 48 62</t>
  </si>
  <si>
    <t>RIML000523HSPSNSA2</t>
  </si>
  <si>
    <t>RIML000523JG4</t>
  </si>
  <si>
    <t>3A PRIV LAS HUERTAS 112, GARZAS, SAN LUIS POTOSI, SLP, C.P. 78239</t>
  </si>
  <si>
    <t>444 196 61 83</t>
  </si>
  <si>
    <t>lfdlr5@hotmail.com</t>
  </si>
  <si>
    <t>CLAUDIA MANZANARES</t>
  </si>
  <si>
    <t>3A PRIVADA DE LAS HUERTAS, VILLAS DE ANAHUAC</t>
  </si>
  <si>
    <t>444 184 46 58</t>
  </si>
  <si>
    <t>ALONSO</t>
  </si>
  <si>
    <t>IRVING ALEJANDRO</t>
  </si>
  <si>
    <t>AOLI000628HSPLRRA5</t>
  </si>
  <si>
    <t>AOLI0006288M3</t>
  </si>
  <si>
    <t>PRIV SANTA MARTHA 900, PRADERAS DL REAL, SAN LUIS POTOSÍ, SLP, C.P. 78394</t>
  </si>
  <si>
    <t>444 583 34 31</t>
  </si>
  <si>
    <t>VILLA MARIA, VILLA DE LOS CACTUS</t>
  </si>
  <si>
    <t>LAT-1023</t>
  </si>
  <si>
    <t>CONT-1024</t>
  </si>
  <si>
    <t>loredoirving55@gmail.com</t>
  </si>
  <si>
    <t xml:space="preserve">Angelica Judith Acosta López </t>
  </si>
  <si>
    <t>negadas</t>
  </si>
  <si>
    <t>´04917470074</t>
  </si>
  <si>
    <t>GACP760605CW1</t>
  </si>
  <si>
    <t>GACP760605HJCRRD01</t>
  </si>
  <si>
    <t>ORIOL 432 44B, CIMA SERENA, EL SALTO, JALISCO, C.P. 45685</t>
  </si>
  <si>
    <t>334 843 64 54</t>
  </si>
  <si>
    <t>garciacortespedro762@gmail.com</t>
  </si>
  <si>
    <t>VIVIANA GALLEGOS FLORES</t>
  </si>
  <si>
    <t>NIÑOS HEROES, MODERNA</t>
  </si>
  <si>
    <t>335 124 27 40</t>
  </si>
  <si>
    <t>DICO-1025</t>
  </si>
  <si>
    <t>DICO-1026</t>
  </si>
  <si>
    <t>DICO-632</t>
  </si>
  <si>
    <t>´03240359806</t>
  </si>
  <si>
    <t>AVELINO</t>
  </si>
  <si>
    <t>NOE</t>
  </si>
  <si>
    <t>MAAN031206HMCRVXA0</t>
  </si>
  <si>
    <t>MAAN031206P27</t>
  </si>
  <si>
    <t>OLIVO MEDITARRANEO 81, VALLE DE LOS OLIVOS, JALISCO, C.P. 45877</t>
  </si>
  <si>
    <t>331 115 27 01</t>
  </si>
  <si>
    <t>reyezn042@gmail.com</t>
  </si>
  <si>
    <t>ARACELI CARDENAS MARTINEZ</t>
  </si>
  <si>
    <t>CUAUHTEMOC, OTRA NO ESPECIFICADA EN EL CATALOGO</t>
  </si>
  <si>
    <t>VECINA</t>
  </si>
  <si>
    <t>332 588 54 19</t>
  </si>
  <si>
    <t>´04128105253</t>
  </si>
  <si>
    <t>ALFREDO</t>
  </si>
  <si>
    <t>LEGA810613HVZRNL09</t>
  </si>
  <si>
    <t>LEGA810613VB0</t>
  </si>
  <si>
    <t>MAGNOLIA 17, CHULAVISTA, TLAJOMULCO DE ZUNIGA, JALISCO, C.P. 45653</t>
  </si>
  <si>
    <t>a130681lg@gmail.com</t>
  </si>
  <si>
    <t>ROCIO OCEGUEDA GARCIA</t>
  </si>
  <si>
    <t>CERRO TORCIDO, CHULAVISTA</t>
  </si>
  <si>
    <t>332 963 55 44</t>
  </si>
  <si>
    <t>ORTA</t>
  </si>
  <si>
    <t>JOSE BERNANRDO</t>
  </si>
  <si>
    <t>OALB760820HSPRPR02</t>
  </si>
  <si>
    <t>OALB760820A56</t>
  </si>
  <si>
    <t>VALLE DEL EBANO 121 A, FRACC VALLE DE SANTIAGO, SOLEDAD DE GRACIANO SANCHEZ , S.L.P., C.P. 78433</t>
  </si>
  <si>
    <t>ING COMPUTACION</t>
  </si>
  <si>
    <t>AUXILIAR DE SOPORTE TECNICO</t>
  </si>
  <si>
    <t>444 316 83 83</t>
  </si>
  <si>
    <t>bernardo.orta.lopez@gmail.com</t>
  </si>
  <si>
    <t>BERNARDO ISAAC ORTA MENDOZA</t>
  </si>
  <si>
    <t>1A PRIVADA DE FLORES MAGON, ENRIQUE FLORES MAGON</t>
  </si>
  <si>
    <t>444 448 79 90</t>
  </si>
  <si>
    <t>TRAM-1250</t>
  </si>
  <si>
    <t>MARIA ISABEL</t>
  </si>
  <si>
    <t>CONS-0347</t>
  </si>
  <si>
    <t>RARI800909MNLMYS06</t>
  </si>
  <si>
    <t>RARI800909SM0</t>
  </si>
  <si>
    <t>CALLE LIMA #225  COL. LOS NOGALES,  C.P.66055  ESCOBEDO, N.L</t>
  </si>
  <si>
    <t>PEJF990813HTLRMR11</t>
  </si>
  <si>
    <t>PEJF990813G10</t>
  </si>
  <si>
    <t>CIRCUITO FULGOR 248, FUENTE DE LA ASUNCIÓN, AGUASCALIENTES, AGS. C.P. 20268</t>
  </si>
  <si>
    <t>222 586 44 06</t>
  </si>
  <si>
    <t>javi.perezjimenez130899@gmail.com</t>
  </si>
  <si>
    <t>15 SUR, BARRIO DE SANTIAFO</t>
  </si>
  <si>
    <t>203 A</t>
  </si>
  <si>
    <t>PUEBLA</t>
  </si>
  <si>
    <t>CONS-1027</t>
  </si>
  <si>
    <t>DICO-1028</t>
  </si>
  <si>
    <t>´04139513420</t>
  </si>
  <si>
    <t>JUAN DANIEL</t>
  </si>
  <si>
    <t>ROMJ950417HJCSRN09</t>
  </si>
  <si>
    <t>ROMJ950417FJ7</t>
  </si>
  <si>
    <t>CASTILLO DE CHAPULTEPEC 927 33, PARQUES DEL CASTILLO, JALISCO, C.P. 45685</t>
  </si>
  <si>
    <t>332 582 85 17</t>
  </si>
  <si>
    <t>VANESA ANAHI PEREZ JIMENEZ</t>
  </si>
  <si>
    <t>937 140 63 82</t>
  </si>
  <si>
    <t>danielmartinez9517@gmail.com</t>
  </si>
  <si>
    <t>HERIBERTO ROSALES MARTINEZ</t>
  </si>
  <si>
    <t>A, ALAMEDA</t>
  </si>
  <si>
    <t>KENIA ALEJANDRA MONTES SANCHEZ</t>
  </si>
  <si>
    <t>331 856 43 34</t>
  </si>
  <si>
    <t>DICO-1029</t>
  </si>
  <si>
    <t>SOOF941031HJCTCR06</t>
  </si>
  <si>
    <t>SOOF9410318J6</t>
  </si>
  <si>
    <t>CIRCUITO DE LAS BEGONIAS 11, JARDINES DEL CASTILLO, JALISCO, C.P. 45686</t>
  </si>
  <si>
    <t>33 3005 19 48</t>
  </si>
  <si>
    <t>sotoochoafrancisco27@gmail.com</t>
  </si>
  <si>
    <t>MARA DE LOS ANGELES SOTO OCHOA</t>
  </si>
  <si>
    <t>AVENIDA NIÑOS HEROES, MODERNA</t>
  </si>
  <si>
    <t>MARIA DE LOS ANGELES SOTO OCHOA</t>
  </si>
  <si>
    <t>332 227 97 58</t>
  </si>
  <si>
    <t>OB-</t>
  </si>
  <si>
    <t>1006-CON</t>
  </si>
  <si>
    <t>FERNANDO ALEXANDER</t>
  </si>
  <si>
    <t>ROVF070506HJCDLRA0</t>
  </si>
  <si>
    <t>ROVF070506NK1</t>
  </si>
  <si>
    <t>QUETZAL 111B 72 B, CIMA SERENA, EL SALTO, JALISCO, C.P. 45685</t>
  </si>
  <si>
    <t>334 429 73 98</t>
  </si>
  <si>
    <t>roddriguezvelazquezfernandoalex@gmail.com</t>
  </si>
  <si>
    <t>OLGA LIDIA HERNANDEZ FLORES</t>
  </si>
  <si>
    <t>QUETZAL, CIMA SERENA</t>
  </si>
  <si>
    <t>111 B</t>
  </si>
  <si>
    <t>DIEGO ALEJANDRO VALDIVIA OLVERA</t>
  </si>
  <si>
    <t>332 021 44 39</t>
  </si>
  <si>
    <t>CONS-1031</t>
  </si>
  <si>
    <t>ROAN</t>
  </si>
  <si>
    <t>MARR991008HSPRNF07</t>
  </si>
  <si>
    <t>MARR991008IG4</t>
  </si>
  <si>
    <t>CIUDAD VALLES 202, LAS ANIMAS, MATEHUALA, SLP, C.P. 78798</t>
  </si>
  <si>
    <t>488 883 41 55</t>
  </si>
  <si>
    <t>rafaelmartinezroan734@gmail.com</t>
  </si>
  <si>
    <t>AMY BARAJAS GARCIA</t>
  </si>
  <si>
    <t>CORDILLERA DE LOS ALPES, VILLAS DEL PEDREGAL</t>
  </si>
  <si>
    <t>488 112 44 90</t>
  </si>
  <si>
    <t>ANDER RAFAEL MARTINEZ ROMO</t>
  </si>
  <si>
    <t>RAFAEL</t>
  </si>
  <si>
    <t>DOMINGO</t>
  </si>
  <si>
    <t>MASD800210HSPRNM08</t>
  </si>
  <si>
    <t>MASD800210KAA</t>
  </si>
  <si>
    <t>AV UNIVERSIDAD 214, PUENTE DEL CARMEN, RV, SLP, C.P.79617</t>
  </si>
  <si>
    <t>487 144 31 78</t>
  </si>
  <si>
    <t>mtzdomingosz1@gmail.com</t>
  </si>
  <si>
    <t>LAURA CRUZ SAN JUAN</t>
  </si>
  <si>
    <t>CARRETERRA LIBRE RIO VERDE A CERRITOS KM 11</t>
  </si>
  <si>
    <t>487 122 57 10</t>
  </si>
  <si>
    <t>DICO-1033</t>
  </si>
  <si>
    <t>JIPE000822HJCMXDA4</t>
  </si>
  <si>
    <t>JIPE000822746</t>
  </si>
  <si>
    <t>ALVARO OBREGON 13, EL CASTILLO, VILLA DE GPE 2DA SEC, JALISCO, C.P. 45686</t>
  </si>
  <si>
    <t>332 044 53 33</t>
  </si>
  <si>
    <t>lalojimenezpena@gmail.com</t>
  </si>
  <si>
    <t>MARINA PEÑA AMEZQUITA</t>
  </si>
  <si>
    <t>VALLE DE SANTIAGO</t>
  </si>
  <si>
    <t>MARINA PEÑA AMEZQITA</t>
  </si>
  <si>
    <t>334 921 42 19</t>
  </si>
  <si>
    <t>CONT-1034</t>
  </si>
  <si>
    <t>EGUIA</t>
  </si>
  <si>
    <t>EUBE930808HSPGRN04</t>
  </si>
  <si>
    <t>EUBE930808FA</t>
  </si>
  <si>
    <t>DEL EBANO 419, ALAMOS, SAN LUIS POTOSI, SLP, C.P. 78174</t>
  </si>
  <si>
    <t>AUDITOR</t>
  </si>
  <si>
    <t>PIERRE PEREZ</t>
  </si>
  <si>
    <t>444 492 66 99</t>
  </si>
  <si>
    <t>enriqueeguiabriones@gmail.com</t>
  </si>
  <si>
    <t>ANA MONSERRATH EGUIA BRIONES</t>
  </si>
  <si>
    <t>NICOLAS FERNANDO TORRES, VIVEROS</t>
  </si>
  <si>
    <t>L404</t>
  </si>
  <si>
    <t>488 128 27 84</t>
  </si>
  <si>
    <t>LAT-1035</t>
  </si>
  <si>
    <t>ALAN KERIM</t>
  </si>
  <si>
    <t>JARA931213HSPSCL03</t>
  </si>
  <si>
    <t>JARA931213PL9</t>
  </si>
  <si>
    <t>444 460 88 42</t>
  </si>
  <si>
    <t>BRENDA IRENE VAZQUEZ DORADO</t>
  </si>
  <si>
    <t>RICARDO B ANAYA, ESTRELLA DE ORIENTE</t>
  </si>
  <si>
    <t>444 639 45 03</t>
  </si>
  <si>
    <t>AV CORAL 1933, FRACC INDUSTRIAS, SAN LUIS POTOSI, SLP, C.P. 78395</t>
  </si>
  <si>
    <t>alankerimj@gmail.com</t>
  </si>
  <si>
    <t>´04099306120</t>
  </si>
  <si>
    <t>PAGANINI 3 A, LA MORA, CUISILLOS, JALISCO, C.P. 45310</t>
  </si>
  <si>
    <t>PAGANINI, CUISILLOS</t>
  </si>
  <si>
    <t>ANADORAMAR DE JESUS SANCHEZ RIOS</t>
  </si>
  <si>
    <t>LAT-1036</t>
  </si>
  <si>
    <t>MOBA990719HSPRRD06</t>
  </si>
  <si>
    <t>MOBA990719FF4</t>
  </si>
  <si>
    <t>2A PRIV VALLEJO 163 B, GRAL I MARTINEZ, SAN LUIS POTOSI, SLP, C.P. 78360</t>
  </si>
  <si>
    <t>474 176 44 72</t>
  </si>
  <si>
    <t>joelbarcena99@gmail.com</t>
  </si>
  <si>
    <t>ALMA ELENA BARCENA MARTINEZ</t>
  </si>
  <si>
    <t>44 41 77 34 36</t>
  </si>
  <si>
    <t>´05159475721</t>
  </si>
  <si>
    <t>OSCAR ALEJANDRO</t>
  </si>
  <si>
    <t>AEVO940610HJCLLS04</t>
  </si>
  <si>
    <t>AEVO940610HF9</t>
  </si>
  <si>
    <t>COTO VIRGO 23, COLINAS DEL SOL, EL MUEY, EL SALTO, JALISCO, C.P. 45683</t>
  </si>
  <si>
    <t>333 149 01 65</t>
  </si>
  <si>
    <t>alejandreoscar47@gmail.com</t>
  </si>
  <si>
    <t>JOSE ARMANDO ALEJANDRE VELAZQUEZ</t>
  </si>
  <si>
    <t>AZUCENAS PONIENTE, LA AZUCENA</t>
  </si>
  <si>
    <t>12-A</t>
  </si>
  <si>
    <t>332 251 32 61</t>
  </si>
  <si>
    <t>ANTONIO</t>
  </si>
  <si>
    <t>ORDOÑEZ</t>
  </si>
  <si>
    <t>ELIEBER</t>
  </si>
  <si>
    <t>AOOE860604HCSNRL09</t>
  </si>
  <si>
    <t>AOOE860604C46</t>
  </si>
  <si>
    <t>CASTILLO DE PALAZUELOS 597 5PB, PARQUES DEL CASTILLO, JALISCO, C.P. 45685</t>
  </si>
  <si>
    <t>871 270 03 87</t>
  </si>
  <si>
    <t>antonioelieber@gmail.com</t>
  </si>
  <si>
    <t>REY DAVID ANTONIO ORDOÑEZ</t>
  </si>
  <si>
    <t>BLVD LOS OLIVOS, EL FLORIDO II</t>
  </si>
  <si>
    <t>DANIEL PEREZ Y CELIDA ANTONIO</t>
  </si>
  <si>
    <t>AMIGO / HERMANA</t>
  </si>
  <si>
    <t>3322253777 / 9186942470</t>
  </si>
  <si>
    <t xml:space="preserve">MOYA </t>
  </si>
  <si>
    <t>MOPM990722HSPYRR09</t>
  </si>
  <si>
    <t>MOPM990722G6A</t>
  </si>
  <si>
    <t>PROL DR GABRIEL MARTINEZ 103 C, LOS ALONSOS, RIO VERDE, SLP, C.P. 79610</t>
  </si>
  <si>
    <t>487 125 87 35</t>
  </si>
  <si>
    <t>moyamar99@gmail.com</t>
  </si>
  <si>
    <t>CAMPILLO MARTINEZ HILDA DINORAH</t>
  </si>
  <si>
    <t>EMILIANO ZAPATA, RIO VERDE CENTROQ</t>
  </si>
  <si>
    <t>ROVERDE</t>
  </si>
  <si>
    <t>487 114 69 15</t>
  </si>
  <si>
    <t>LUZ REBECA MOYA CAMPILLO</t>
  </si>
  <si>
    <t>MARTIN URIEL</t>
  </si>
  <si>
    <t>AATM851103HSPLLR05</t>
  </si>
  <si>
    <t>AATM8511039L6</t>
  </si>
  <si>
    <t>CALLE 42313 F, PRADOS 2A SECC, SAN LUIS POTOSI, SLP, C.P. 78394</t>
  </si>
  <si>
    <t>444 440 5800</t>
  </si>
  <si>
    <t>uriel.alvarado985@gmail.com</t>
  </si>
  <si>
    <t>BLANCA ELIZABETH GONZALEZ CAMPOS</t>
  </si>
  <si>
    <t>42, OTRA NO ESPECIFICADA EN EL CATALOGO</t>
  </si>
  <si>
    <t>444 382 10 15</t>
  </si>
  <si>
    <t>LAT-1040</t>
  </si>
  <si>
    <t>JOSE HUMBERTO</t>
  </si>
  <si>
    <t>MASH980325HSPNLM07</t>
  </si>
  <si>
    <t>MASH980325273</t>
  </si>
  <si>
    <t>EMILIANO ZAPATA 130, LA PILA , SLP, C.P. 78420</t>
  </si>
  <si>
    <t>444 613 22 11</t>
  </si>
  <si>
    <t>gomezwendy86566@gmail.com</t>
  </si>
  <si>
    <t>WENDY PAOLA SIERRA GOMEZ</t>
  </si>
  <si>
    <t>ARROYO HONDO, OTRA NO ESPECIFICADA EN EL CATALOGO</t>
  </si>
  <si>
    <t>CONS-1041</t>
  </si>
  <si>
    <t>´02250827983</t>
  </si>
  <si>
    <t>JONATHAN JACOB</t>
  </si>
  <si>
    <t>AUMJ080205HNLGRNA1</t>
  </si>
  <si>
    <t>AUMJ08020556A</t>
  </si>
  <si>
    <t>801 509 71 27</t>
  </si>
  <si>
    <t>CELESTE XIOMARA PEREZ ARANDA</t>
  </si>
  <si>
    <t>PELICANO, PASEO DE SANTA ROSA</t>
  </si>
  <si>
    <t>812 428 85 11</t>
  </si>
  <si>
    <t>CONS-1042</t>
  </si>
  <si>
    <t>VALADEZ</t>
  </si>
  <si>
    <t>FRIAS</t>
  </si>
  <si>
    <t>MARTIN</t>
  </si>
  <si>
    <t>VAFM700110HJCLRRR03</t>
  </si>
  <si>
    <t>VAFM700110BA8</t>
  </si>
  <si>
    <t>CALLE ESTAÑO 27, BALCONES DE LA CANTERA, ZAPOPAN, C.P. 45186</t>
  </si>
  <si>
    <t>33 12272682</t>
  </si>
  <si>
    <t>mar_valadez@hotmail.com</t>
  </si>
  <si>
    <t>SANDRA IVETTE VALADEZ CASTAÑEDA</t>
  </si>
  <si>
    <t>VALLE DEL EUFRATES, ZAPOPAN</t>
  </si>
  <si>
    <t>331 461  36 21</t>
  </si>
  <si>
    <t>JARDINES DEL ABETO 315, APODACA, NL, C.P. 66613</t>
  </si>
  <si>
    <t>aguilarjacob430@gmail.com</t>
  </si>
  <si>
    <t>TRAM-1258</t>
  </si>
  <si>
    <t>LAT-1043</t>
  </si>
  <si>
    <t>´02159091368</t>
  </si>
  <si>
    <t>SANTAMARIA</t>
  </si>
  <si>
    <t>IGNACIO YOBANIC</t>
  </si>
  <si>
    <t>FOSI900917HMCLNG06</t>
  </si>
  <si>
    <t>FOSI9009177C3</t>
  </si>
  <si>
    <t>228 571 0270</t>
  </si>
  <si>
    <t>camus1790@gmail.com</t>
  </si>
  <si>
    <t>FATIMA JOSELIN CASTILLO GARCIA</t>
  </si>
  <si>
    <t>RIO SORDO, CAROLINO ANAYA</t>
  </si>
  <si>
    <t>XALAPA</t>
  </si>
  <si>
    <t>Fatima Joseline Castillo Garcia</t>
  </si>
  <si>
    <t>486-103-64-10</t>
  </si>
  <si>
    <t>EL TEPOZAN, EL TEPOZAN, C.P. 79431, S.L.P.</t>
  </si>
  <si>
    <t>´03159615230</t>
  </si>
  <si>
    <t>MANUEL</t>
  </si>
  <si>
    <t>VALM960812HSPZPN00</t>
  </si>
  <si>
    <t>VALM9608126Y0</t>
  </si>
  <si>
    <t>BALTAZAR CERVANTES 10, PALO SECO, S.L.P., C.P. 79450</t>
  </si>
  <si>
    <t xml:space="preserve">486 113 96 34 </t>
  </si>
  <si>
    <t>berrendo3@gmail.com</t>
  </si>
  <si>
    <t>PERLA CECILIA MARTINEZ SOLIS</t>
  </si>
  <si>
    <t>LAGUNAS, SAN ISIDRO</t>
  </si>
  <si>
    <t>LOMAS</t>
  </si>
  <si>
    <t>486 107 52 02</t>
  </si>
  <si>
    <t>LAT-1044</t>
  </si>
  <si>
    <t xml:space="preserve">TANIA DENISSE </t>
  </si>
  <si>
    <t>SART000406MSPNZNA9</t>
  </si>
  <si>
    <t>SART000406GH8</t>
  </si>
  <si>
    <t>MONTE XANIC 111, FRACCION ZAPOTE, LOS VINEDOS, SLP, C.P. 79482</t>
  </si>
  <si>
    <t>444 348 64 38</t>
  </si>
  <si>
    <t>ruiztania82@gmail.com</t>
  </si>
  <si>
    <t>JUAN MIRANDA CEPEDA</t>
  </si>
  <si>
    <t>MONTE XANIC, SOLEDAD DE GRACIANO SANCHEZ CENTRO</t>
  </si>
  <si>
    <t>444 550 3525</t>
  </si>
  <si>
    <t>LAT-1045</t>
  </si>
  <si>
    <t>´03147493559</t>
  </si>
  <si>
    <t>TERAN</t>
  </si>
  <si>
    <t>VICTOR HUGO</t>
  </si>
  <si>
    <t>LOTV740613HSPPRC01</t>
  </si>
  <si>
    <t>LOTV740613DE3</t>
  </si>
  <si>
    <t>CTO GRANJAS 461 E3 D 12, TORRES DE MEXICO, SAN LUIS POTOSI, SLP, C.P. 78144</t>
  </si>
  <si>
    <t>440 208 52 34</t>
  </si>
  <si>
    <t>asdvictor74@gmail.com</t>
  </si>
  <si>
    <t>MATILDE TERAN CORONA</t>
  </si>
  <si>
    <t>TORRE EIFFEL, LAS TORRES DE MEXICO</t>
  </si>
  <si>
    <t>444 428 71 79</t>
  </si>
  <si>
    <t>ANA CAROLINA LPEZ</t>
  </si>
  <si>
    <t>´05260673800</t>
  </si>
  <si>
    <t xml:space="preserve">ESTRADA </t>
  </si>
  <si>
    <t>PAJARITO</t>
  </si>
  <si>
    <t>ALEXIS LEONARDO</t>
  </si>
  <si>
    <t>EAPA060121HJCSJLA9</t>
  </si>
  <si>
    <t>EAPA060121518</t>
  </si>
  <si>
    <t>THUYAS 1912 D, BONITO JALISCO, JALISCO, C.P. 45696</t>
  </si>
  <si>
    <t>331 17 15 971</t>
  </si>
  <si>
    <t>pajaritoalexis138@gmail.com</t>
  </si>
  <si>
    <t>MELANY DAJAHANA TORRES RAMIREZ</t>
  </si>
  <si>
    <t>MANUEL BRANBILA, EL DEAN</t>
  </si>
  <si>
    <t>MELANY DAJHANA TORRES RAMIREZ</t>
  </si>
  <si>
    <t>331 721 25 32</t>
  </si>
  <si>
    <t>DICO-1046</t>
  </si>
  <si>
    <t>CONS-1047</t>
  </si>
  <si>
    <t>´04097608949</t>
  </si>
  <si>
    <t>LOTL760424HMNPRS09</t>
  </si>
  <si>
    <t>LOTL760424KS5</t>
  </si>
  <si>
    <t>ARROYO VERDE 76, RUISENORES,TALA, JALISCO, C.P. 45350</t>
  </si>
  <si>
    <t>981 431 32 39 / 453 143 24 03</t>
  </si>
  <si>
    <t>lopeztorresluis86@gmail.com</t>
  </si>
  <si>
    <t>MA. DEL REOCIO ARREDONDO QUIJANO</t>
  </si>
  <si>
    <t>ARROYO DEL GUAYABO, OTRA NO ESPECIFICADA EN EL CATALOGO</t>
  </si>
  <si>
    <t>MA. DEL ROCIO ARREDONDO QUIJANO</t>
  </si>
  <si>
    <t>485 116 09 00</t>
  </si>
  <si>
    <t>TRAM-1260</t>
  </si>
  <si>
    <t>DICO-1030</t>
  </si>
  <si>
    <t>CONS-1032</t>
  </si>
  <si>
    <t>DICO-1037</t>
  </si>
  <si>
    <t>DICO-1038</t>
  </si>
  <si>
    <t>CONS-1039</t>
  </si>
  <si>
    <t>MORTERA</t>
  </si>
  <si>
    <t>GABRIELA IVETT</t>
  </si>
  <si>
    <t>MOJG810423MNERMB07</t>
  </si>
  <si>
    <t>MOJG810423GTA</t>
  </si>
  <si>
    <t>N R BARRAGAN 1360 B 8, DEL PARQUE, SAN LUIS POTOSI,SLP, C.P. 78209</t>
  </si>
  <si>
    <t>444 714 86 08</t>
  </si>
  <si>
    <t>gabymor2013@gmail.com</t>
  </si>
  <si>
    <t xml:space="preserve">ELLEANA ALEJANDRA MORTERA JIMENEZ </t>
  </si>
  <si>
    <t>BLVDDIAZORDAZ, SAN PEDRO GARZA GARCIA</t>
  </si>
  <si>
    <t>KM3 33</t>
  </si>
  <si>
    <t>L1</t>
  </si>
  <si>
    <t>SAN PEDRO GARZAGARCIA</t>
  </si>
  <si>
    <t>449 867 85 94</t>
  </si>
  <si>
    <t>DICO-909</t>
  </si>
  <si>
    <t>CONS-970</t>
  </si>
  <si>
    <t>LAT-1048</t>
  </si>
  <si>
    <t>TRAM-1263</t>
  </si>
  <si>
    <t>SAFL800823HSPLLS05</t>
  </si>
  <si>
    <t>SAFL800823M5A</t>
  </si>
  <si>
    <t>MAYAS 205, INDUST SAN LUIS, SAN LUIS POTOSI, SLP, C.P. 78395</t>
  </si>
  <si>
    <t>444 502 95 10</t>
  </si>
  <si>
    <t>jaseluisalazar80@gmail.com</t>
  </si>
  <si>
    <t>RAMONA CASTILLO LARA</t>
  </si>
  <si>
    <t>LIBRAMIENTO SUR KM 10, AGUAJE</t>
  </si>
  <si>
    <t>444 285 89 49</t>
  </si>
  <si>
    <t>LAT-1049</t>
  </si>
  <si>
    <t>CUMJ000313HGTLRNA6</t>
  </si>
  <si>
    <t>CUMJ0003134I2</t>
  </si>
  <si>
    <t>BENIGNO ARRIAGA 154, RIVAS GUILLEN, SOLEDAD DE GRACIANO,SLP, C.P. 78780</t>
  </si>
  <si>
    <t>446 128 7264</t>
  </si>
  <si>
    <t>MARIA TERESA MARTINEZ AGUIRRE</t>
  </si>
  <si>
    <t>ANGELES, LA GLORIA</t>
  </si>
  <si>
    <t>SALAMANCA</t>
  </si>
  <si>
    <t>446 128 72 64</t>
  </si>
  <si>
    <t>PASEO DEL VALLE DE BAGRES 171, LOS SILOS, VILLA DE POZOS, SAN, SL, C.P. 78394</t>
  </si>
  <si>
    <t>44 44 67 38 13</t>
  </si>
  <si>
    <t>SSICA GUADALUPE VELAZQUEZ TORRES</t>
  </si>
  <si>
    <t>44 46 87 22 03</t>
  </si>
  <si>
    <t>DICO-1050</t>
  </si>
  <si>
    <t>´05210423561</t>
  </si>
  <si>
    <t>PUMA040724HJCNRDA1</t>
  </si>
  <si>
    <t>PUMA040724534</t>
  </si>
  <si>
    <t>MAPLE 47 9 E, CAMPO BELLO, JALISCO, C.P. 45685</t>
  </si>
  <si>
    <t>331 228 47 07</t>
  </si>
  <si>
    <t>adolfopechugon@gmail.com</t>
  </si>
  <si>
    <t>MARIA BERTHA MARTINEZ PEDROZA</t>
  </si>
  <si>
    <t>INDEPENDENCIA, OBLATOS</t>
  </si>
  <si>
    <t>33 1468 7774</t>
  </si>
  <si>
    <t xml:space="preserve">VILLA DE REYES </t>
  </si>
  <si>
    <t>DICO-840</t>
  </si>
  <si>
    <t xml:space="preserve">´04917404743    </t>
  </si>
  <si>
    <t>JOSE OMAR OSCAR</t>
  </si>
  <si>
    <t>GOAO740410HJCNGM02</t>
  </si>
  <si>
    <t>GOAO740410BB9</t>
  </si>
  <si>
    <t>CALLE 3 LOTE 3MANZANA 4, PARQUE INDUSTRIAL EL SALTO, JALISCO, C.P. 45680</t>
  </si>
  <si>
    <t>omargonzaleza@live.com.mx</t>
  </si>
  <si>
    <t>´04129706430</t>
  </si>
  <si>
    <t>LUIS ALFREDO</t>
  </si>
  <si>
    <t>ROML970203HJCSRS03</t>
  </si>
  <si>
    <t>ROML970203TW8</t>
  </si>
  <si>
    <t>CAMPANULA 55, LAS LILAS, LA ALCANTARILLA, JALISCO, C.P. 45680</t>
  </si>
  <si>
    <t>Luisalfredorosas97@outlook.es</t>
  </si>
  <si>
    <t>BERENICE JAQUELINE RUELAS JIMENEZ</t>
  </si>
  <si>
    <t>IGNACIO GUTIERREZ, OTRA NO ESPECIFICADA EN EL CATALOGO</t>
  </si>
  <si>
    <t xml:space="preserve">CAMPOS </t>
  </si>
  <si>
    <t>LEAL</t>
  </si>
  <si>
    <t>CLAUDIO ALEXIS</t>
  </si>
  <si>
    <t>CALC020417HMCMLLA6</t>
  </si>
  <si>
    <t>CALC020417J45</t>
  </si>
  <si>
    <t>444 381 2371</t>
  </si>
  <si>
    <t>claudioleal16@outlook.com</t>
  </si>
  <si>
    <t>Maria Carolina Leal García</t>
  </si>
  <si>
    <t>JUAN ALVAREZ, NICOLAS BRAVO</t>
  </si>
  <si>
    <t>MZ 2</t>
  </si>
  <si>
    <t>LT4</t>
  </si>
  <si>
    <t>ECATEPEC DE MORALES</t>
  </si>
  <si>
    <t>ORH +</t>
  </si>
  <si>
    <t>HACIENDAS POTOSINAS 173, HACIENDAS DE SANTIAGO, SAN LUIS POTOSI, SLP, C.P. 78136</t>
  </si>
  <si>
    <t>LAT-1052</t>
  </si>
  <si>
    <t>ROMA880407HSPCRL06</t>
  </si>
  <si>
    <t>ROMA880407J70</t>
  </si>
  <si>
    <t>MEXQUITITO 294, LA MORERIA, POZOS, SLP, C.P. 78427</t>
  </si>
  <si>
    <t>444 290 5867</t>
  </si>
  <si>
    <t>josealfredorochamartinez238@gmail.com</t>
  </si>
  <si>
    <t>GABRIELA VARGAS GUEVARA</t>
  </si>
  <si>
    <t>CALLE PASAJE VERDI, HIMNO NACIONAL</t>
  </si>
  <si>
    <t>´04008202105</t>
  </si>
  <si>
    <t>JILGUERO 121 25 B, CIMA SERENA, EL SALTO, JALISCO, C.P. 45685</t>
  </si>
  <si>
    <t>333 140 74 57</t>
  </si>
  <si>
    <t>MIREYA GUADALUPE TRANQUILINO DE LA CRUZ</t>
  </si>
  <si>
    <t>URBANO GOMEZ, LA JOYA</t>
  </si>
  <si>
    <t>932 105 83 17</t>
  </si>
  <si>
    <t>CONS-1053</t>
  </si>
  <si>
    <t>ACUÑA</t>
  </si>
  <si>
    <t>AUPR980416HSPCRL09</t>
  </si>
  <si>
    <t>AUPR980416HH3</t>
  </si>
  <si>
    <t>OXITIPA 255, RAFAEL CURIEL, CD VALLES, SLP, C.P. 79060</t>
  </si>
  <si>
    <t>481 120 8906</t>
  </si>
  <si>
    <t>rosaperezluna361@hotmail.com</t>
  </si>
  <si>
    <t>ROSALINA PEREZ LUNA</t>
  </si>
  <si>
    <t>OXITIPA, RAFAEL CURIEL</t>
  </si>
  <si>
    <t xml:space="preserve"> 481 111 21 25</t>
  </si>
  <si>
    <t>CONS-1054</t>
  </si>
  <si>
    <t>LOBL060530HCMPLSA0</t>
  </si>
  <si>
    <t>LOBL060530JX0</t>
  </si>
  <si>
    <t>ARROYO BARU 293 B, RUISENORES, TALA, JALISCO, C.P. 45350</t>
  </si>
  <si>
    <t>334 339 19 45</t>
  </si>
  <si>
    <t>eltoniayans123@gmail.com</t>
  </si>
  <si>
    <t>LUIS LOPEZ TORRES</t>
  </si>
  <si>
    <t>ARROYO BARU, OTRA NO ESPECIFICADA EN EL CATALOGO</t>
  </si>
  <si>
    <t>293 B</t>
  </si>
  <si>
    <t>EL ARENAL</t>
  </si>
  <si>
    <t>MARIA DEL ROCIO ARREDONDO QUIJANO</t>
  </si>
  <si>
    <t>PAREJA DEL PAPÁ</t>
  </si>
  <si>
    <t>VIDAL</t>
  </si>
  <si>
    <t>EIZO LUIS</t>
  </si>
  <si>
    <t>ROVE670825HDFDDZ09</t>
  </si>
  <si>
    <t>ROVE670825BA0</t>
  </si>
  <si>
    <t>ARSENICO 120 B D 101, MORALES, SAN LUIS POTOSI, S.L.P., C.P. 78470</t>
  </si>
  <si>
    <t>440 188 51 52</t>
  </si>
  <si>
    <t>luisluis180@gmail.com</t>
  </si>
  <si>
    <t>ANA SOFIA RODRIGUEZ CASTILLO</t>
  </si>
  <si>
    <t>ARSENICO, MORALES</t>
  </si>
  <si>
    <t>B101</t>
  </si>
  <si>
    <t>444 664 36 43</t>
  </si>
  <si>
    <t>LAT-1055</t>
  </si>
  <si>
    <t>´04987756675</t>
  </si>
  <si>
    <t>LOGS770317HJCPNR04</t>
  </si>
  <si>
    <t>LOGS770317I10</t>
  </si>
  <si>
    <t>GERENTE DE PLANTA</t>
  </si>
  <si>
    <t>33 34759114</t>
  </si>
  <si>
    <t>serg.lopez@hotmail.com</t>
  </si>
  <si>
    <t>PASEO DEL CIPRES, BOSQUES DE CENTINELA II</t>
  </si>
  <si>
    <t>SAUZ 528, BOSQUES DEL CENTINELA II, ZAPOPAN, JALISCO, C.P. 45180</t>
  </si>
  <si>
    <t>CONDE</t>
  </si>
  <si>
    <t>RIGOBERTO</t>
  </si>
  <si>
    <t>COMR810809HASNNG08</t>
  </si>
  <si>
    <t>COMR8108093M4</t>
  </si>
  <si>
    <t>CLL CASTILLO BELMONTE 330, PARQUES DEL CASTILO, EL SALTO, JALISCO, C.P. 45685</t>
  </si>
  <si>
    <t>33 2592 6045</t>
  </si>
  <si>
    <t>rigoconde9881@gmail.com</t>
  </si>
  <si>
    <t>KM 36</t>
  </si>
  <si>
    <t>ALMA DELIA CERVANTES HERRERA</t>
  </si>
  <si>
    <t>332 445 66 80</t>
  </si>
  <si>
    <t>´03149491270</t>
  </si>
  <si>
    <t>SAHL940408HSPLRS08</t>
  </si>
  <si>
    <t>SAHL940408FM3</t>
  </si>
  <si>
    <t>CAMPECHE 518, REPUCLICA, MATEHUALA, SAN LUIS POTOSI, C.P. 78740</t>
  </si>
  <si>
    <t>254 534 8428</t>
  </si>
  <si>
    <t>keikolatino08@gmail.com</t>
  </si>
  <si>
    <t xml:space="preserve">ADRIANA LIZBETH TOVAR A </t>
  </si>
  <si>
    <t>BAJA CALIFORNIA, REPUBLICA</t>
  </si>
  <si>
    <t xml:space="preserve">ADRIANA LIZBETH TOVAR A. </t>
  </si>
  <si>
    <t>488 884 0690</t>
  </si>
  <si>
    <t>TAMARA SHECCID SALINAS TOVAR</t>
  </si>
  <si>
    <t>FEMENINIA</t>
  </si>
  <si>
    <t>DICO-1057</t>
  </si>
  <si>
    <t>BLANCA ESTELA CARDENAS DUARTE</t>
  </si>
  <si>
    <t>CARRETERA A EL SALTO, SAN JOSE DEL 15</t>
  </si>
  <si>
    <t>CONS-1058</t>
  </si>
  <si>
    <t>CONS-1059</t>
  </si>
  <si>
    <t>GALAN</t>
  </si>
  <si>
    <t>JERONIMO</t>
  </si>
  <si>
    <t>GABJ870410HOCLTR02</t>
  </si>
  <si>
    <t>GABJ870410FY2</t>
  </si>
  <si>
    <t>GRAL RIO SECO 147 B, EL REFUGIO, TALA, JALISCO, C.P. 45310</t>
  </si>
  <si>
    <t xml:space="preserve">331 859 55 02 </t>
  </si>
  <si>
    <t>gabacho_81@hotmail.com</t>
  </si>
  <si>
    <t>PAULA GARCIA VELAZCO</t>
  </si>
  <si>
    <t>GRAL RIO SECO, EL REFUGIO</t>
  </si>
  <si>
    <t>147 B</t>
  </si>
  <si>
    <t>MAYTE GUADALUPE GALAN HERNANDEZ</t>
  </si>
  <si>
    <t>332 952 56 33</t>
  </si>
  <si>
    <t>LUIS ARMANDO</t>
  </si>
  <si>
    <t>HUAL031205HASRGSA3</t>
  </si>
  <si>
    <t>HUAL031205LUA</t>
  </si>
  <si>
    <t>BERGAMO 103 D, PASEOS DE SAN ANTONIO, AGUASCALIENTES, AGUASCALIENTES, C.P. 20298</t>
  </si>
  <si>
    <t>449 313 74 59</t>
  </si>
  <si>
    <t>armandohuerta41604@gmail.com</t>
  </si>
  <si>
    <t>ERIKA MAGDALENA AGUILAR RIOS</t>
  </si>
  <si>
    <t>PRIMA</t>
  </si>
  <si>
    <t>EL FOLLAJE, SAN PEDRO</t>
  </si>
  <si>
    <t>E - 101</t>
  </si>
  <si>
    <t>449 994 43 72</t>
  </si>
  <si>
    <t>TRAM-1288</t>
  </si>
  <si>
    <t>ROJAS</t>
  </si>
  <si>
    <t>ROSJ770613HVZJNN08</t>
  </si>
  <si>
    <t>ROSJ770613UL5</t>
  </si>
  <si>
    <t>TANCUILIN 123 SSA/PONIENTE Y LAGOS, COL. RAFAEL, CUERIEL, C.P. 79060</t>
  </si>
  <si>
    <t>AYUDANTE GENERAL 2</t>
  </si>
  <si>
    <t>481 120 8269</t>
  </si>
  <si>
    <t>juanantoniorojas19967@gmail.com</t>
  </si>
  <si>
    <t>YOLANDA HERNANDEZ HERNANDEZ</t>
  </si>
  <si>
    <t>VICENTE C SALAZAR, ALTAVISTA</t>
  </si>
  <si>
    <t>481 140 0852</t>
  </si>
  <si>
    <t>STEPHANIE ARLET</t>
  </si>
  <si>
    <t>JIJS910713MASMMT02</t>
  </si>
  <si>
    <t>JIJS910713AU8</t>
  </si>
  <si>
    <t>JUAN RULFO 201, PENSADORES MEXICANOS, AGUASCALIENTES, AGS, C.P. 20200</t>
  </si>
  <si>
    <t>449 230 63 27</t>
  </si>
  <si>
    <t>fanylo9191@gmail.com</t>
  </si>
  <si>
    <t>Maricela Jiménez Sánchez</t>
  </si>
  <si>
    <t>INSURGENTES SUR, DEL VALLE</t>
  </si>
  <si>
    <t>PISO 3</t>
  </si>
  <si>
    <t>411 48 82 301</t>
  </si>
  <si>
    <t>DANIEL ALEXANDER GONZALEZ JIMENEZ</t>
  </si>
  <si>
    <t>CONS-1060</t>
  </si>
  <si>
    <t>CONS-1061</t>
  </si>
  <si>
    <t>´03100</t>
  </si>
  <si>
    <t>CONS-1062</t>
  </si>
  <si>
    <t>´08240739337</t>
  </si>
  <si>
    <t>YOSHIO ALEJANDRO</t>
  </si>
  <si>
    <t>AARY071203HNLLMSA2</t>
  </si>
  <si>
    <t>AARY071203SE1</t>
  </si>
  <si>
    <t>CIUDAD UNIVERSITARIA 103 BIS, LOS PILARES, SALINAS VICTORIA  NUEVO LEÓN, C.P. 65515</t>
  </si>
  <si>
    <t>CERRO DE LAS MITRAS, PILARES AURORA</t>
  </si>
  <si>
    <t>812 00 82 776</t>
  </si>
  <si>
    <t>meraryhdzz05@gmail.com</t>
  </si>
  <si>
    <t>José Alejandro Alvarado del rio</t>
  </si>
  <si>
    <t>818 02 28 390</t>
  </si>
  <si>
    <t>CONS-1063</t>
  </si>
  <si>
    <t>OSCAR EMMANUEL</t>
  </si>
  <si>
    <t>MEFO880208HNLNLS02</t>
  </si>
  <si>
    <t>MEFO880208FT1</t>
  </si>
  <si>
    <t>SENDAI 109 D, FRACC. SOL NACIENTE, AGUASCALIENTES, AGS, C.P. 20196</t>
  </si>
  <si>
    <t>CHOFER 2</t>
  </si>
  <si>
    <t>449 439 87 33</t>
  </si>
  <si>
    <t>osarf75@gmail.com</t>
  </si>
  <si>
    <t>MA. GUADALUPE LARA BAEZ</t>
  </si>
  <si>
    <t>CALLE BAHIA LOBOS, PARQUES DE SANTA MARIA</t>
  </si>
  <si>
    <t>449 898 91 63</t>
  </si>
  <si>
    <t>OSVALDO MENDEZ</t>
  </si>
  <si>
    <t>RAPHAEL MENDEZ</t>
  </si>
  <si>
    <t>MASULINO</t>
  </si>
  <si>
    <t>CONS-1064</t>
  </si>
  <si>
    <t>MICHELLE GUADALUPE</t>
  </si>
  <si>
    <t>GOHM071224MASNRCA1</t>
  </si>
  <si>
    <t>GOHM071224A77</t>
  </si>
  <si>
    <t>VILLA UNION X TER RUTA7 112, VILLA LAS PALMAS, AGUASCALIENTES, AGS, C.P. 20263</t>
  </si>
  <si>
    <t>449 576 77 47</t>
  </si>
  <si>
    <t>guadalupegonher00@gmail.com</t>
  </si>
  <si>
    <t>JOSE MANUEL GONZALEZ HERRERA</t>
  </si>
  <si>
    <t>VILLA UNION, VILLAS LAS PALMAS</t>
  </si>
  <si>
    <t>MA. DEL REFUGIO HERRERA BRIONES</t>
  </si>
  <si>
    <t>449 124 81 81</t>
  </si>
  <si>
    <t>LAT-1065</t>
  </si>
  <si>
    <t>SERGIO JESUS</t>
  </si>
  <si>
    <t>GAGS050811HSPRRRA8</t>
  </si>
  <si>
    <t>GAGS050811SH0</t>
  </si>
  <si>
    <t>CONCUBINATO</t>
  </si>
  <si>
    <t xml:space="preserve">JOSE MARIA MORELOS 104, SN JOSE DEL BARRO, SOLEDAD DE GRACIANO SANCHEZ, SLP, C.P. </t>
  </si>
  <si>
    <t xml:space="preserve">PRIMARIA </t>
  </si>
  <si>
    <t>AYUDANTE DE BOMBA 3</t>
  </si>
  <si>
    <t>44 47 29 18 90</t>
  </si>
  <si>
    <t>sergiogarciagarcia75910@gmail.com</t>
  </si>
  <si>
    <t>ANGELICA JOCELYN MORENO PECINA</t>
  </si>
  <si>
    <t>JOSE MARIA MORELOS</t>
  </si>
  <si>
    <t>44 46 00 57 37</t>
  </si>
  <si>
    <t>SERGIO ELIEL GARCIA MORENO</t>
  </si>
  <si>
    <t>CONS-1066</t>
  </si>
  <si>
    <t>´04089046884</t>
  </si>
  <si>
    <t>BORRAYO</t>
  </si>
  <si>
    <t>BOTG901114HJCRRR05</t>
  </si>
  <si>
    <t>BOTG901114NQ6</t>
  </si>
  <si>
    <t>FCO I MADERO 68, EL REFUGIO, JALISCO, C.P. 45310</t>
  </si>
  <si>
    <t>CHOFER CATEGORIA 5</t>
  </si>
  <si>
    <t>384 119 67 46</t>
  </si>
  <si>
    <t>gborrayo3@gmail.com</t>
  </si>
  <si>
    <t>YESENIA GABRIELA GARCIA PADILLA</t>
  </si>
  <si>
    <t>AV DEL COBRE, EL CASTILLO</t>
  </si>
  <si>
    <t>332 199 34 17</t>
  </si>
  <si>
    <t>IRLANDA CAROLINA GARCIA PADILLA</t>
  </si>
  <si>
    <t>VIOLETA ISABEL BORRAYO GARCIA</t>
  </si>
  <si>
    <t>CAJJ880722HSPMSN04</t>
  </si>
  <si>
    <t>CAJJ880722EQ1</t>
  </si>
  <si>
    <t>PONCIANO ARRIAGA 416, VISTA HERMOSA, CD VALLES, SLP, C.P. 79010</t>
  </si>
  <si>
    <t>481 146 58 48</t>
  </si>
  <si>
    <t>josejuancampos39@gmail.com</t>
  </si>
  <si>
    <t>MARIA ALEJANDRA HERNANDEZ ESPINOZA</t>
  </si>
  <si>
    <t>HEROE DE NACOZARI, FLORIDA</t>
  </si>
  <si>
    <t>481 100 45 89</t>
  </si>
  <si>
    <t>MALENI CAMPOS MARTINEZ</t>
  </si>
  <si>
    <t>CELESTE CAMPOS MARTINEZ</t>
  </si>
  <si>
    <t>PATRICIO</t>
  </si>
  <si>
    <t>JOSE DE JESUS</t>
  </si>
  <si>
    <t>OIPJ790319HJCRTS06</t>
  </si>
  <si>
    <t>OIPJ790319S35</t>
  </si>
  <si>
    <t>SANTIAGO IGNACIO 29, LOMAS DE STA MARIA, TLAQUEPAQUE, JALISCO, C.P. 45535</t>
  </si>
  <si>
    <t>33 4714 14 28</t>
  </si>
  <si>
    <t>ingjoseortiz79@gmail.com</t>
  </si>
  <si>
    <t>BRENDA JEANETTE ORTIZ CORTEZ</t>
  </si>
  <si>
    <t>HALCON, MORELOS</t>
  </si>
  <si>
    <t xml:space="preserve"> Brenda Jeanette Ortiz Cortés</t>
  </si>
  <si>
    <t>33 1080 3398</t>
  </si>
  <si>
    <t>LUIS ALBERTO ORTIZ CORTES</t>
  </si>
  <si>
    <t>JOSE EDUARDO ORTIZ CORTES</t>
  </si>
  <si>
    <t>BRENDA JEANETTE ORTIZ CORTES</t>
  </si>
  <si>
    <t>CONT-1068</t>
  </si>
  <si>
    <t>JOSE MAURO</t>
  </si>
  <si>
    <t>ROGM931116HSPDRR07</t>
  </si>
  <si>
    <t>ROGM931116IC2</t>
  </si>
  <si>
    <t>ALTAMIRANO 865, BARRIO SANTIAGO, SAN LUIS POTOSÍ, SLP, C.P. 78049</t>
  </si>
  <si>
    <t>ESPECILISTA EN SOLUCIONES DIGITALES E INNOVACIÓN</t>
  </si>
  <si>
    <t>44 42 02 20 37</t>
  </si>
  <si>
    <t>maurordzg93@gmail.com</t>
  </si>
  <si>
    <t>ANA ELENA CARBAJAL SAUCEDO</t>
  </si>
  <si>
    <t>CORREOS, VALLE DE JACARANDAS</t>
  </si>
  <si>
    <t>44 41 77 14 71</t>
  </si>
  <si>
    <t xml:space="preserve">PENICILINA </t>
  </si>
  <si>
    <t>CONS-418</t>
  </si>
  <si>
    <t>DICO-1067</t>
  </si>
  <si>
    <t>´04058824899</t>
  </si>
  <si>
    <t>BALBUENA</t>
  </si>
  <si>
    <t>BARF881002HJCLBL00</t>
  </si>
  <si>
    <t>BARF8810028W6</t>
  </si>
  <si>
    <t>INDIGENAS 149, LA DURAZNERA, TLAQUEPAQUE, JALISCO, C.P. 45580</t>
  </si>
  <si>
    <t>CHOFER DE REPARTO 6</t>
  </si>
  <si>
    <t>332 031 74 95</t>
  </si>
  <si>
    <t>balbuenatejeda0226@gmail.com</t>
  </si>
  <si>
    <t>OFELIA ROBLES MARTINEZ</t>
  </si>
  <si>
    <t>INDIGENA, LA DURAZNERA</t>
  </si>
  <si>
    <t>LORENA TEJEDA</t>
  </si>
  <si>
    <t>331 416 13 33</t>
  </si>
  <si>
    <t>BRENDA SUGEY BALBUENA CARMONA</t>
  </si>
  <si>
    <t>JOSE ELEAZAR BALBUENA CARMONA</t>
  </si>
  <si>
    <t>ACTIVO</t>
  </si>
  <si>
    <t>FUENTE DE RECLUTAMIENTO</t>
  </si>
  <si>
    <t>RECLUTAMIENTO 4.0</t>
  </si>
  <si>
    <t>OCC / CORPORATIVO</t>
  </si>
  <si>
    <t>FB / CORPORATIVO</t>
  </si>
  <si>
    <t>COMPUTRABAJO / CORPORATIVO</t>
  </si>
  <si>
    <t>ORLANDO MISAEL</t>
  </si>
  <si>
    <t>EAPO971026HSPSLR06</t>
  </si>
  <si>
    <t>EAPO971026I91</t>
  </si>
  <si>
    <t>SANTA ALICIA 869, MISION DE SAN PEDRO, SOLEDAD DE GRACIANO SANCHEZ, SLP, C.P. 78437</t>
  </si>
  <si>
    <t>ANALISTA DE CAPACITACIÓN</t>
  </si>
  <si>
    <t>444 721 8273</t>
  </si>
  <si>
    <t>misa_dize@hotmail.com</t>
  </si>
  <si>
    <t>MARIA AZUCENA SALAS ALVARADO</t>
  </si>
  <si>
    <t>JORGE EUGEL, AZALEAS</t>
  </si>
  <si>
    <t>444 552 8662</t>
  </si>
  <si>
    <t>AZUL GABBANELI ESCALANTE SALAS</t>
  </si>
  <si>
    <t>HIROMI ADANELLI ESCALANTES SALAS</t>
  </si>
  <si>
    <t>LAT-1070</t>
  </si>
  <si>
    <t>´01130192675</t>
  </si>
  <si>
    <t>YAIR SAMUEL</t>
  </si>
  <si>
    <t>CUSY011002HJCVLRA6</t>
  </si>
  <si>
    <t>CUSY0110022B6</t>
  </si>
  <si>
    <t>CHIMOROYO 419 A, PARAISOS DEL COLLI 2DAC, ZAPOPAN, JALISCO, C.P. 45069</t>
  </si>
  <si>
    <t>33 4331 6412</t>
  </si>
  <si>
    <t>samucuevas79@gmail.com</t>
  </si>
  <si>
    <t>JUAN MANUEL CUEVAS ARELLANO</t>
  </si>
  <si>
    <t>CHIRIMOYO, PARAISOS DEL COLLI</t>
  </si>
  <si>
    <t>33 3952 5093</t>
  </si>
  <si>
    <t>TRAM-1303</t>
  </si>
  <si>
    <t>CONS-1071</t>
  </si>
  <si>
    <t>JAVIER JONATHAN</t>
  </si>
  <si>
    <t>MAGJ980803HJCRRV09</t>
  </si>
  <si>
    <t>MAGJ980803UG9</t>
  </si>
  <si>
    <t>CAUDILLOS 132, CASA BLANCA, AGUASCALIENTES, AGS, C.P. 20297</t>
  </si>
  <si>
    <t>449 587 92 49</t>
  </si>
  <si>
    <t>martinezgarciajavierjonathan9@gmail.com</t>
  </si>
  <si>
    <t>ALMA LUZ GARCIA CAZARES</t>
  </si>
  <si>
    <t>AGUSTIN DE ITURBIDE, INDEPENDENCIA</t>
  </si>
  <si>
    <t>322 191 61 75</t>
  </si>
  <si>
    <t xml:space="preserve">REGINA ELIZABETH MARTINEZ VAZQUEZ </t>
  </si>
  <si>
    <t>CONS-1072</t>
  </si>
  <si>
    <t xml:space="preserve">DENISSE AIDE </t>
  </si>
  <si>
    <t>OOCD001017MSPRRNA7</t>
  </si>
  <si>
    <t>OOCD001017L94</t>
  </si>
  <si>
    <t>AND JOSE MARTI 157, BUSTAMANTE, MATEHUALA, SLP, C.P. 78784</t>
  </si>
  <si>
    <t>488 136 0212</t>
  </si>
  <si>
    <t>denissecruz98667@gmail.com</t>
  </si>
  <si>
    <t>FRANCISCO OROZCO ARMENTA</t>
  </si>
  <si>
    <t>ANDADOR JOSE MARTI, CARLOS JONGITUD BARRIOS INFONAVIT</t>
  </si>
  <si>
    <t>488 116 86 76</t>
  </si>
  <si>
    <t>LAT-1073</t>
  </si>
  <si>
    <t>TOVAR</t>
  </si>
  <si>
    <t>MATM051220HSPRVRA8</t>
  </si>
  <si>
    <t>MATM0512208M7</t>
  </si>
  <si>
    <t>PUERTO VALLARTA 0137, FRACC VILLA DELICIAS, SAN LUIS POTOSI, SLP, C.P. 78397</t>
  </si>
  <si>
    <t>44 42 07 06 46</t>
  </si>
  <si>
    <t>mariotovar737@gmail.com</t>
  </si>
  <si>
    <t>ESTELA HANAI AGUILAR CERON</t>
  </si>
  <si>
    <t>PUERTO VALLARTA, VILLA DELICIAS</t>
  </si>
  <si>
    <t>44 43 906429</t>
  </si>
  <si>
    <t>IRVIN SANTIAGO MARTINEZ AGUILAR</t>
  </si>
  <si>
    <t>RECOMENDADO</t>
  </si>
  <si>
    <t>CONS-1069</t>
  </si>
  <si>
    <t>CONT-1074</t>
  </si>
  <si>
    <t>´07139677376</t>
  </si>
  <si>
    <t>LUCIA ALITZEL</t>
  </si>
  <si>
    <t>CAHL961215MSPRRC01</t>
  </si>
  <si>
    <t>CAHL961215486</t>
  </si>
  <si>
    <t>VILLERIAS 205, COL SAUCITO, SAN LUIS POTOSÍ, S.L.P., C.P. 78110</t>
  </si>
  <si>
    <t>ANALISTA DE SOPORTE</t>
  </si>
  <si>
    <t>444 843 98 92</t>
  </si>
  <si>
    <t>alitzelcardenashdz@gmail.com</t>
  </si>
  <si>
    <t>GERARDO CARDENAS ESTRADA</t>
  </si>
  <si>
    <t>VILLERIAS, EL SAUCITO</t>
  </si>
  <si>
    <t>444 110 85 19</t>
  </si>
  <si>
    <t>LAT-1075</t>
  </si>
  <si>
    <t>DANIEL ISRAEL</t>
  </si>
  <si>
    <t>MAOD891130HSPRRN01</t>
  </si>
  <si>
    <t>MAOD891130IZ2</t>
  </si>
  <si>
    <t>PRIV CASTRO MIRANDA 175, SIMON DIAZ, SAN LUIS POTOSÍ, SLP, C.P. 78380</t>
  </si>
  <si>
    <t>44 46 70 43 40</t>
  </si>
  <si>
    <t>danielmarquez2338@gmail.com</t>
  </si>
  <si>
    <t>TERESA DE JESUS ORTIZ TORRES</t>
  </si>
  <si>
    <t>DE DANIEL CASTRO, SIMON DIAZ</t>
  </si>
  <si>
    <t>44 44 30 96 64</t>
  </si>
  <si>
    <t>ANIEL ALEXANDER MARQUEZ SANCHEZ</t>
  </si>
  <si>
    <t>CONS-1076</t>
  </si>
  <si>
    <t>CESAR LEOBARDO</t>
  </si>
  <si>
    <t>AAXC000121HASRXSA3</t>
  </si>
  <si>
    <t>AACE000121JA8</t>
  </si>
  <si>
    <t>MARIA TERESA LLAMAS NO.103, INT MZ-26, LT-6, COL. FUNDADORES, FRACC., C.P. 20299</t>
  </si>
  <si>
    <t>449 736 63 39</t>
  </si>
  <si>
    <t>cesar32rolli@gmail.com</t>
  </si>
  <si>
    <t xml:space="preserve">LESLYE YAJAIRA ARANDA </t>
  </si>
  <si>
    <t>MARIA TERESA LLAMAS, FUNDADORES</t>
  </si>
  <si>
    <t>103 MANZANA 26 LOTE 6</t>
  </si>
  <si>
    <t>LESLYE YAJAIRA ARANDA</t>
  </si>
  <si>
    <t>449 897 87 14</t>
  </si>
  <si>
    <t>RAGG960411HSPMLN05</t>
  </si>
  <si>
    <t>RAGG960411HD8</t>
  </si>
  <si>
    <t>UIZACHE AZUL 108, BUENAVENTURA RESIDENCIAL, SLP, C.P. 78423</t>
  </si>
  <si>
    <t>44 41 30 00 62</t>
  </si>
  <si>
    <t>dereckgonza4@gmail.com</t>
  </si>
  <si>
    <t>JENIFER ANGELICA OLIVO IPIÑA</t>
  </si>
  <si>
    <t>77, RANCHO VIEJO</t>
  </si>
  <si>
    <t>44 41 91 71 99</t>
  </si>
  <si>
    <t>DERECK FARID RAMIREZ OLIVO</t>
  </si>
  <si>
    <t>KEYTLIN AIRAM RAMIREZ OLIVO</t>
  </si>
  <si>
    <t>LONA SUCURSAL</t>
  </si>
  <si>
    <t>GRISELDA SANCHEZ GARCIA</t>
  </si>
  <si>
    <t>CONS-1078</t>
  </si>
  <si>
    <t>DIMAS YAHIR</t>
  </si>
  <si>
    <t>RIFD040207HSPCLMA3</t>
  </si>
  <si>
    <t>RIFD0402074L0</t>
  </si>
  <si>
    <t>3ER PRIV. DE AV SAN MARTIN, NO. 14, BARRIO PRIMERO, EL REFUGIO, CD. FERNANDEZ, S.L.P.</t>
  </si>
  <si>
    <t>487 122 5868</t>
  </si>
  <si>
    <t>ricoyahir41@gmail.com</t>
  </si>
  <si>
    <t>MARIA GUADALUPE FLORES RICO</t>
  </si>
  <si>
    <t>SEGUNDA PRIVADA DE BENITO JUAREZ, BARRIO PRIMERO</t>
  </si>
  <si>
    <t>487 155 2646</t>
  </si>
  <si>
    <t>LAT-1079</t>
  </si>
  <si>
    <t>´04018128076</t>
  </si>
  <si>
    <t>QUIÑONEZ</t>
  </si>
  <si>
    <t>QUQF810124HDGXXR05</t>
  </si>
  <si>
    <t>QUQF810124552</t>
  </si>
  <si>
    <t>UNION</t>
  </si>
  <si>
    <t>CLL NOCHE BUENA 11, CHULAVISTA (ETAPA 13), TLAJOMULCO DE ZUÑIGA, JALISCO, C.P. 45653</t>
  </si>
  <si>
    <t>DAVID MARTINEZ</t>
  </si>
  <si>
    <t>33 3938 0146</t>
  </si>
  <si>
    <t>Jessica jazmín jacinto Gabriel</t>
  </si>
  <si>
    <t>RIBURON, OTRA NO ESPECIFICADA EN EL CATALOGO</t>
  </si>
  <si>
    <t>331 881 83 00</t>
  </si>
  <si>
    <t>JULIANA NAOMI QUIÑONES JACINTO</t>
  </si>
  <si>
    <t>GABRIEL QUIÑONEZ JACINTO</t>
  </si>
  <si>
    <t>franciscoquinonez92@gmail.com</t>
  </si>
  <si>
    <t>CONS-1051</t>
  </si>
  <si>
    <t>DICO-493</t>
  </si>
  <si>
    <t>CONS-1056</t>
  </si>
  <si>
    <t>LAT-1077</t>
  </si>
  <si>
    <t>CONS-1080</t>
  </si>
  <si>
    <t>MONTALVO</t>
  </si>
  <si>
    <t>JAZIEL</t>
  </si>
  <si>
    <t>MOGJ010601HSPNLZA8</t>
  </si>
  <si>
    <t>MOGJ010601PV2</t>
  </si>
  <si>
    <t>PASEO LOS MANZANOS 328, FRAC PUERTA REAL, SOLEDAD DE GRACIANO SANCHEZ, S.L.P., C.P. 78430</t>
  </si>
  <si>
    <t>AYUDANTE GENERAL ARMEX</t>
  </si>
  <si>
    <t>44 46 71 35 78</t>
  </si>
  <si>
    <t>jazielmontalvo83@gmail.com</t>
  </si>
  <si>
    <t>MARIA DE LOURDES GALLEGOS LARA</t>
  </si>
  <si>
    <t>JOSE MARIA PINO SUAREZ, JULIAN CARRILLO</t>
  </si>
  <si>
    <t>SAN  LUIS POTOSI</t>
  </si>
  <si>
    <t>44 48 48 83 18</t>
  </si>
  <si>
    <t>CONS-1081</t>
  </si>
  <si>
    <t>DE LUNA</t>
  </si>
  <si>
    <t>KAREN</t>
  </si>
  <si>
    <t>SALK980402MMCLNR07</t>
  </si>
  <si>
    <t>SALK980402CDA</t>
  </si>
  <si>
    <t>C HEROE MILITAR 178, FRACC MUNICIPIO LIBRE, AGUASCALIENTES, AGS, C.P. 20199</t>
  </si>
  <si>
    <t>449 826 2010</t>
  </si>
  <si>
    <t>karensalinas_9@hotmail.com</t>
  </si>
  <si>
    <t>MARIA DE LUNA AMADOR</t>
  </si>
  <si>
    <t>CERRO DE LA GLORIA, OJO CALIENTE II</t>
  </si>
  <si>
    <t>449 475 02 23</t>
  </si>
  <si>
    <t>LAT-1082</t>
  </si>
  <si>
    <t>LAT-1083</t>
  </si>
  <si>
    <t>AACA880303HSPLRL07</t>
  </si>
  <si>
    <t>AACA8803031J4</t>
  </si>
  <si>
    <t>CODIGO AGRARIO 108 A, RIVAS GUILLEN, SOLEDAD DE GRACIANO, SLP, 78780</t>
  </si>
  <si>
    <t>OPERADOR DE TRAXCAVO 4</t>
  </si>
  <si>
    <t>444 422 7677</t>
  </si>
  <si>
    <t>jaac132303@gmail.com</t>
  </si>
  <si>
    <t>SARAI VERA RODRIGUEZ</t>
  </si>
  <si>
    <t>44 45 19 44 96</t>
  </si>
  <si>
    <t>SAID ALEJANDRO ALVAREZ VERA</t>
  </si>
  <si>
    <t>PASTRANA</t>
  </si>
  <si>
    <t>PAMM960522HSPSRN02</t>
  </si>
  <si>
    <t>PAMM960522AQ7</t>
  </si>
  <si>
    <t>IGNACIO ZARAGOZA 228, EXT LA LIBERTAD, SLP, C.P.78438</t>
  </si>
  <si>
    <t>manuel22pastrana96@gmail.com</t>
  </si>
  <si>
    <t>LUCY PASTRANA MARTINEZ</t>
  </si>
  <si>
    <t>DIANA ELENA SALAZAR RIVERA</t>
  </si>
  <si>
    <t>IGNACIO ZARAGOZA, LA LIBERTAD</t>
  </si>
  <si>
    <t>44 42 20 36 88</t>
  </si>
  <si>
    <t>MARIA DE LA LUZ PASTRANA MARTINEZ</t>
  </si>
  <si>
    <t>VIDAL PASTRANA SALAZAR</t>
  </si>
  <si>
    <t>DICO-1084</t>
  </si>
  <si>
    <t>´04028609909</t>
  </si>
  <si>
    <t>TOCC860328HJCRMR05</t>
  </si>
  <si>
    <t>TOCC860328FU3</t>
  </si>
  <si>
    <t>VILLA SABADELL 108 A, VILLA FONTANA AQUA, JALISCO, C.P. 45653</t>
  </si>
  <si>
    <t>pp2608344@gmail.com</t>
  </si>
  <si>
    <t>PATRICIA NAVARRO PEREZ</t>
  </si>
  <si>
    <t>SANTA EDUWIGES, MODERNA</t>
  </si>
  <si>
    <t>CARLOS EDUARDO HERNANDEZ AGUSTO</t>
  </si>
  <si>
    <t>334 347 18 92</t>
  </si>
  <si>
    <t>HO+</t>
  </si>
  <si>
    <t>EMBERLI YAMILETH DE LA TORRE PRECIADO</t>
  </si>
  <si>
    <t>CARLOS EMANUEL PRECIADO MANZANO</t>
  </si>
  <si>
    <t xml:space="preserve">NORTE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</si>
</sst>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43" formatCode="_-* #,##0.00_-;\-* #,##0.00_-;_-* &quot;-&quot;??_-;_-@_-"/>
    <numFmt numFmtId="164" formatCode="_-&quot;$&quot;* #,##0_-;\-&quot;$&quot;* #,##0_-;_-&quot;$&quot;* &quot;-&quot;??_-;_-@_-"/>
    <numFmt numFmtId="165" formatCode="[$-80A]d&quot; de &quot;mmmm&quot; de &quot;yyyy;@"/>
    <numFmt numFmtId="166" formatCode="#,##0.00_ ;\-#,##0.00\ "/>
    <numFmt numFmtId="167" formatCode="[$-F800]dddd\,\ mmmm\ dd\,\ yyyy"/>
  </numFmts>
  <fonts count="29" x14ac:knownFonts="1">
    <font>
      <sz val="11"/>
      <color theme="1"/>
      <name val="Aptos Narrow"/>
      <family val="2"/>
      <scheme val="minor"/>
    </font>
    <font>
      <sz val="8"/>
      <name val="Aptos Narrow"/>
      <family val="2"/>
      <scheme val="minor"/>
    </font>
    <font>
      <b/>
      <sz val="11"/>
      <name val="Aptos Narrow"/>
      <family val="2"/>
      <scheme val="minor"/>
    </font>
    <font>
      <sz val="11"/>
      <name val="Aptos Narrow"/>
      <family val="2"/>
      <scheme val="minor"/>
    </font>
    <font>
      <sz val="11"/>
      <color theme="1"/>
      <name val="Aptos Narrow"/>
      <family val="2"/>
      <scheme val="minor"/>
    </font>
    <font>
      <sz val="10"/>
      <name val="Arial"/>
      <family val="2"/>
    </font>
    <font>
      <sz val="10"/>
      <color theme="1"/>
      <name val="Calibri"/>
      <family val="2"/>
    </font>
    <font>
      <sz val="10"/>
      <name val="Calibri"/>
      <family val="2"/>
    </font>
    <font>
      <sz val="10"/>
      <color rgb="FF000000"/>
      <name val="Calibri"/>
      <family val="2"/>
    </font>
    <font>
      <u/>
      <sz val="11"/>
      <color theme="10"/>
      <name val="Aptos Narrow"/>
      <family val="2"/>
      <scheme val="minor"/>
    </font>
    <font>
      <sz val="11"/>
      <color theme="1" tint="0.499984740745262"/>
      <name val="Aptos Narrow"/>
      <family val="2"/>
      <scheme val="minor"/>
    </font>
    <font>
      <sz val="11"/>
      <color rgb="FF000000"/>
      <name val="Aptos Narrow"/>
      <family val="2"/>
      <scheme val="minor"/>
    </font>
    <font>
      <sz val="10"/>
      <name val="Aptos Narrow"/>
      <family val="2"/>
      <scheme val="minor"/>
    </font>
    <font>
      <sz val="11"/>
      <color theme="1"/>
      <name val="Aptos Narrow"/>
      <family val="2"/>
    </font>
    <font>
      <sz val="11"/>
      <color theme="0" tint="-0.34998626667073579"/>
      <name val="Aptos Narrow"/>
      <family val="2"/>
      <scheme val="minor"/>
    </font>
    <font>
      <sz val="8"/>
      <color rgb="FF87929F"/>
      <name val="Tahoma"/>
      <family val="2"/>
    </font>
    <font>
      <sz val="11"/>
      <color rgb="FF000000"/>
      <name val="Aptos Narrow"/>
      <family val="2"/>
    </font>
    <font>
      <sz val="10"/>
      <color theme="1"/>
      <name val="Aptos Narrow"/>
      <family val="2"/>
      <scheme val="minor"/>
    </font>
    <font>
      <sz val="11"/>
      <color theme="1"/>
      <name val="Calibri"/>
      <family val="2"/>
    </font>
    <font>
      <b/>
      <sz val="10"/>
      <color theme="0"/>
      <name val="Calibri"/>
      <family val="2"/>
    </font>
    <font>
      <sz val="9"/>
      <color indexed="81"/>
      <name val="Tahoma"/>
      <family val="2"/>
    </font>
    <font>
      <b/>
      <sz val="9"/>
      <color indexed="81"/>
      <name val="Tahoma"/>
      <family val="2"/>
    </font>
    <font>
      <sz val="11"/>
      <color rgb="FFFF0000"/>
      <name val="Aptos Narrow"/>
      <family val="2"/>
      <scheme val="minor"/>
    </font>
    <font>
      <sz val="10"/>
      <color rgb="FFFF0000"/>
      <name val="Calibri"/>
      <family val="2"/>
    </font>
    <font>
      <u/>
      <sz val="11"/>
      <color rgb="FFFF0000"/>
      <name val="Aptos Narrow"/>
      <family val="2"/>
      <scheme val="minor"/>
    </font>
    <font>
      <sz val="11"/>
      <color rgb="FFFF0000"/>
      <name val="Calibri"/>
      <family val="2"/>
    </font>
    <font>
      <sz val="11"/>
      <color rgb="FF404041"/>
      <name val="Times New Roman"/>
      <family val="1"/>
    </font>
    <font>
      <sz val="9"/>
      <color indexed="81"/>
      <name val="Tahoma"/>
      <charset val="1"/>
    </font>
    <font>
      <b/>
      <sz val="9"/>
      <color indexed="81"/>
      <name val="Tahoma"/>
      <charset val="1"/>
    </font>
  </fonts>
  <fills count="20">
    <fill>
      <patternFill patternType="none"/>
    </fill>
    <fill>
      <patternFill patternType="gray125"/>
    </fill>
    <fill>
      <patternFill patternType="solid">
        <fgColor theme="3" tint="0.39997558519241921"/>
        <bgColor indexed="64"/>
      </patternFill>
    </fill>
    <fill>
      <patternFill patternType="solid">
        <fgColor rgb="FF92D050"/>
        <bgColor indexed="64"/>
      </patternFill>
    </fill>
    <fill>
      <patternFill patternType="solid">
        <fgColor theme="5" tint="-0.249977111117893"/>
        <bgColor indexed="64"/>
      </patternFill>
    </fill>
    <fill>
      <patternFill patternType="solid">
        <fgColor theme="3" tint="0.59999389629810485"/>
        <bgColor indexed="64"/>
      </patternFill>
    </fill>
    <fill>
      <patternFill patternType="solid">
        <fgColor theme="8" tint="0.39997558519241921"/>
        <bgColor indexed="64"/>
      </patternFill>
    </fill>
    <fill>
      <patternFill patternType="solid">
        <fgColor rgb="FF1AC5DC"/>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rgb="FFFFFF99"/>
        <bgColor indexed="64"/>
      </patternFill>
    </fill>
    <fill>
      <patternFill patternType="solid">
        <fgColor theme="6" tint="0.59999389629810485"/>
        <bgColor indexed="64"/>
      </patternFill>
    </fill>
    <fill>
      <patternFill patternType="solid">
        <fgColor theme="8" tint="-0.249977111117893"/>
        <bgColor indexed="64"/>
      </patternFill>
    </fill>
    <fill>
      <patternFill patternType="solid">
        <fgColor rgb="FFFFC000"/>
        <bgColor indexed="64"/>
      </patternFill>
    </fill>
    <fill>
      <patternFill patternType="solid">
        <fgColor rgb="FFFFFF00"/>
        <bgColor indexed="64"/>
      </patternFill>
    </fill>
    <fill>
      <patternFill patternType="solid">
        <fgColor rgb="FF18F907"/>
        <bgColor indexed="64"/>
      </patternFill>
    </fill>
    <fill>
      <patternFill patternType="solid">
        <fgColor rgb="FFCFDDEE"/>
        <bgColor indexed="8"/>
      </patternFill>
    </fill>
    <fill>
      <patternFill patternType="solid">
        <fgColor rgb="FFFFFFFF"/>
        <bgColor indexed="64"/>
      </patternFill>
    </fill>
    <fill>
      <patternFill patternType="solid">
        <fgColor rgb="FF00FFFF"/>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50">
    <xf numFmtId="0" fontId="0" fillId="0" borderId="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5" fillId="0" borderId="0"/>
    <xf numFmtId="0" fontId="5" fillId="0" borderId="0"/>
    <xf numFmtId="44" fontId="4" fillId="0" borderId="0" applyFont="0" applyFill="0" applyBorder="0" applyAlignment="0" applyProtection="0"/>
    <xf numFmtId="0" fontId="9" fillId="0" borderId="0" applyNumberForma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166" fontId="5" fillId="0" borderId="0" applyFont="0" applyFill="0" applyBorder="0" applyAlignment="0" applyProtection="0"/>
    <xf numFmtId="0" fontId="15" fillId="16" borderId="0" applyNumberFormat="0" applyFont="0" applyFill="0" applyBorder="0" applyAlignment="0" applyProtection="0">
      <alignment horizontal="left" vertical="top" wrapText="1"/>
    </xf>
    <xf numFmtId="0" fontId="5" fillId="0" borderId="0"/>
    <xf numFmtId="44" fontId="4" fillId="0" borderId="0" applyFont="0" applyFill="0" applyBorder="0" applyAlignment="0" applyProtection="0"/>
    <xf numFmtId="0" fontId="9" fillId="0" borderId="0" applyNumberForma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cellStyleXfs>
  <cellXfs count="154">
    <xf numFmtId="0" fontId="0" fillId="0" borderId="0" xfId="0"/>
    <xf numFmtId="0" fontId="2" fillId="7" borderId="1" xfId="0" applyFont="1" applyFill="1" applyBorder="1" applyAlignment="1">
      <alignment horizontal="center" vertical="center" wrapText="1"/>
    </xf>
    <xf numFmtId="0" fontId="2" fillId="0" borderId="0" xfId="0" applyFont="1"/>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9" borderId="1" xfId="0" applyFont="1" applyFill="1" applyBorder="1" applyAlignment="1">
      <alignment horizontal="left"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xf>
    <xf numFmtId="44" fontId="6" fillId="0" borderId="1" xfId="1" applyFont="1" applyFill="1" applyBorder="1" applyAlignment="1">
      <alignment horizontal="center" vertical="center"/>
    </xf>
    <xf numFmtId="0" fontId="6" fillId="0" borderId="0" xfId="0" applyFont="1"/>
    <xf numFmtId="0" fontId="6" fillId="0" borderId="0" xfId="0" applyFont="1" applyAlignment="1">
      <alignment horizontal="center"/>
    </xf>
    <xf numFmtId="164" fontId="6" fillId="0" borderId="1" xfId="1" applyNumberFormat="1" applyFont="1" applyFill="1" applyBorder="1" applyAlignment="1">
      <alignment horizontal="center" vertical="center"/>
    </xf>
    <xf numFmtId="0" fontId="6" fillId="0" borderId="0" xfId="0" applyFont="1" applyAlignment="1">
      <alignment horizontal="left"/>
    </xf>
    <xf numFmtId="0" fontId="0" fillId="0" borderId="1" xfId="0" applyBorder="1" applyAlignment="1">
      <alignment horizontal="center" vertical="center"/>
    </xf>
    <xf numFmtId="0" fontId="3" fillId="0" borderId="1" xfId="0" applyFont="1" applyBorder="1" applyAlignment="1">
      <alignment horizontal="center" vertical="center"/>
    </xf>
    <xf numFmtId="165" fontId="0" fillId="10" borderId="1" xfId="0" applyNumberFormat="1" applyFill="1" applyBorder="1" applyAlignment="1">
      <alignment horizontal="center" vertical="center"/>
    </xf>
    <xf numFmtId="15" fontId="0" fillId="0" borderId="1" xfId="0" applyNumberFormat="1" applyBorder="1" applyAlignment="1">
      <alignment horizontal="center" vertical="center"/>
    </xf>
    <xf numFmtId="0" fontId="9" fillId="0" borderId="1" xfId="20" applyBorder="1" applyAlignment="1">
      <alignment horizontal="center" vertical="center"/>
    </xf>
    <xf numFmtId="14" fontId="0" fillId="0" borderId="1" xfId="0" applyNumberFormat="1" applyBorder="1" applyAlignment="1">
      <alignment horizontal="center" vertical="center"/>
    </xf>
    <xf numFmtId="0" fontId="0" fillId="13" borderId="1" xfId="0" applyFill="1" applyBorder="1" applyAlignment="1">
      <alignment horizontal="center" vertical="center"/>
    </xf>
    <xf numFmtId="1" fontId="0" fillId="0" borderId="1" xfId="0" applyNumberFormat="1" applyBorder="1" applyAlignment="1">
      <alignment horizontal="center" vertical="center"/>
    </xf>
    <xf numFmtId="44" fontId="0" fillId="11" borderId="1" xfId="19" applyFont="1" applyFill="1" applyBorder="1" applyAlignment="1">
      <alignment horizontal="center" vertical="center"/>
    </xf>
    <xf numFmtId="0" fontId="0" fillId="0" borderId="1" xfId="0" applyBorder="1" applyAlignment="1">
      <alignment horizontal="center"/>
    </xf>
    <xf numFmtId="44" fontId="0" fillId="0" borderId="1" xfId="19" applyFont="1" applyBorder="1" applyAlignment="1">
      <alignment horizontal="center" vertical="center"/>
    </xf>
    <xf numFmtId="49" fontId="3" fillId="0" borderId="1" xfId="0" applyNumberFormat="1" applyFont="1" applyBorder="1" applyAlignment="1">
      <alignment horizontal="center" vertical="center"/>
    </xf>
    <xf numFmtId="49" fontId="0" fillId="0" borderId="1" xfId="0" applyNumberFormat="1" applyBorder="1" applyAlignment="1">
      <alignment horizontal="center" vertical="center"/>
    </xf>
    <xf numFmtId="0" fontId="3" fillId="13" borderId="1" xfId="0" applyFont="1" applyFill="1" applyBorder="1" applyAlignment="1">
      <alignment horizontal="center" vertical="center"/>
    </xf>
    <xf numFmtId="0" fontId="0" fillId="15" borderId="1" xfId="0" applyFill="1" applyBorder="1" applyAlignment="1">
      <alignment horizontal="center" vertical="center"/>
    </xf>
    <xf numFmtId="0" fontId="12" fillId="0" borderId="1" xfId="0" applyFont="1" applyBorder="1" applyAlignment="1">
      <alignment horizontal="center" vertical="center"/>
    </xf>
    <xf numFmtId="0" fontId="0" fillId="0" borderId="1" xfId="0" quotePrefix="1" applyBorder="1" applyAlignment="1">
      <alignment horizontal="center" vertical="center"/>
    </xf>
    <xf numFmtId="165" fontId="0" fillId="0" borderId="1" xfId="0" applyNumberFormat="1" applyBorder="1" applyAlignment="1">
      <alignment horizontal="center" vertical="center"/>
    </xf>
    <xf numFmtId="14" fontId="0" fillId="0" borderId="1" xfId="0" applyNumberFormat="1" applyBorder="1" applyAlignment="1">
      <alignment horizontal="center"/>
    </xf>
    <xf numFmtId="1" fontId="0" fillId="0" borderId="1" xfId="0" applyNumberFormat="1" applyBorder="1" applyAlignment="1">
      <alignment horizontal="center"/>
    </xf>
    <xf numFmtId="0" fontId="3" fillId="0" borderId="1" xfId="0" applyFont="1" applyBorder="1" applyAlignment="1">
      <alignment horizontal="center"/>
    </xf>
    <xf numFmtId="0" fontId="0" fillId="0" borderId="1" xfId="0" quotePrefix="1" applyBorder="1" applyAlignment="1">
      <alignment horizontal="center"/>
    </xf>
    <xf numFmtId="0" fontId="0" fillId="14" borderId="1" xfId="0" applyFill="1" applyBorder="1" applyAlignment="1">
      <alignment horizontal="center"/>
    </xf>
    <xf numFmtId="0" fontId="0" fillId="14" borderId="1" xfId="0" quotePrefix="1" applyFill="1" applyBorder="1" applyAlignment="1">
      <alignment horizontal="center"/>
    </xf>
    <xf numFmtId="0" fontId="0" fillId="14" borderId="1" xfId="0" applyFill="1" applyBorder="1" applyAlignment="1">
      <alignment horizontal="center" vertical="center"/>
    </xf>
    <xf numFmtId="0" fontId="0" fillId="0" borderId="1" xfId="0" applyBorder="1" applyAlignment="1">
      <alignment horizontal="left" vertical="center"/>
    </xf>
    <xf numFmtId="0" fontId="0" fillId="12" borderId="1" xfId="0" applyFill="1" applyBorder="1" applyAlignment="1">
      <alignment horizontal="center" vertical="center"/>
    </xf>
    <xf numFmtId="0" fontId="0" fillId="10" borderId="1" xfId="0" applyFill="1" applyBorder="1" applyAlignment="1">
      <alignment horizontal="center" vertical="center"/>
    </xf>
    <xf numFmtId="44" fontId="0" fillId="0" borderId="1" xfId="19" applyFont="1" applyBorder="1" applyAlignment="1">
      <alignment vertical="center"/>
    </xf>
    <xf numFmtId="0" fontId="10" fillId="0" borderId="1" xfId="0" applyFont="1" applyBorder="1" applyAlignment="1">
      <alignment horizontal="center" vertical="center"/>
    </xf>
    <xf numFmtId="0" fontId="0" fillId="0" borderId="1" xfId="0" applyBorder="1" applyAlignment="1" applyProtection="1">
      <alignment horizontal="center" vertical="center"/>
      <protection locked="0"/>
    </xf>
    <xf numFmtId="14" fontId="0" fillId="0" borderId="1" xfId="0" applyNumberFormat="1" applyBorder="1" applyAlignment="1" applyProtection="1">
      <alignment horizontal="center" vertical="center"/>
      <protection locked="0"/>
    </xf>
    <xf numFmtId="0" fontId="11" fillId="0" borderId="1" xfId="0" applyFont="1" applyBorder="1" applyAlignment="1">
      <alignment horizontal="center" vertical="center"/>
    </xf>
    <xf numFmtId="0" fontId="3" fillId="0" borderId="1" xfId="0" applyFont="1" applyBorder="1" applyAlignment="1">
      <alignment horizontal="left" vertical="center"/>
    </xf>
    <xf numFmtId="14" fontId="3"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0" fontId="0" fillId="0" borderId="1" xfId="0" applyBorder="1"/>
    <xf numFmtId="0" fontId="3" fillId="0" borderId="1" xfId="0" quotePrefix="1" applyFont="1" applyBorder="1" applyAlignment="1">
      <alignment horizontal="center" vertical="center"/>
    </xf>
    <xf numFmtId="0" fontId="3" fillId="14" borderId="1" xfId="0" applyFont="1" applyFill="1" applyBorder="1" applyAlignment="1">
      <alignment horizontal="center" vertical="center"/>
    </xf>
    <xf numFmtId="0" fontId="3" fillId="0" borderId="1" xfId="0" applyFont="1" applyBorder="1"/>
    <xf numFmtId="0" fontId="3" fillId="10" borderId="1" xfId="0" applyFont="1" applyFill="1" applyBorder="1" applyAlignment="1">
      <alignment horizontal="center" vertical="center"/>
    </xf>
    <xf numFmtId="0" fontId="13" fillId="0" borderId="1" xfId="0" applyFont="1" applyBorder="1" applyAlignment="1">
      <alignment horizontal="center" vertical="center"/>
    </xf>
    <xf numFmtId="14" fontId="0" fillId="0" borderId="1" xfId="0" applyNumberFormat="1" applyBorder="1"/>
    <xf numFmtId="0" fontId="13" fillId="0" borderId="1" xfId="0" applyFont="1" applyBorder="1" applyAlignment="1">
      <alignment horizontal="left" vertical="center"/>
    </xf>
    <xf numFmtId="15" fontId="3" fillId="0" borderId="1" xfId="0" applyNumberFormat="1" applyFont="1" applyBorder="1" applyAlignment="1">
      <alignment horizontal="center" vertical="center"/>
    </xf>
    <xf numFmtId="0" fontId="0" fillId="14" borderId="1" xfId="0" applyFill="1" applyBorder="1"/>
    <xf numFmtId="0" fontId="0" fillId="0" borderId="1" xfId="0" applyBorder="1" applyAlignment="1" applyProtection="1">
      <alignment horizontal="left" vertical="center"/>
      <protection locked="0"/>
    </xf>
    <xf numFmtId="0" fontId="0" fillId="0" borderId="1" xfId="0" applyBorder="1" applyAlignment="1">
      <alignment horizontal="left"/>
    </xf>
    <xf numFmtId="0" fontId="14" fillId="0" borderId="1" xfId="0" applyFont="1" applyBorder="1" applyAlignment="1">
      <alignment horizontal="center" vertical="center"/>
    </xf>
    <xf numFmtId="44" fontId="3" fillId="0" borderId="1" xfId="19" applyFont="1" applyFill="1" applyBorder="1" applyAlignment="1">
      <alignment vertical="center"/>
    </xf>
    <xf numFmtId="49" fontId="0" fillId="0" borderId="1" xfId="0" applyNumberFormat="1" applyBorder="1" applyAlignment="1">
      <alignment horizontal="center"/>
    </xf>
    <xf numFmtId="0" fontId="16" fillId="0" borderId="1" xfId="0" applyFont="1" applyBorder="1" applyAlignment="1">
      <alignment horizontal="center" vertical="center"/>
    </xf>
    <xf numFmtId="14" fontId="16" fillId="0" borderId="1" xfId="0" applyNumberFormat="1" applyFont="1" applyBorder="1" applyAlignment="1">
      <alignment horizontal="center" vertical="center"/>
    </xf>
    <xf numFmtId="0" fontId="16" fillId="17" borderId="1" xfId="0" applyFont="1" applyFill="1" applyBorder="1" applyAlignment="1">
      <alignment horizontal="center" vertical="center"/>
    </xf>
    <xf numFmtId="44" fontId="3" fillId="11" borderId="1" xfId="19" applyFont="1" applyFill="1" applyBorder="1" applyAlignment="1">
      <alignment horizontal="center" vertical="center"/>
    </xf>
    <xf numFmtId="44" fontId="0" fillId="0" borderId="1" xfId="19" applyFont="1" applyFill="1" applyBorder="1" applyAlignment="1">
      <alignment vertical="center"/>
    </xf>
    <xf numFmtId="0" fontId="3" fillId="0" borderId="1" xfId="0" applyFont="1" applyBorder="1" applyAlignment="1">
      <alignment horizontal="left"/>
    </xf>
    <xf numFmtId="0" fontId="6" fillId="0" borderId="0" xfId="0" applyFont="1" applyAlignment="1">
      <alignment wrapText="1"/>
    </xf>
    <xf numFmtId="0" fontId="6" fillId="0" borderId="1" xfId="0" applyFont="1" applyBorder="1" applyAlignment="1">
      <alignment horizontal="center"/>
    </xf>
    <xf numFmtId="0" fontId="6" fillId="0" borderId="1" xfId="0" applyFont="1" applyBorder="1"/>
    <xf numFmtId="14" fontId="6" fillId="0" borderId="1" xfId="0" applyNumberFormat="1" applyFont="1" applyBorder="1" applyAlignment="1">
      <alignment horizontal="center"/>
    </xf>
    <xf numFmtId="0" fontId="18" fillId="0" borderId="1" xfId="0" applyFont="1" applyBorder="1" applyAlignment="1">
      <alignment horizontal="center"/>
    </xf>
    <xf numFmtId="0" fontId="19" fillId="12"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1" fontId="19" fillId="2" borderId="1" xfId="0" applyNumberFormat="1" applyFont="1" applyFill="1" applyBorder="1" applyAlignment="1">
      <alignment horizontal="center" vertical="center" wrapText="1"/>
    </xf>
    <xf numFmtId="0" fontId="19" fillId="12" borderId="1" xfId="0" applyFont="1" applyFill="1" applyBorder="1" applyAlignment="1">
      <alignment horizontal="center" wrapText="1"/>
    </xf>
    <xf numFmtId="0" fontId="19" fillId="4" borderId="1"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19" fillId="7" borderId="1" xfId="0" applyFont="1" applyFill="1" applyBorder="1" applyAlignment="1">
      <alignment horizontal="center" vertical="center" wrapText="1"/>
    </xf>
    <xf numFmtId="0" fontId="19" fillId="18" borderId="1" xfId="0" applyFont="1" applyFill="1" applyBorder="1" applyAlignment="1">
      <alignment horizontal="center" vertical="center" wrapText="1"/>
    </xf>
    <xf numFmtId="0" fontId="19" fillId="0" borderId="0" xfId="0" applyFont="1" applyAlignment="1">
      <alignment horizontal="center"/>
    </xf>
    <xf numFmtId="0" fontId="9" fillId="0" borderId="1" xfId="20" applyFill="1" applyBorder="1" applyAlignment="1"/>
    <xf numFmtId="0" fontId="9" fillId="0" borderId="1" xfId="20" applyFill="1" applyBorder="1" applyAlignment="1">
      <alignment vertical="center"/>
    </xf>
    <xf numFmtId="0" fontId="9" fillId="0" borderId="1" xfId="20" applyFill="1" applyBorder="1"/>
    <xf numFmtId="44" fontId="23" fillId="0" borderId="1" xfId="1" applyFont="1" applyFill="1" applyBorder="1" applyAlignment="1">
      <alignment horizontal="center" vertical="center"/>
    </xf>
    <xf numFmtId="0" fontId="24" fillId="0" borderId="1" xfId="20" applyFont="1" applyFill="1" applyBorder="1" applyAlignment="1"/>
    <xf numFmtId="0" fontId="19" fillId="2" borderId="1" xfId="0" applyFont="1" applyFill="1" applyBorder="1" applyAlignment="1">
      <alignment vertical="center" wrapText="1"/>
    </xf>
    <xf numFmtId="0" fontId="24" fillId="0" borderId="1" xfId="20" applyFont="1" applyFill="1" applyBorder="1"/>
    <xf numFmtId="164" fontId="23" fillId="0" borderId="1" xfId="1" applyNumberFormat="1" applyFont="1" applyFill="1" applyBorder="1" applyAlignment="1">
      <alignment horizontal="center" vertical="center"/>
    </xf>
    <xf numFmtId="1" fontId="7" fillId="0" borderId="1" xfId="0" applyNumberFormat="1" applyFont="1" applyBorder="1" applyAlignment="1">
      <alignment horizontal="center" vertical="center"/>
    </xf>
    <xf numFmtId="14" fontId="6" fillId="0" borderId="1" xfId="0" applyNumberFormat="1" applyFont="1" applyBorder="1" applyAlignment="1">
      <alignment horizontal="center" vertical="center"/>
    </xf>
    <xf numFmtId="167" fontId="6" fillId="0" borderId="1" xfId="0" applyNumberFormat="1" applyFont="1" applyBorder="1" applyAlignment="1">
      <alignment horizontal="center" vertical="center"/>
    </xf>
    <xf numFmtId="0" fontId="6" fillId="0" borderId="1" xfId="0" applyFont="1" applyBorder="1" applyAlignment="1">
      <alignment horizontal="left"/>
    </xf>
    <xf numFmtId="1" fontId="6" fillId="0" borderId="1" xfId="0" applyNumberFormat="1" applyFont="1" applyBorder="1" applyAlignment="1">
      <alignment horizontal="center"/>
    </xf>
    <xf numFmtId="0" fontId="6" fillId="0" borderId="1" xfId="0" applyFont="1" applyBorder="1" applyAlignment="1">
      <alignment vertical="center"/>
    </xf>
    <xf numFmtId="1" fontId="6" fillId="0" borderId="1" xfId="0" applyNumberFormat="1" applyFont="1" applyBorder="1" applyAlignment="1">
      <alignment horizontal="center" vertical="center"/>
    </xf>
    <xf numFmtId="0" fontId="7" fillId="0" borderId="1" xfId="0" applyFont="1" applyBorder="1" applyAlignment="1">
      <alignment vertical="center"/>
    </xf>
    <xf numFmtId="0" fontId="7" fillId="0" borderId="1" xfId="0" applyFont="1" applyBorder="1" applyAlignment="1">
      <alignment horizontal="center" vertical="center"/>
    </xf>
    <xf numFmtId="49" fontId="6" fillId="0" borderId="1" xfId="0" applyNumberFormat="1" applyFont="1" applyBorder="1" applyAlignment="1">
      <alignment horizontal="center" vertical="center"/>
    </xf>
    <xf numFmtId="0" fontId="23" fillId="0" borderId="1" xfId="0" applyFont="1" applyBorder="1" applyAlignment="1">
      <alignment horizontal="center" vertical="center"/>
    </xf>
    <xf numFmtId="0" fontId="23" fillId="0" borderId="1" xfId="0" applyFont="1" applyBorder="1"/>
    <xf numFmtId="1" fontId="23" fillId="0" borderId="1" xfId="0" applyNumberFormat="1" applyFont="1" applyBorder="1" applyAlignment="1">
      <alignment horizontal="center" vertical="center"/>
    </xf>
    <xf numFmtId="14" fontId="23" fillId="0" borderId="1" xfId="0" applyNumberFormat="1" applyFont="1" applyBorder="1" applyAlignment="1">
      <alignment horizontal="center" vertical="center"/>
    </xf>
    <xf numFmtId="167" fontId="23" fillId="0" borderId="1" xfId="0" applyNumberFormat="1" applyFont="1" applyBorder="1" applyAlignment="1">
      <alignment horizontal="center" vertical="center"/>
    </xf>
    <xf numFmtId="0" fontId="23" fillId="0" borderId="1" xfId="0" applyFont="1" applyBorder="1" applyAlignment="1">
      <alignment horizontal="left" vertical="center"/>
    </xf>
    <xf numFmtId="0" fontId="23" fillId="0" borderId="1" xfId="0" applyFont="1" applyBorder="1" applyAlignment="1">
      <alignment vertical="center"/>
    </xf>
    <xf numFmtId="0" fontId="23" fillId="0" borderId="0" xfId="0" applyFont="1"/>
    <xf numFmtId="14" fontId="7" fillId="0" borderId="1" xfId="0" applyNumberFormat="1" applyFont="1" applyBorder="1" applyAlignment="1">
      <alignment horizontal="center" vertical="center"/>
    </xf>
    <xf numFmtId="16" fontId="6" fillId="0" borderId="1" xfId="0" applyNumberFormat="1" applyFont="1" applyBorder="1" applyAlignment="1">
      <alignment horizontal="center" vertical="center"/>
    </xf>
    <xf numFmtId="0" fontId="7" fillId="0" borderId="1" xfId="18" applyFont="1" applyBorder="1" applyAlignment="1">
      <alignment horizontal="center" vertical="center"/>
    </xf>
    <xf numFmtId="49" fontId="23" fillId="0" borderId="1" xfId="0" applyNumberFormat="1" applyFont="1" applyBorder="1" applyAlignment="1">
      <alignment horizontal="center" vertical="center"/>
    </xf>
    <xf numFmtId="0" fontId="8" fillId="0" borderId="1" xfId="0" applyFont="1" applyBorder="1" applyAlignment="1">
      <alignment horizontal="center" vertical="center"/>
    </xf>
    <xf numFmtId="49" fontId="7" fillId="0" borderId="1" xfId="18" applyNumberFormat="1" applyFont="1" applyBorder="1" applyAlignment="1">
      <alignment horizontal="center" vertical="center"/>
    </xf>
    <xf numFmtId="0" fontId="23" fillId="0" borderId="1" xfId="18" applyFont="1" applyBorder="1" applyAlignment="1">
      <alignment horizontal="center" vertical="center"/>
    </xf>
    <xf numFmtId="14" fontId="17" fillId="0" borderId="1" xfId="0" applyNumberFormat="1" applyFont="1" applyBorder="1" applyAlignment="1">
      <alignment horizontal="center"/>
    </xf>
    <xf numFmtId="0" fontId="23" fillId="0" borderId="1" xfId="0" applyFont="1" applyBorder="1" applyAlignment="1">
      <alignment horizontal="center"/>
    </xf>
    <xf numFmtId="14" fontId="22" fillId="0" borderId="1" xfId="0" applyNumberFormat="1" applyFont="1" applyBorder="1" applyAlignment="1">
      <alignment horizontal="center"/>
    </xf>
    <xf numFmtId="14" fontId="23" fillId="0" borderId="1" xfId="0" applyNumberFormat="1" applyFont="1" applyBorder="1" applyAlignment="1">
      <alignment horizontal="center"/>
    </xf>
    <xf numFmtId="0" fontId="23" fillId="0" borderId="1" xfId="0" applyFont="1" applyBorder="1" applyAlignment="1">
      <alignment horizontal="left"/>
    </xf>
    <xf numFmtId="0" fontId="22" fillId="0" borderId="1" xfId="0" applyFont="1" applyBorder="1" applyAlignment="1">
      <alignment horizontal="center"/>
    </xf>
    <xf numFmtId="14" fontId="23" fillId="0" borderId="1" xfId="0" applyNumberFormat="1" applyFont="1" applyBorder="1"/>
    <xf numFmtId="0" fontId="22" fillId="0" borderId="1" xfId="0" applyFont="1" applyBorder="1" applyAlignment="1">
      <alignment horizontal="center" vertical="center"/>
    </xf>
    <xf numFmtId="14" fontId="6" fillId="0" borderId="1" xfId="0" applyNumberFormat="1" applyFont="1" applyBorder="1"/>
    <xf numFmtId="0" fontId="22" fillId="0" borderId="1" xfId="0" applyFont="1" applyBorder="1"/>
    <xf numFmtId="0" fontId="23" fillId="0" borderId="1" xfId="0" quotePrefix="1" applyFont="1" applyBorder="1" applyAlignment="1">
      <alignment horizontal="center"/>
    </xf>
    <xf numFmtId="0" fontId="23" fillId="0" borderId="0" xfId="0" applyFont="1" applyAlignment="1">
      <alignment horizontal="center"/>
    </xf>
    <xf numFmtId="0" fontId="25" fillId="0" borderId="1" xfId="0" applyFont="1" applyBorder="1" applyAlignment="1">
      <alignment horizontal="center"/>
    </xf>
    <xf numFmtId="0" fontId="6" fillId="0" borderId="1" xfId="0" applyFont="1" applyBorder="1" applyAlignment="1">
      <alignment wrapText="1"/>
    </xf>
    <xf numFmtId="0" fontId="23" fillId="0" borderId="1" xfId="0" applyFont="1" applyBorder="1" applyAlignment="1">
      <alignment wrapText="1"/>
    </xf>
    <xf numFmtId="0" fontId="7" fillId="0" borderId="1" xfId="0" applyFont="1" applyBorder="1" applyAlignment="1">
      <alignment horizontal="center"/>
    </xf>
    <xf numFmtId="0" fontId="6" fillId="0" borderId="1" xfId="0" applyFont="1" applyBorder="1" applyAlignment="1">
      <alignment horizontal="left" vertical="top" wrapText="1"/>
    </xf>
    <xf numFmtId="0" fontId="6" fillId="0" borderId="1" xfId="18" applyFont="1" applyBorder="1" applyAlignment="1">
      <alignment horizontal="center" vertical="center"/>
    </xf>
    <xf numFmtId="1" fontId="23" fillId="0" borderId="1" xfId="0" applyNumberFormat="1" applyFont="1" applyBorder="1" applyAlignment="1">
      <alignment horizontal="center"/>
    </xf>
    <xf numFmtId="0" fontId="9" fillId="0" borderId="1" xfId="20" applyBorder="1"/>
    <xf numFmtId="0" fontId="23" fillId="0" borderId="2" xfId="0" applyFont="1" applyBorder="1"/>
    <xf numFmtId="0" fontId="24" fillId="0" borderId="1" xfId="20" applyFont="1" applyBorder="1"/>
    <xf numFmtId="15" fontId="6" fillId="0" borderId="1" xfId="0" applyNumberFormat="1" applyFont="1" applyBorder="1" applyAlignment="1">
      <alignment horizontal="center" vertical="center"/>
    </xf>
    <xf numFmtId="0" fontId="24" fillId="0" borderId="1" xfId="20" applyFont="1" applyFill="1" applyBorder="1" applyAlignment="1">
      <alignment horizontal="left"/>
    </xf>
    <xf numFmtId="0" fontId="23" fillId="0" borderId="1" xfId="0" applyFont="1" applyBorder="1" applyAlignment="1">
      <alignment horizontal="left" wrapText="1"/>
    </xf>
    <xf numFmtId="0" fontId="24" fillId="0" borderId="1" xfId="20" applyFont="1" applyBorder="1" applyAlignment="1">
      <alignment horizontal="left"/>
    </xf>
    <xf numFmtId="0" fontId="23" fillId="0" borderId="1" xfId="0" applyFont="1" applyBorder="1" applyAlignment="1">
      <alignment horizontal="center" wrapText="1"/>
    </xf>
    <xf numFmtId="0" fontId="26" fillId="0" borderId="1" xfId="0" applyFont="1" applyBorder="1"/>
    <xf numFmtId="0" fontId="22" fillId="0" borderId="1" xfId="0" applyFont="1" applyBorder="1" applyAlignment="1">
      <alignment horizontal="left"/>
    </xf>
    <xf numFmtId="0" fontId="6" fillId="19" borderId="1" xfId="0" applyFont="1" applyFill="1" applyBorder="1" applyAlignment="1">
      <alignment horizontal="left"/>
    </xf>
  </cellXfs>
  <cellStyles count="50">
    <cellStyle name="Hipervínculo" xfId="20" builtinId="8"/>
    <cellStyle name="Hipervínculo 2" xfId="27" xr:uid="{A7CEA26E-FB37-4C39-924E-B7CDB0949E0A}"/>
    <cellStyle name="Millares 2" xfId="22" xr:uid="{B1901F73-20B8-4A00-BD8D-4722A7497B66}"/>
    <cellStyle name="Millares 2 2" xfId="29" xr:uid="{CC368713-57D4-4EF6-83FD-3F040E69D63D}"/>
    <cellStyle name="Millares 2 2 2" xfId="35" xr:uid="{C5B74AD0-627E-4BF6-913A-F95ADD32923D}"/>
    <cellStyle name="Millares 2 2 2 2" xfId="48" xr:uid="{6D0DBED6-4806-4FCD-9136-B8BD1F7F30C0}"/>
    <cellStyle name="Millares 2 2 3" xfId="42" xr:uid="{AD0DB0F2-7161-4284-8CBF-F8C0AD910C04}"/>
    <cellStyle name="Millares 2 3" xfId="32" xr:uid="{78476AC7-624A-4508-9C64-67520538E130}"/>
    <cellStyle name="Millares 2 3 2" xfId="45" xr:uid="{23C2AE21-8F31-4E15-A601-134FA571165A}"/>
    <cellStyle name="Millares 2 4" xfId="39" xr:uid="{B127B25F-9FE2-4B1A-9BA4-799225DBB280}"/>
    <cellStyle name="Moneda" xfId="1" builtinId="4"/>
    <cellStyle name="Moneda 17 4" xfId="10" xr:uid="{A26AD70E-8AF3-4973-BC01-DE8329C3E186}"/>
    <cellStyle name="Moneda 18" xfId="16" xr:uid="{C67FB5A2-91EB-4166-A84B-9B495EEC0B9E}"/>
    <cellStyle name="Moneda 2" xfId="23" xr:uid="{93DABF0C-32AE-4CE7-B274-807E3FBCE0B1}"/>
    <cellStyle name="Moneda 20" xfId="2" xr:uid="{5CE9951D-999F-4DCD-A201-67B7BC1C4A96}"/>
    <cellStyle name="Moneda 3" xfId="28" xr:uid="{5E4278E2-D2A8-4536-86F3-2F94014CF52E}"/>
    <cellStyle name="Moneda 3 2" xfId="34" xr:uid="{BF66F4AA-7F0F-46B3-9416-707FD72C74E8}"/>
    <cellStyle name="Moneda 3 2 2" xfId="47" xr:uid="{EABB657F-A74D-4904-83CB-BCC761761F0A}"/>
    <cellStyle name="Moneda 3 3" xfId="41" xr:uid="{5B6FCD80-7BCE-4E29-AF76-BC5D47377BE1}"/>
    <cellStyle name="Moneda 30 4" xfId="6" xr:uid="{36B18470-8E76-40EF-9475-ED4376442FF7}"/>
    <cellStyle name="Moneda 34 3" xfId="15" xr:uid="{CAE1D217-4723-4A78-BBA4-EF2697DAA0CA}"/>
    <cellStyle name="Moneda 36 3" xfId="12" xr:uid="{8E374A6C-ED0C-48E5-A471-CA3FF0658017}"/>
    <cellStyle name="Moneda 37 2" xfId="9" xr:uid="{973F0E1B-96EA-4A69-96D2-F0A415401225}"/>
    <cellStyle name="Moneda 4" xfId="31" xr:uid="{8743F170-12D0-433B-A9D5-051DB60555BD}"/>
    <cellStyle name="Moneda 4 2" xfId="26" xr:uid="{A71776C1-DA91-40AD-9924-EDB3A7CBDCD3}"/>
    <cellStyle name="Moneda 4 2 2" xfId="30" xr:uid="{DA3B9BD5-1861-443B-BF66-2E6E0691115E}"/>
    <cellStyle name="Moneda 4 2 2 2" xfId="36" xr:uid="{F8AD0B5C-08EC-4B83-B3FC-AE05EEC78C7E}"/>
    <cellStyle name="Moneda 4 2 2 2 2" xfId="49" xr:uid="{99BB5590-9F1F-40F2-BCAF-83A0FEA58F60}"/>
    <cellStyle name="Moneda 4 2 2 3" xfId="43" xr:uid="{23738ED6-4F40-4A9B-A4DA-EA81645CC053}"/>
    <cellStyle name="Moneda 4 2 3" xfId="33" xr:uid="{A0B924F8-646C-4C3B-9E2C-DB0CD5B5526C}"/>
    <cellStyle name="Moneda 4 2 3 2" xfId="46" xr:uid="{DC9F0F39-E1E9-42C1-95B5-A0A72A4E8C2B}"/>
    <cellStyle name="Moneda 4 2 4" xfId="40" xr:uid="{9D2EC2E7-2BE6-48EE-A774-9DC7B4705C21}"/>
    <cellStyle name="Moneda 4 3" xfId="44" xr:uid="{7FA502E0-411F-45BE-93B4-303C1F924D19}"/>
    <cellStyle name="Moneda 44" xfId="7" xr:uid="{514F8E70-672D-49BF-A717-269201BAD5B0}"/>
    <cellStyle name="Moneda 46" xfId="8" xr:uid="{A0955ADD-38CD-4CE0-AE55-E586D7335B72}"/>
    <cellStyle name="Moneda 5" xfId="21" xr:uid="{2F2F5799-36EC-41A9-8152-04EDE8C536E7}"/>
    <cellStyle name="Moneda 5 2" xfId="38" xr:uid="{9319BA65-FDA4-4955-BA50-DD20CA3BE8BA}"/>
    <cellStyle name="Moneda 50 3" xfId="4" xr:uid="{3F79331F-7FAC-43E7-AEFC-E2F828099BEC}"/>
    <cellStyle name="Moneda 58" xfId="3" xr:uid="{51019A16-DAE8-4549-B0CF-D7F3AC1863FE}"/>
    <cellStyle name="Moneda 6" xfId="19" xr:uid="{D04D5D34-AF31-49C2-AD1F-2AAA96BA17EB}"/>
    <cellStyle name="Moneda 64" xfId="14" xr:uid="{B9971607-4CE5-4328-BFB1-92FE812AF4EC}"/>
    <cellStyle name="Moneda 65" xfId="11" xr:uid="{A47F4916-C440-4936-B466-C5D7231BA623}"/>
    <cellStyle name="Moneda 68" xfId="5" xr:uid="{F7DDC673-F557-4D95-B76A-E280BC39BB0F}"/>
    <cellStyle name="Moneda 69" xfId="13" xr:uid="{DFF867E5-2F1C-46CB-AE1D-637486DDC302}"/>
    <cellStyle name="Moneda 7" xfId="37" xr:uid="{8637D857-293B-4B65-BA48-02FFCAA6C31D}"/>
    <cellStyle name="Normal" xfId="0" builtinId="0"/>
    <cellStyle name="Normal 2" xfId="17" xr:uid="{8D490069-CB93-4419-A8AB-1EAD57F358DA}"/>
    <cellStyle name="Normal 3" xfId="24" xr:uid="{BF34A69D-A4C1-48CA-853A-97A5022C39AE}"/>
    <cellStyle name="Normal 4" xfId="18" xr:uid="{05B3172B-7760-4CE1-B7E0-7083BDE57545}"/>
    <cellStyle name="Normal 5" xfId="25" xr:uid="{CCB5CF7A-4894-4674-A67F-281732B4D63B}"/>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FFFF"/>
      <color rgb="FFFFCCFF"/>
      <color rgb="FF1AC5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Tania Hurtado Avalos" id="{ACF97A6C-FE2B-4107-B5B5-84D442016615}" userId="S::generalista.rh@grupojama.com::b59ffdb9-4cb1-401c-bf76-6c96ae1354e1" providerId="AD"/>
  <person displayName="Tania Hurtado Avalos" id="{DB234529-1023-49CD-BEA0-D19247831640}" userId="S::generalista.rh@grupojama1.onmicrosoft.com::b59ffdb9-4cb1-401c-bf76-6c96ae1354e1"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Q29" dT="2026-02-11T22:18:02.82" personId="{ACF97A6C-FE2B-4107-B5B5-84D442016615}" id="{C6F510A4-3AB4-4105-BE7B-CF89DAF85F44}">
    <text>No poner en cumpleaños del mes (no le gusta)</text>
  </threadedComment>
  <threadedComment ref="A378" dT="2025-07-22T16:44:43.01" personId="{DB234529-1023-49CD-BEA0-D19247831640}" id="{09DA6E87-3422-4174-8A9B-77C798387A9A}">
    <text>2DO REINGRESO</text>
  </threadedComment>
  <threadedComment ref="A380" dT="2025-07-22T17:26:17.78" personId="{DB234529-1023-49CD-BEA0-D19247831640}" id="{2B2B6792-25AC-42B2-8B0C-66090759F3B1}">
    <text>2DO REINGRESO</text>
  </threadedComment>
  <threadedComment ref="A394" dT="2025-08-01T18:50:02.45" personId="{DB234529-1023-49CD-BEA0-D19247831640}" id="{2DF369A3-BBA8-4A96-B164-161CF861C624}">
    <text>RE INGRESO</text>
  </threadedComment>
  <threadedComment ref="A439" dT="2025-09-24T15:38:35.65" personId="{DB234529-1023-49CD-BEA0-D19247831640}" id="{CD2B134C-0AD4-49B0-81BA-DC8E212A4AEE}">
    <text xml:space="preserve">RE INGRESO
</text>
  </threadedComment>
  <threadedComment ref="A440" dT="2025-10-01T19:50:49.74" personId="{DB234529-1023-49CD-BEA0-D19247831640}" id="{9DBD5801-CF2D-44FD-B587-317D0BC2C54D}">
    <text>RE INGRESO</text>
  </threadedComment>
  <threadedComment ref="F442" dT="2026-02-05T20:47:08.66" personId="{ACF97A6C-FE2B-4107-B5B5-84D442016615}" id="{42D52B04-F956-42F5-817A-BE6CFED1DD6C}">
    <text xml:space="preserve">Se manda ALTA IMSS CON EL 09 </text>
  </threadedComment>
  <threadedComment ref="A470" dT="2025-11-19T20:14:00.67" personId="{DB234529-1023-49CD-BEA0-D19247831640}" id="{A803BAE0-A7D1-488F-B76B-62082DF5B6A3}">
    <text>Re ingreso</text>
  </threadedComment>
  <threadedComment ref="A522" dT="2026-03-27T18:35:02.70" personId="{ACF97A6C-FE2B-4107-B5B5-84D442016615}" id="{1830CE72-6B40-4CC2-AF21-D7BF8121732F}">
    <text>RE INGRESO</text>
  </threadedComment>
  <threadedComment ref="A543" dT="2026-05-05T16:16:06.41" personId="{ACF97A6C-FE2B-4107-B5B5-84D442016615}" id="{31398D48-B1E2-4363-A403-4184E360FEC5}">
    <text xml:space="preserve">RE INGRESO
</text>
  </threadedComment>
  <threadedComment ref="A564" dT="2026-06-29T17:06:44.64" personId="{ACF97A6C-FE2B-4107-B5B5-84D442016615}" id="{0F29364A-B516-4BA4-9312-38DE68CECBED}">
    <text>Re ingreso</text>
  </threadedComment>
  <threadedComment ref="A567" dT="2026-07-15T22:09:31.10" personId="{ACF97A6C-FE2B-4107-B5B5-84D442016615}" id="{02D65580-8BBB-4B72-A3D1-0C4EB95976A8}">
    <text xml:space="preserve">Re ingreso
</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mailto:griselda.torres@hotmail.com" TargetMode="External"/><Relationship Id="rId21" Type="http://schemas.openxmlformats.org/officeDocument/2006/relationships/hyperlink" Target="mailto:martineza65582@gmail.com" TargetMode="External"/><Relationship Id="rId42" Type="http://schemas.openxmlformats.org/officeDocument/2006/relationships/hyperlink" Target="mailto:chipolleonel@gmail.com" TargetMode="External"/><Relationship Id="rId63" Type="http://schemas.openxmlformats.org/officeDocument/2006/relationships/hyperlink" Target="mailto:trenzasnikes@gmail.com" TargetMode="External"/><Relationship Id="rId84" Type="http://schemas.openxmlformats.org/officeDocument/2006/relationships/hyperlink" Target="mailto:ricardoffls17@gmail.com" TargetMode="External"/><Relationship Id="rId138" Type="http://schemas.openxmlformats.org/officeDocument/2006/relationships/hyperlink" Target="mailto:matagamez2324@gmail.com" TargetMode="External"/><Relationship Id="rId159" Type="http://schemas.openxmlformats.org/officeDocument/2006/relationships/hyperlink" Target="mailto:alejandreoscar47@gmail.com" TargetMode="External"/><Relationship Id="rId170" Type="http://schemas.openxmlformats.org/officeDocument/2006/relationships/hyperlink" Target="mailto:pajaritoalexis138@gmail.com" TargetMode="External"/><Relationship Id="rId191" Type="http://schemas.openxmlformats.org/officeDocument/2006/relationships/hyperlink" Target="mailto:osarf75@gmail.com" TargetMode="External"/><Relationship Id="rId205" Type="http://schemas.openxmlformats.org/officeDocument/2006/relationships/hyperlink" Target="mailto:danielmarquez2338@gmail.com" TargetMode="External"/><Relationship Id="rId107" Type="http://schemas.openxmlformats.org/officeDocument/2006/relationships/hyperlink" Target="mailto:vasquez-usiel16@hotmail.com" TargetMode="External"/><Relationship Id="rId11" Type="http://schemas.openxmlformats.org/officeDocument/2006/relationships/hyperlink" Target="mailto:luisenrique-mn@hotmail.com" TargetMode="External"/><Relationship Id="rId32" Type="http://schemas.openxmlformats.org/officeDocument/2006/relationships/hyperlink" Target="mailto:alondramb00@gmail.com" TargetMode="External"/><Relationship Id="rId53" Type="http://schemas.openxmlformats.org/officeDocument/2006/relationships/hyperlink" Target="mailto:garciajairojosue477@gmail.com" TargetMode="External"/><Relationship Id="rId74" Type="http://schemas.openxmlformats.org/officeDocument/2006/relationships/hyperlink" Target="mailto:gerardojesusbeasjacobo@gmail.com" TargetMode="External"/><Relationship Id="rId128" Type="http://schemas.openxmlformats.org/officeDocument/2006/relationships/hyperlink" Target="mailto:vmhonorato@hotmail.com" TargetMode="External"/><Relationship Id="rId149" Type="http://schemas.openxmlformats.org/officeDocument/2006/relationships/hyperlink" Target="mailto:danielmartinez9517@gmail.com" TargetMode="External"/><Relationship Id="rId5" Type="http://schemas.openxmlformats.org/officeDocument/2006/relationships/hyperlink" Target="mailto:lupitacruzcruz879@gmail.com" TargetMode="External"/><Relationship Id="rId95" Type="http://schemas.openxmlformats.org/officeDocument/2006/relationships/hyperlink" Target="mailto:pesc020799@gmail.com" TargetMode="External"/><Relationship Id="rId160" Type="http://schemas.openxmlformats.org/officeDocument/2006/relationships/hyperlink" Target="mailto:antonioelieber@gmail.com" TargetMode="External"/><Relationship Id="rId181" Type="http://schemas.openxmlformats.org/officeDocument/2006/relationships/hyperlink" Target="mailto:eltoniayans123@gmail.com" TargetMode="External"/><Relationship Id="rId216" Type="http://schemas.openxmlformats.org/officeDocument/2006/relationships/vmlDrawing" Target="../drawings/vmlDrawing1.vml"/><Relationship Id="rId22" Type="http://schemas.openxmlformats.org/officeDocument/2006/relationships/hyperlink" Target="mailto:mb770702@gmail.com" TargetMode="External"/><Relationship Id="rId43" Type="http://schemas.openxmlformats.org/officeDocument/2006/relationships/hyperlink" Target="mailto:cedillojoseeduardo249@gmail.com" TargetMode="External"/><Relationship Id="rId64" Type="http://schemas.openxmlformats.org/officeDocument/2006/relationships/hyperlink" Target="mailto:miguelescalante897@hotmail.com" TargetMode="External"/><Relationship Id="rId118" Type="http://schemas.openxmlformats.org/officeDocument/2006/relationships/hyperlink" Target="mailto:diascovarrubiaslfernando@gmail.com" TargetMode="External"/><Relationship Id="rId139" Type="http://schemas.openxmlformats.org/officeDocument/2006/relationships/hyperlink" Target="mailto:diecruces@gmail.com" TargetMode="External"/><Relationship Id="rId85" Type="http://schemas.openxmlformats.org/officeDocument/2006/relationships/hyperlink" Target="mailto:uliseshilariog585@gmail.com" TargetMode="External"/><Relationship Id="rId150" Type="http://schemas.openxmlformats.org/officeDocument/2006/relationships/hyperlink" Target="mailto:sotoochoafrancisco27@gmail.com" TargetMode="External"/><Relationship Id="rId171" Type="http://schemas.openxmlformats.org/officeDocument/2006/relationships/hyperlink" Target="mailto:lopeztorresluis86@gmail.com" TargetMode="External"/><Relationship Id="rId192" Type="http://schemas.openxmlformats.org/officeDocument/2006/relationships/hyperlink" Target="mailto:guadalupegonher00@gmail.com" TargetMode="External"/><Relationship Id="rId206" Type="http://schemas.openxmlformats.org/officeDocument/2006/relationships/hyperlink" Target="mailto:cesar32rolli@gmail.com" TargetMode="External"/><Relationship Id="rId12" Type="http://schemas.openxmlformats.org/officeDocument/2006/relationships/hyperlink" Target="mailto:ramirezenrique03034@gmail.com" TargetMode="External"/><Relationship Id="rId33" Type="http://schemas.openxmlformats.org/officeDocument/2006/relationships/hyperlink" Target="mailto:enriquezgerman89@gmail.com" TargetMode="External"/><Relationship Id="rId108" Type="http://schemas.openxmlformats.org/officeDocument/2006/relationships/hyperlink" Target="mailto:tallerbhyp@gmail.com" TargetMode="External"/><Relationship Id="rId129" Type="http://schemas.openxmlformats.org/officeDocument/2006/relationships/hyperlink" Target="mailto:pierregio83@gmail.com" TargetMode="External"/><Relationship Id="rId54" Type="http://schemas.openxmlformats.org/officeDocument/2006/relationships/hyperlink" Target="mailto:luisgerardomtz23@gmail.com" TargetMode="External"/><Relationship Id="rId75" Type="http://schemas.openxmlformats.org/officeDocument/2006/relationships/hyperlink" Target="mailto:javierriveravazquez2014@gmail.com" TargetMode="External"/><Relationship Id="rId96" Type="http://schemas.openxmlformats.org/officeDocument/2006/relationships/hyperlink" Target="mailto:haroyolanda32@gmail.com" TargetMode="External"/><Relationship Id="rId140" Type="http://schemas.openxmlformats.org/officeDocument/2006/relationships/hyperlink" Target="mailto:ulisessalinas01@outlook.com" TargetMode="External"/><Relationship Id="rId161" Type="http://schemas.openxmlformats.org/officeDocument/2006/relationships/hyperlink" Target="mailto:moyamar99@gmail.com" TargetMode="External"/><Relationship Id="rId182" Type="http://schemas.openxmlformats.org/officeDocument/2006/relationships/hyperlink" Target="mailto:luisluis180@gmail.com" TargetMode="External"/><Relationship Id="rId217" Type="http://schemas.openxmlformats.org/officeDocument/2006/relationships/comments" Target="../comments1.xml"/><Relationship Id="rId6" Type="http://schemas.openxmlformats.org/officeDocument/2006/relationships/hyperlink" Target="mailto:yareht.86rodriguez@gmail.com" TargetMode="External"/><Relationship Id="rId23" Type="http://schemas.openxmlformats.org/officeDocument/2006/relationships/hyperlink" Target="mailto:brendalindachavezochoa@gmail.com" TargetMode="External"/><Relationship Id="rId119" Type="http://schemas.openxmlformats.org/officeDocument/2006/relationships/hyperlink" Target="mailto:analcojetsael@gmail.com" TargetMode="External"/><Relationship Id="rId44" Type="http://schemas.openxmlformats.org/officeDocument/2006/relationships/hyperlink" Target="mailto:alexisvargasestrada@hotmail.com" TargetMode="External"/><Relationship Id="rId65" Type="http://schemas.openxmlformats.org/officeDocument/2006/relationships/hyperlink" Target="mailto:angelikdelatorre@hotmail.com" TargetMode="External"/><Relationship Id="rId86" Type="http://schemas.openxmlformats.org/officeDocument/2006/relationships/hyperlink" Target="mailto:adriansantacruz81@gmail.com" TargetMode="External"/><Relationship Id="rId130" Type="http://schemas.openxmlformats.org/officeDocument/2006/relationships/hyperlink" Target="mailto:pedrokarina36@gmail.com" TargetMode="External"/><Relationship Id="rId151" Type="http://schemas.openxmlformats.org/officeDocument/2006/relationships/hyperlink" Target="mailto:roddriguezvelazquezfernandoalex@gmail.com" TargetMode="External"/><Relationship Id="rId172" Type="http://schemas.openxmlformats.org/officeDocument/2006/relationships/hyperlink" Target="mailto:gabymor2013@gmail.com" TargetMode="External"/><Relationship Id="rId193" Type="http://schemas.openxmlformats.org/officeDocument/2006/relationships/hyperlink" Target="mailto:sergiogarciagarcia75910@gmail.com" TargetMode="External"/><Relationship Id="rId207" Type="http://schemas.openxmlformats.org/officeDocument/2006/relationships/hyperlink" Target="mailto:dereckgonza4@gmail.com" TargetMode="External"/><Relationship Id="rId13" Type="http://schemas.openxmlformats.org/officeDocument/2006/relationships/hyperlink" Target="mailto:angel.magana089@gmail.com" TargetMode="External"/><Relationship Id="rId109" Type="http://schemas.openxmlformats.org/officeDocument/2006/relationships/hyperlink" Target="mailto:qalde777@gmail.com" TargetMode="External"/><Relationship Id="rId34" Type="http://schemas.openxmlformats.org/officeDocument/2006/relationships/hyperlink" Target="mailto:aarceo130@gmail.com" TargetMode="External"/><Relationship Id="rId55" Type="http://schemas.openxmlformats.org/officeDocument/2006/relationships/hyperlink" Target="mailto:luishumberto_96@outlook.com" TargetMode="External"/><Relationship Id="rId76" Type="http://schemas.openxmlformats.org/officeDocument/2006/relationships/hyperlink" Target="mailto:dajusa_761201@hotmail.com" TargetMode="External"/><Relationship Id="rId97" Type="http://schemas.openxmlformats.org/officeDocument/2006/relationships/hyperlink" Target="mailto:barajasmendozasamuelalejandro@gmail.com" TargetMode="External"/><Relationship Id="rId120" Type="http://schemas.openxmlformats.org/officeDocument/2006/relationships/hyperlink" Target="mailto:nikoantoniogallegos17@gmail.com" TargetMode="External"/><Relationship Id="rId141" Type="http://schemas.openxmlformats.org/officeDocument/2006/relationships/hyperlink" Target="mailto:jesussalinas2c@gmail.com" TargetMode="External"/><Relationship Id="rId7" Type="http://schemas.openxmlformats.org/officeDocument/2006/relationships/hyperlink" Target="mailto:tostadonahum@gmail.com" TargetMode="External"/><Relationship Id="rId162" Type="http://schemas.openxmlformats.org/officeDocument/2006/relationships/hyperlink" Target="mailto:uriel.alvarado985@gmail.com" TargetMode="External"/><Relationship Id="rId183" Type="http://schemas.openxmlformats.org/officeDocument/2006/relationships/hyperlink" Target="mailto:serg.lopez@hotmail.com" TargetMode="External"/><Relationship Id="rId218" Type="http://schemas.microsoft.com/office/2017/10/relationships/threadedComment" Target="../threadedComments/threadedComment1.xml"/><Relationship Id="rId24" Type="http://schemas.openxmlformats.org/officeDocument/2006/relationships/hyperlink" Target="mailto:sergiogonzalez8376@gmail.com" TargetMode="External"/><Relationship Id="rId45" Type="http://schemas.openxmlformats.org/officeDocument/2006/relationships/hyperlink" Target="mailto:ivangarcia070583@gmail.com" TargetMode="External"/><Relationship Id="rId66" Type="http://schemas.openxmlformats.org/officeDocument/2006/relationships/hyperlink" Target="mailto:jglz19927@gmail.com" TargetMode="External"/><Relationship Id="rId87" Type="http://schemas.openxmlformats.org/officeDocument/2006/relationships/hyperlink" Target="mailto:miguel123mora5678@gmail.com" TargetMode="External"/><Relationship Id="rId110" Type="http://schemas.openxmlformats.org/officeDocument/2006/relationships/hyperlink" Target="mailto:casneave10@gmail.com" TargetMode="External"/><Relationship Id="rId131" Type="http://schemas.openxmlformats.org/officeDocument/2006/relationships/hyperlink" Target="mailto:ruvalcababenito61@gmail.com" TargetMode="External"/><Relationship Id="rId152" Type="http://schemas.openxmlformats.org/officeDocument/2006/relationships/hyperlink" Target="mailto:rafaelmartinezroan734@gmail.com" TargetMode="External"/><Relationship Id="rId173" Type="http://schemas.openxmlformats.org/officeDocument/2006/relationships/hyperlink" Target="mailto:jaseluisalazar80@gmail.com" TargetMode="External"/><Relationship Id="rId194" Type="http://schemas.openxmlformats.org/officeDocument/2006/relationships/hyperlink" Target="mailto:gborrayo3@gmail.com" TargetMode="External"/><Relationship Id="rId208" Type="http://schemas.openxmlformats.org/officeDocument/2006/relationships/hyperlink" Target="mailto:ricoyahir41@gmail.com" TargetMode="External"/><Relationship Id="rId14" Type="http://schemas.openxmlformats.org/officeDocument/2006/relationships/hyperlink" Target="mailto:hec.os.andrade@gmail.com" TargetMode="External"/><Relationship Id="rId30" Type="http://schemas.openxmlformats.org/officeDocument/2006/relationships/hyperlink" Target="mailto:erickyahirpozosguillen14@gmail.com" TargetMode="External"/><Relationship Id="rId35" Type="http://schemas.openxmlformats.org/officeDocument/2006/relationships/hyperlink" Target="mailto:albertoph7814@gmail.com" TargetMode="External"/><Relationship Id="rId56" Type="http://schemas.openxmlformats.org/officeDocument/2006/relationships/hyperlink" Target="mailto:dc9779037@gmail.com" TargetMode="External"/><Relationship Id="rId77" Type="http://schemas.openxmlformats.org/officeDocument/2006/relationships/hyperlink" Target="mailto:jonathan_tello@icloud.com" TargetMode="External"/><Relationship Id="rId100" Type="http://schemas.openxmlformats.org/officeDocument/2006/relationships/hyperlink" Target="mailto:davidbanuelos122@gmail.com" TargetMode="External"/><Relationship Id="rId105" Type="http://schemas.openxmlformats.org/officeDocument/2006/relationships/hyperlink" Target="mailto:zustaitalermasandra@gmail.com" TargetMode="External"/><Relationship Id="rId126" Type="http://schemas.openxmlformats.org/officeDocument/2006/relationships/hyperlink" Target="mailto:yadiracorg@gmail.com" TargetMode="External"/><Relationship Id="rId147" Type="http://schemas.openxmlformats.org/officeDocument/2006/relationships/hyperlink" Target="mailto:bernardo.orta.lopez@gmail.com" TargetMode="External"/><Relationship Id="rId168" Type="http://schemas.openxmlformats.org/officeDocument/2006/relationships/hyperlink" Target="mailto:ruiztania82@gmail.com" TargetMode="External"/><Relationship Id="rId8" Type="http://schemas.openxmlformats.org/officeDocument/2006/relationships/hyperlink" Target="mailto:et5814403@gmail.com" TargetMode="External"/><Relationship Id="rId51" Type="http://schemas.openxmlformats.org/officeDocument/2006/relationships/hyperlink" Target="mailto:jfranciscohdz986@gmail.com" TargetMode="External"/><Relationship Id="rId72" Type="http://schemas.openxmlformats.org/officeDocument/2006/relationships/hyperlink" Target="mailto:misaelmedinabarron1@gmail.com" TargetMode="External"/><Relationship Id="rId93" Type="http://schemas.openxmlformats.org/officeDocument/2006/relationships/hyperlink" Target="mailto:aranzadamarim@gmail.com" TargetMode="External"/><Relationship Id="rId98" Type="http://schemas.openxmlformats.org/officeDocument/2006/relationships/hyperlink" Target="mailto:luisserratos25@gmail.com" TargetMode="External"/><Relationship Id="rId121" Type="http://schemas.openxmlformats.org/officeDocument/2006/relationships/hyperlink" Target="mailto:pauligpe20@gmail.com" TargetMode="External"/><Relationship Id="rId142" Type="http://schemas.openxmlformats.org/officeDocument/2006/relationships/hyperlink" Target="mailto:lfdlr5@hotmail.com" TargetMode="External"/><Relationship Id="rId163" Type="http://schemas.openxmlformats.org/officeDocument/2006/relationships/hyperlink" Target="mailto:gomezwendy86566@gmail.com" TargetMode="External"/><Relationship Id="rId184" Type="http://schemas.openxmlformats.org/officeDocument/2006/relationships/hyperlink" Target="mailto:rigoconde9881@gmail.com" TargetMode="External"/><Relationship Id="rId189" Type="http://schemas.openxmlformats.org/officeDocument/2006/relationships/hyperlink" Target="mailto:fanylo9191@gmail.com" TargetMode="External"/><Relationship Id="rId3" Type="http://schemas.openxmlformats.org/officeDocument/2006/relationships/hyperlink" Target="mailto:miguel123mora5678@gmail.com" TargetMode="External"/><Relationship Id="rId214" Type="http://schemas.openxmlformats.org/officeDocument/2006/relationships/hyperlink" Target="mailto:pp2608344@gmail.com" TargetMode="External"/><Relationship Id="rId25" Type="http://schemas.openxmlformats.org/officeDocument/2006/relationships/hyperlink" Target="mailto:zamarripagjorge@gmail.com" TargetMode="External"/><Relationship Id="rId46" Type="http://schemas.openxmlformats.org/officeDocument/2006/relationships/hyperlink" Target="mailto:raulortiz754@yahoo.com" TargetMode="External"/><Relationship Id="rId67" Type="http://schemas.openxmlformats.org/officeDocument/2006/relationships/hyperlink" Target="mailto:elinperezlunafran.55@gmail.com" TargetMode="External"/><Relationship Id="rId116" Type="http://schemas.openxmlformats.org/officeDocument/2006/relationships/hyperlink" Target="mailto:luisenriquefloressosa1@gmail.com" TargetMode="External"/><Relationship Id="rId137" Type="http://schemas.openxmlformats.org/officeDocument/2006/relationships/hyperlink" Target="mailto:miguelangelmedranosigala@gmail.com" TargetMode="External"/><Relationship Id="rId158" Type="http://schemas.openxmlformats.org/officeDocument/2006/relationships/hyperlink" Target="mailto:joelbarcena99@gmail.com" TargetMode="External"/><Relationship Id="rId20" Type="http://schemas.openxmlformats.org/officeDocument/2006/relationships/hyperlink" Target="mailto:dannytorres596@gmail.com" TargetMode="External"/><Relationship Id="rId41" Type="http://schemas.openxmlformats.org/officeDocument/2006/relationships/hyperlink" Target="mailto:jsgp1190@gmail.com" TargetMode="External"/><Relationship Id="rId62" Type="http://schemas.openxmlformats.org/officeDocument/2006/relationships/hyperlink" Target="mailto:ddgo14@hotmail.com" TargetMode="External"/><Relationship Id="rId83" Type="http://schemas.openxmlformats.org/officeDocument/2006/relationships/hyperlink" Target="mailto:jc0604111@gmail.com" TargetMode="External"/><Relationship Id="rId88" Type="http://schemas.openxmlformats.org/officeDocument/2006/relationships/hyperlink" Target="mailto:danielguillen2005@icloud.com" TargetMode="External"/><Relationship Id="rId111" Type="http://schemas.openxmlformats.org/officeDocument/2006/relationships/hyperlink" Target="mailto:matias.segutal@hotmail.com" TargetMode="External"/><Relationship Id="rId132" Type="http://schemas.openxmlformats.org/officeDocument/2006/relationships/hyperlink" Target="mailto:homsangel28@gmail.com" TargetMode="External"/><Relationship Id="rId153" Type="http://schemas.openxmlformats.org/officeDocument/2006/relationships/hyperlink" Target="mailto:mtzdomingosz1@gmail.com" TargetMode="External"/><Relationship Id="rId174" Type="http://schemas.openxmlformats.org/officeDocument/2006/relationships/hyperlink" Target="mailto:manuelvt36@gmail.com" TargetMode="External"/><Relationship Id="rId179" Type="http://schemas.openxmlformats.org/officeDocument/2006/relationships/hyperlink" Target="mailto:martintranquilo28@gmail.com" TargetMode="External"/><Relationship Id="rId195" Type="http://schemas.openxmlformats.org/officeDocument/2006/relationships/hyperlink" Target="mailto:josejuancampos39@gmail.com" TargetMode="External"/><Relationship Id="rId209" Type="http://schemas.openxmlformats.org/officeDocument/2006/relationships/hyperlink" Target="mailto:franciscoquinonez92@gmail.com" TargetMode="External"/><Relationship Id="rId190" Type="http://schemas.openxmlformats.org/officeDocument/2006/relationships/hyperlink" Target="mailto:meraryhdzz05@gmail.com" TargetMode="External"/><Relationship Id="rId204" Type="http://schemas.openxmlformats.org/officeDocument/2006/relationships/hyperlink" Target="mailto:alitzelcardenashdz@gmail.com" TargetMode="External"/><Relationship Id="rId15" Type="http://schemas.openxmlformats.org/officeDocument/2006/relationships/hyperlink" Target="mailto:sstefrain@gmail.com" TargetMode="External"/><Relationship Id="rId36" Type="http://schemas.openxmlformats.org/officeDocument/2006/relationships/hyperlink" Target="mailto:luissifuentes632@gmail.com" TargetMode="External"/><Relationship Id="rId57" Type="http://schemas.openxmlformats.org/officeDocument/2006/relationships/hyperlink" Target="mailto:juanurieltr@icloud.com" TargetMode="External"/><Relationship Id="rId106" Type="http://schemas.openxmlformats.org/officeDocument/2006/relationships/hyperlink" Target="mailto:jorgerdzprec@gmail.com" TargetMode="External"/><Relationship Id="rId127" Type="http://schemas.openxmlformats.org/officeDocument/2006/relationships/hyperlink" Target="mailto:obisporaymundo77@gmail.com" TargetMode="External"/><Relationship Id="rId10" Type="http://schemas.openxmlformats.org/officeDocument/2006/relationships/hyperlink" Target="mailto:tania.hurtava@gmail.com" TargetMode="External"/><Relationship Id="rId31" Type="http://schemas.openxmlformats.org/officeDocument/2006/relationships/hyperlink" Target="mailto:bryanq9@outlook.com" TargetMode="External"/><Relationship Id="rId52" Type="http://schemas.openxmlformats.org/officeDocument/2006/relationships/hyperlink" Target="mailto:lopezdavid952@gmail.com" TargetMode="External"/><Relationship Id="rId73" Type="http://schemas.openxmlformats.org/officeDocument/2006/relationships/hyperlink" Target="mailto:jonathanjesusj60@gmail.com" TargetMode="External"/><Relationship Id="rId78" Type="http://schemas.openxmlformats.org/officeDocument/2006/relationships/hyperlink" Target="mailto:director.dga@gmail.com" TargetMode="External"/><Relationship Id="rId94" Type="http://schemas.openxmlformats.org/officeDocument/2006/relationships/hyperlink" Target="mailto:misaelmelendez96@gmail.com" TargetMode="External"/><Relationship Id="rId99" Type="http://schemas.openxmlformats.org/officeDocument/2006/relationships/hyperlink" Target="mailto:padillabrandon2345@gmail.com" TargetMode="External"/><Relationship Id="rId101" Type="http://schemas.openxmlformats.org/officeDocument/2006/relationships/hyperlink" Target="mailto:carlosmiguel15991@gmail.com" TargetMode="External"/><Relationship Id="rId122" Type="http://schemas.openxmlformats.org/officeDocument/2006/relationships/hyperlink" Target="mailto:cj_canizales@hotmail.com" TargetMode="External"/><Relationship Id="rId143" Type="http://schemas.openxmlformats.org/officeDocument/2006/relationships/hyperlink" Target="mailto:loredoirving55@gmail.com" TargetMode="External"/><Relationship Id="rId148" Type="http://schemas.openxmlformats.org/officeDocument/2006/relationships/hyperlink" Target="mailto:javi.perezjimenez130899@gmail.com" TargetMode="External"/><Relationship Id="rId164" Type="http://schemas.openxmlformats.org/officeDocument/2006/relationships/hyperlink" Target="mailto:mar_valadez@hotmail.com" TargetMode="External"/><Relationship Id="rId169" Type="http://schemas.openxmlformats.org/officeDocument/2006/relationships/hyperlink" Target="mailto:asdvictor74@gmail.com" TargetMode="External"/><Relationship Id="rId185" Type="http://schemas.openxmlformats.org/officeDocument/2006/relationships/hyperlink" Target="mailto:keikolatino08@gmail.com" TargetMode="External"/><Relationship Id="rId4" Type="http://schemas.openxmlformats.org/officeDocument/2006/relationships/hyperlink" Target="mailto:erika202009@hotmail.com" TargetMode="External"/><Relationship Id="rId9" Type="http://schemas.openxmlformats.org/officeDocument/2006/relationships/hyperlink" Target="mailto:beatriz.campos.p@hotmail.com" TargetMode="External"/><Relationship Id="rId180" Type="http://schemas.openxmlformats.org/officeDocument/2006/relationships/hyperlink" Target="mailto:rosaperezluna361@hotmail.com" TargetMode="External"/><Relationship Id="rId210" Type="http://schemas.openxmlformats.org/officeDocument/2006/relationships/hyperlink" Target="mailto:jazielmontalvo83@gmail.com" TargetMode="External"/><Relationship Id="rId215" Type="http://schemas.openxmlformats.org/officeDocument/2006/relationships/printerSettings" Target="../printerSettings/printerSettings1.bin"/><Relationship Id="rId26" Type="http://schemas.openxmlformats.org/officeDocument/2006/relationships/hyperlink" Target="mailto:lg5379790@gmail.com" TargetMode="External"/><Relationship Id="rId47" Type="http://schemas.openxmlformats.org/officeDocument/2006/relationships/hyperlink" Target="mailto:martinarceo797@gmail.com" TargetMode="External"/><Relationship Id="rId68" Type="http://schemas.openxmlformats.org/officeDocument/2006/relationships/hyperlink" Target="mailto:yedid09.yh@gmail.com" TargetMode="External"/><Relationship Id="rId89" Type="http://schemas.openxmlformats.org/officeDocument/2006/relationships/hyperlink" Target="mailto:alan.g.caztro@hotmail.com" TargetMode="External"/><Relationship Id="rId112" Type="http://schemas.openxmlformats.org/officeDocument/2006/relationships/hyperlink" Target="mailto:daysi_qlezb@hotmail.com" TargetMode="External"/><Relationship Id="rId133" Type="http://schemas.openxmlformats.org/officeDocument/2006/relationships/hyperlink" Target="mailto:adairgalarza826@gmail.com" TargetMode="External"/><Relationship Id="rId154" Type="http://schemas.openxmlformats.org/officeDocument/2006/relationships/hyperlink" Target="mailto:lalojimenezpena@gmail.com" TargetMode="External"/><Relationship Id="rId175" Type="http://schemas.openxmlformats.org/officeDocument/2006/relationships/hyperlink" Target="mailto:adolfopechugon@gmail.com" TargetMode="External"/><Relationship Id="rId196" Type="http://schemas.openxmlformats.org/officeDocument/2006/relationships/hyperlink" Target="mailto:ingjoseortiz79@gmail.com" TargetMode="External"/><Relationship Id="rId200" Type="http://schemas.openxmlformats.org/officeDocument/2006/relationships/hyperlink" Target="mailto:samucuevas79@gmail.com" TargetMode="External"/><Relationship Id="rId16" Type="http://schemas.openxmlformats.org/officeDocument/2006/relationships/hyperlink" Target="mailto:toryserrano20@gmail.com" TargetMode="External"/><Relationship Id="rId37" Type="http://schemas.openxmlformats.org/officeDocument/2006/relationships/hyperlink" Target="mailto:sanchez.jsd80@gmail.com" TargetMode="External"/><Relationship Id="rId58" Type="http://schemas.openxmlformats.org/officeDocument/2006/relationships/hyperlink" Target="mailto:danielguillen2005@icloud.com" TargetMode="External"/><Relationship Id="rId79" Type="http://schemas.openxmlformats.org/officeDocument/2006/relationships/hyperlink" Target="mailto:eveliodulcecastillo@gmail.com" TargetMode="External"/><Relationship Id="rId102" Type="http://schemas.openxmlformats.org/officeDocument/2006/relationships/hyperlink" Target="mailto:prudenciovargsadiaz87@gmail.com" TargetMode="External"/><Relationship Id="rId123" Type="http://schemas.openxmlformats.org/officeDocument/2006/relationships/hyperlink" Target="mailto:dulcebeatrizrangelzamarripa04@gmail.com" TargetMode="External"/><Relationship Id="rId144" Type="http://schemas.openxmlformats.org/officeDocument/2006/relationships/hyperlink" Target="mailto:garciacortespedro762@gmail.com" TargetMode="External"/><Relationship Id="rId90" Type="http://schemas.openxmlformats.org/officeDocument/2006/relationships/hyperlink" Target="mailto:curtodistribucion@live.com.mx" TargetMode="External"/><Relationship Id="rId165" Type="http://schemas.openxmlformats.org/officeDocument/2006/relationships/hyperlink" Target="mailto:aguilarjacob430@gmail.com" TargetMode="External"/><Relationship Id="rId186" Type="http://schemas.openxmlformats.org/officeDocument/2006/relationships/hyperlink" Target="mailto:gabacho_81@hotmail.com" TargetMode="External"/><Relationship Id="rId211" Type="http://schemas.openxmlformats.org/officeDocument/2006/relationships/hyperlink" Target="mailto:karensalinas_9@hotmail.com" TargetMode="External"/><Relationship Id="rId27" Type="http://schemas.openxmlformats.org/officeDocument/2006/relationships/hyperlink" Target="mailto:michael.castillo.transporte@gmail.com" TargetMode="External"/><Relationship Id="rId48" Type="http://schemas.openxmlformats.org/officeDocument/2006/relationships/hyperlink" Target="mailto:freddylop922@gmail.com" TargetMode="External"/><Relationship Id="rId69" Type="http://schemas.openxmlformats.org/officeDocument/2006/relationships/hyperlink" Target="mailto:omaragundiz1@hotmail.com" TargetMode="External"/><Relationship Id="rId113" Type="http://schemas.openxmlformats.org/officeDocument/2006/relationships/hyperlink" Target="mailto:carloserosales29@icloud.com" TargetMode="External"/><Relationship Id="rId134" Type="http://schemas.openxmlformats.org/officeDocument/2006/relationships/hyperlink" Target="mailto:oscariv.padilla18@gmail.com" TargetMode="External"/><Relationship Id="rId80" Type="http://schemas.openxmlformats.org/officeDocument/2006/relationships/hyperlink" Target="mailto:santynavarro943@gmail.com" TargetMode="External"/><Relationship Id="rId155" Type="http://schemas.openxmlformats.org/officeDocument/2006/relationships/hyperlink" Target="mailto:enriqueeguiabriones@gmail.com" TargetMode="External"/><Relationship Id="rId176" Type="http://schemas.openxmlformats.org/officeDocument/2006/relationships/hyperlink" Target="mailto:omargonzaleza@live.com.mx" TargetMode="External"/><Relationship Id="rId197" Type="http://schemas.openxmlformats.org/officeDocument/2006/relationships/hyperlink" Target="mailto:maurordzg93@gmail.com" TargetMode="External"/><Relationship Id="rId201" Type="http://schemas.openxmlformats.org/officeDocument/2006/relationships/hyperlink" Target="mailto:martinezgarciajavierjonathan9@gmail.com" TargetMode="External"/><Relationship Id="rId17" Type="http://schemas.openxmlformats.org/officeDocument/2006/relationships/hyperlink" Target="mailto:yg4355524@gmail.com" TargetMode="External"/><Relationship Id="rId38" Type="http://schemas.openxmlformats.org/officeDocument/2006/relationships/hyperlink" Target="mailto:mikidimas1991@gmail.com" TargetMode="External"/><Relationship Id="rId59" Type="http://schemas.openxmlformats.org/officeDocument/2006/relationships/hyperlink" Target="mailto:lomeli.219k@gmail.com" TargetMode="External"/><Relationship Id="rId103" Type="http://schemas.openxmlformats.org/officeDocument/2006/relationships/hyperlink" Target="mailto:oscaralexandershdz@gmail.com" TargetMode="External"/><Relationship Id="rId124" Type="http://schemas.openxmlformats.org/officeDocument/2006/relationships/hyperlink" Target="mailto:angelicasolano1@gmail.com" TargetMode="External"/><Relationship Id="rId70" Type="http://schemas.openxmlformats.org/officeDocument/2006/relationships/hyperlink" Target="mailto:erickadrian913mv@gmail.com" TargetMode="External"/><Relationship Id="rId91" Type="http://schemas.openxmlformats.org/officeDocument/2006/relationships/hyperlink" Target="mailto:am207517@gmail.com" TargetMode="External"/><Relationship Id="rId145" Type="http://schemas.openxmlformats.org/officeDocument/2006/relationships/hyperlink" Target="mailto:reyezn042@gmail.com" TargetMode="External"/><Relationship Id="rId166" Type="http://schemas.openxmlformats.org/officeDocument/2006/relationships/hyperlink" Target="mailto:camus1790@gmail.com" TargetMode="External"/><Relationship Id="rId187" Type="http://schemas.openxmlformats.org/officeDocument/2006/relationships/hyperlink" Target="mailto:armandohuerta41604@gmail.com" TargetMode="External"/><Relationship Id="rId1" Type="http://schemas.openxmlformats.org/officeDocument/2006/relationships/hyperlink" Target="mailto:arianapuente373@gmail.com" TargetMode="External"/><Relationship Id="rId212" Type="http://schemas.openxmlformats.org/officeDocument/2006/relationships/hyperlink" Target="mailto:jaac132303@gmail.com" TargetMode="External"/><Relationship Id="rId28" Type="http://schemas.openxmlformats.org/officeDocument/2006/relationships/hyperlink" Target="mailto:rafaelgesparza8@gmail.com" TargetMode="External"/><Relationship Id="rId49" Type="http://schemas.openxmlformats.org/officeDocument/2006/relationships/hyperlink" Target="mailto:gl503993@gmail.com" TargetMode="External"/><Relationship Id="rId114" Type="http://schemas.openxmlformats.org/officeDocument/2006/relationships/hyperlink" Target="mailto:bdnnzn70@gmail.com" TargetMode="External"/><Relationship Id="rId60" Type="http://schemas.openxmlformats.org/officeDocument/2006/relationships/hyperlink" Target="mailto:rtavera631@gmail.com" TargetMode="External"/><Relationship Id="rId81" Type="http://schemas.openxmlformats.org/officeDocument/2006/relationships/hyperlink" Target="mailto:hectorfabiansalazar134@gmail.com" TargetMode="External"/><Relationship Id="rId135" Type="http://schemas.openxmlformats.org/officeDocument/2006/relationships/hyperlink" Target="mailto:esauxrd@gmail.com" TargetMode="External"/><Relationship Id="rId156" Type="http://schemas.openxmlformats.org/officeDocument/2006/relationships/hyperlink" Target="mailto:alankerimj@gmail.com" TargetMode="External"/><Relationship Id="rId177" Type="http://schemas.openxmlformats.org/officeDocument/2006/relationships/hyperlink" Target="mailto:Luisalfredorosas97@outlook.es" TargetMode="External"/><Relationship Id="rId198" Type="http://schemas.openxmlformats.org/officeDocument/2006/relationships/hyperlink" Target="mailto:balbuenatejeda0226@gmail.com" TargetMode="External"/><Relationship Id="rId202" Type="http://schemas.openxmlformats.org/officeDocument/2006/relationships/hyperlink" Target="mailto:denissecruz98667@gmail.com" TargetMode="External"/><Relationship Id="rId18" Type="http://schemas.openxmlformats.org/officeDocument/2006/relationships/hyperlink" Target="mailto:jessicayadira_01@msn.com" TargetMode="External"/><Relationship Id="rId39" Type="http://schemas.openxmlformats.org/officeDocument/2006/relationships/hyperlink" Target="mailto:juanjosepilaspalomera7@gmail.com" TargetMode="External"/><Relationship Id="rId50" Type="http://schemas.openxmlformats.org/officeDocument/2006/relationships/hyperlink" Target="mailto:hectorlokote708@gmail.com" TargetMode="External"/><Relationship Id="rId104" Type="http://schemas.openxmlformats.org/officeDocument/2006/relationships/hyperlink" Target="mailto:turboflorez76@gmail.com" TargetMode="External"/><Relationship Id="rId125" Type="http://schemas.openxmlformats.org/officeDocument/2006/relationships/hyperlink" Target="mailto:victorisraelhernandezcastillo9@gmail.com" TargetMode="External"/><Relationship Id="rId146" Type="http://schemas.openxmlformats.org/officeDocument/2006/relationships/hyperlink" Target="mailto:a130681lg@gmail.com" TargetMode="External"/><Relationship Id="rId167" Type="http://schemas.openxmlformats.org/officeDocument/2006/relationships/hyperlink" Target="mailto:berrendo3@gmail.com" TargetMode="External"/><Relationship Id="rId188" Type="http://schemas.openxmlformats.org/officeDocument/2006/relationships/hyperlink" Target="mailto:juanantoniorojas19967@gmail.com" TargetMode="External"/><Relationship Id="rId71" Type="http://schemas.openxmlformats.org/officeDocument/2006/relationships/hyperlink" Target="mailto:montoyaaaron@gmail.com" TargetMode="External"/><Relationship Id="rId92" Type="http://schemas.openxmlformats.org/officeDocument/2006/relationships/hyperlink" Target="mailto:alejandro.martinez5h@gmail.com" TargetMode="External"/><Relationship Id="rId213" Type="http://schemas.openxmlformats.org/officeDocument/2006/relationships/hyperlink" Target="mailto:manuel22pastrana96@gmail.com" TargetMode="External"/><Relationship Id="rId2" Type="http://schemas.openxmlformats.org/officeDocument/2006/relationships/hyperlink" Target="mailto:jorge.alesanc@gmail.com" TargetMode="External"/><Relationship Id="rId29" Type="http://schemas.openxmlformats.org/officeDocument/2006/relationships/hyperlink" Target="mailto:rafa242019@gmail.com" TargetMode="External"/><Relationship Id="rId40" Type="http://schemas.openxmlformats.org/officeDocument/2006/relationships/hyperlink" Target="mailto:josemanuelcolmenares647@gmail.com" TargetMode="External"/><Relationship Id="rId115" Type="http://schemas.openxmlformats.org/officeDocument/2006/relationships/hyperlink" Target="mailto:carlos23marzopop@gmail.com" TargetMode="External"/><Relationship Id="rId136" Type="http://schemas.openxmlformats.org/officeDocument/2006/relationships/hyperlink" Target="mailto:moisescoronel.esc77@gmail.com" TargetMode="External"/><Relationship Id="rId157" Type="http://schemas.openxmlformats.org/officeDocument/2006/relationships/hyperlink" Target="mailto:garciajairojosue477@gmail.com%20" TargetMode="External"/><Relationship Id="rId178" Type="http://schemas.openxmlformats.org/officeDocument/2006/relationships/hyperlink" Target="mailto:claudioleal16@outlook.com" TargetMode="External"/><Relationship Id="rId61" Type="http://schemas.openxmlformats.org/officeDocument/2006/relationships/hyperlink" Target="mailto:fer.ub1998@outlook.es" TargetMode="External"/><Relationship Id="rId82" Type="http://schemas.openxmlformats.org/officeDocument/2006/relationships/hyperlink" Target="mailto:fernandezvalerio1807@gmail.com" TargetMode="External"/><Relationship Id="rId199" Type="http://schemas.openxmlformats.org/officeDocument/2006/relationships/hyperlink" Target="mailto:misa_dize@hotmail.com" TargetMode="External"/><Relationship Id="rId203" Type="http://schemas.openxmlformats.org/officeDocument/2006/relationships/hyperlink" Target="mailto:mariotovar737@gmail.com" TargetMode="External"/><Relationship Id="rId19" Type="http://schemas.openxmlformats.org/officeDocument/2006/relationships/hyperlink" Target="mailto:ricardoezequielvillalobos35@gmail.com"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mailto:isaiaslopez6144@gmail.com" TargetMode="External"/><Relationship Id="rId21" Type="http://schemas.openxmlformats.org/officeDocument/2006/relationships/hyperlink" Target="mailto:alexorozco96@icloud.com" TargetMode="External"/><Relationship Id="rId42" Type="http://schemas.openxmlformats.org/officeDocument/2006/relationships/hyperlink" Target="mailto:jgonzalezmargarito59@gmail.com" TargetMode="External"/><Relationship Id="rId47" Type="http://schemas.openxmlformats.org/officeDocument/2006/relationships/hyperlink" Target="mailto:sdealba25@gmail.com" TargetMode="External"/><Relationship Id="rId63" Type="http://schemas.openxmlformats.org/officeDocument/2006/relationships/hyperlink" Target="mailto:alfredo.07.07.hdz@gmail.com" TargetMode="External"/><Relationship Id="rId68" Type="http://schemas.openxmlformats.org/officeDocument/2006/relationships/hyperlink" Target="mailto:blank_balderas@hotmail.es" TargetMode="External"/><Relationship Id="rId7" Type="http://schemas.openxmlformats.org/officeDocument/2006/relationships/hyperlink" Target="mailto:juan.vasquez.ar18@gmail.com" TargetMode="External"/><Relationship Id="rId71" Type="http://schemas.openxmlformats.org/officeDocument/2006/relationships/hyperlink" Target="mailto:josevillanueva16c@gmail.com" TargetMode="External"/><Relationship Id="rId2" Type="http://schemas.openxmlformats.org/officeDocument/2006/relationships/hyperlink" Target="mailto:tapis19931febrero@gmail.com" TargetMode="External"/><Relationship Id="rId16" Type="http://schemas.openxmlformats.org/officeDocument/2006/relationships/hyperlink" Target="mailto:j2536369@gmail.com" TargetMode="External"/><Relationship Id="rId29" Type="http://schemas.openxmlformats.org/officeDocument/2006/relationships/hyperlink" Target="mailto:bogascastillo4@gmail.com" TargetMode="External"/><Relationship Id="rId11" Type="http://schemas.openxmlformats.org/officeDocument/2006/relationships/hyperlink" Target="mailto:gabytuzo776@gmail.com" TargetMode="External"/><Relationship Id="rId24" Type="http://schemas.openxmlformats.org/officeDocument/2006/relationships/hyperlink" Target="mailto:daniel_741012@outlook.com" TargetMode="External"/><Relationship Id="rId32" Type="http://schemas.openxmlformats.org/officeDocument/2006/relationships/hyperlink" Target="mailto:pedroak463@gmail.com" TargetMode="External"/><Relationship Id="rId37" Type="http://schemas.openxmlformats.org/officeDocument/2006/relationships/hyperlink" Target="mailto:jesusalbertomontoya@hotmail.com" TargetMode="External"/><Relationship Id="rId40" Type="http://schemas.openxmlformats.org/officeDocument/2006/relationships/hyperlink" Target="mailto:seyelchakaperez@gmail.com" TargetMode="External"/><Relationship Id="rId45" Type="http://schemas.openxmlformats.org/officeDocument/2006/relationships/hyperlink" Target="mailto:tonnydiaz2586@gmail.com" TargetMode="External"/><Relationship Id="rId53" Type="http://schemas.openxmlformats.org/officeDocument/2006/relationships/hyperlink" Target="mailto:ortixalberto378@gmail.com" TargetMode="External"/><Relationship Id="rId58" Type="http://schemas.openxmlformats.org/officeDocument/2006/relationships/hyperlink" Target="mailto:ana_23_y@hotmail.com" TargetMode="External"/><Relationship Id="rId66" Type="http://schemas.openxmlformats.org/officeDocument/2006/relationships/hyperlink" Target="mailto:liamnayeli0813@gmail.com" TargetMode="External"/><Relationship Id="rId5" Type="http://schemas.openxmlformats.org/officeDocument/2006/relationships/hyperlink" Target="mailto:ricardotrevino981@gmail.com" TargetMode="External"/><Relationship Id="rId61" Type="http://schemas.openxmlformats.org/officeDocument/2006/relationships/hyperlink" Target="mailto:ldaalma_obregon@hotmail.com" TargetMode="External"/><Relationship Id="rId19" Type="http://schemas.openxmlformats.org/officeDocument/2006/relationships/hyperlink" Target="mailto:alvarinhernandez@gmail.com" TargetMode="External"/><Relationship Id="rId14" Type="http://schemas.openxmlformats.org/officeDocument/2006/relationships/hyperlink" Target="mailto:tebanrobles68@gmail.com" TargetMode="External"/><Relationship Id="rId22" Type="http://schemas.openxmlformats.org/officeDocument/2006/relationships/hyperlink" Target="mailto:zmookercx@gmail.com" TargetMode="External"/><Relationship Id="rId27" Type="http://schemas.openxmlformats.org/officeDocument/2006/relationships/hyperlink" Target="mailto:ec319925@gmail.com" TargetMode="External"/><Relationship Id="rId30" Type="http://schemas.openxmlformats.org/officeDocument/2006/relationships/hyperlink" Target="mailto:alexanderrivera0325@gmail.com" TargetMode="External"/><Relationship Id="rId35" Type="http://schemas.openxmlformats.org/officeDocument/2006/relationships/hyperlink" Target="mailto:gusherrera1590@gmail.com" TargetMode="External"/><Relationship Id="rId43" Type="http://schemas.openxmlformats.org/officeDocument/2006/relationships/hyperlink" Target="mailto:azielmd27@outlook.com" TargetMode="External"/><Relationship Id="rId48" Type="http://schemas.openxmlformats.org/officeDocument/2006/relationships/hyperlink" Target="mailto:monse.limon43@gmail.com" TargetMode="External"/><Relationship Id="rId56" Type="http://schemas.openxmlformats.org/officeDocument/2006/relationships/hyperlink" Target="mailto:abhzgz@gmail.com" TargetMode="External"/><Relationship Id="rId64" Type="http://schemas.openxmlformats.org/officeDocument/2006/relationships/hyperlink" Target="mailto:sdokponce24@gmail.com" TargetMode="External"/><Relationship Id="rId69" Type="http://schemas.openxmlformats.org/officeDocument/2006/relationships/hyperlink" Target="mailto:alvfloca90@gmail.com" TargetMode="External"/><Relationship Id="rId8" Type="http://schemas.openxmlformats.org/officeDocument/2006/relationships/hyperlink" Target="mailto:gonzalezplascencia1312@gmail.com" TargetMode="External"/><Relationship Id="rId51" Type="http://schemas.openxmlformats.org/officeDocument/2006/relationships/hyperlink" Target="mailto:reydavidLopez378@gmail.com" TargetMode="External"/><Relationship Id="rId72" Type="http://schemas.openxmlformats.org/officeDocument/2006/relationships/hyperlink" Target="mailto:jazielchavezmarquez@gmail.com" TargetMode="External"/><Relationship Id="rId3" Type="http://schemas.openxmlformats.org/officeDocument/2006/relationships/hyperlink" Target="mailto:andresgpe65@gmail.com" TargetMode="External"/><Relationship Id="rId12" Type="http://schemas.openxmlformats.org/officeDocument/2006/relationships/hyperlink" Target="mailto:jhoan.cardenas23@gmail.com" TargetMode="External"/><Relationship Id="rId17" Type="http://schemas.openxmlformats.org/officeDocument/2006/relationships/hyperlink" Target="mailto:ar1117053@gmail.com" TargetMode="External"/><Relationship Id="rId25" Type="http://schemas.openxmlformats.org/officeDocument/2006/relationships/hyperlink" Target="mailto:marcoantonioovallelimon@gmail.com" TargetMode="External"/><Relationship Id="rId33" Type="http://schemas.openxmlformats.org/officeDocument/2006/relationships/hyperlink" Target="mailto:hgalonegocios@gmail.com" TargetMode="External"/><Relationship Id="rId38" Type="http://schemas.openxmlformats.org/officeDocument/2006/relationships/hyperlink" Target="mailto:josetrinidadascencio31@gmail.com" TargetMode="External"/><Relationship Id="rId46" Type="http://schemas.openxmlformats.org/officeDocument/2006/relationships/hyperlink" Target="mailto:josueescalante0510@gmail.com" TargetMode="External"/><Relationship Id="rId59" Type="http://schemas.openxmlformats.org/officeDocument/2006/relationships/hyperlink" Target="mailto:badrr8800@gmail.com" TargetMode="External"/><Relationship Id="rId67" Type="http://schemas.openxmlformats.org/officeDocument/2006/relationships/hyperlink" Target="mailto:castilloray395@gmail.com" TargetMode="External"/><Relationship Id="rId20" Type="http://schemas.openxmlformats.org/officeDocument/2006/relationships/hyperlink" Target="mailto:trinogallegos@hotmail.com" TargetMode="External"/><Relationship Id="rId41" Type="http://schemas.openxmlformats.org/officeDocument/2006/relationships/hyperlink" Target="mailto:razohinojosabrandonjeremi@gmail.com" TargetMode="External"/><Relationship Id="rId54" Type="http://schemas.openxmlformats.org/officeDocument/2006/relationships/hyperlink" Target="mailto:charlie0732@hotmail.com" TargetMode="External"/><Relationship Id="rId62" Type="http://schemas.openxmlformats.org/officeDocument/2006/relationships/hyperlink" Target="mailto:urielver&#225;stegui12@gmail.com" TargetMode="External"/><Relationship Id="rId70" Type="http://schemas.openxmlformats.org/officeDocument/2006/relationships/hyperlink" Target="mailto:hdoors12@gmail.com" TargetMode="External"/><Relationship Id="rId1" Type="http://schemas.openxmlformats.org/officeDocument/2006/relationships/hyperlink" Target="mailto:varelafloresjuancarlos247@gmail.com" TargetMode="External"/><Relationship Id="rId6" Type="http://schemas.openxmlformats.org/officeDocument/2006/relationships/hyperlink" Target="mailto:jesusfer2321@gmail.com" TargetMode="External"/><Relationship Id="rId15" Type="http://schemas.openxmlformats.org/officeDocument/2006/relationships/hyperlink" Target="mailto:edgar.lopezreyes82@outlook.com" TargetMode="External"/><Relationship Id="rId23" Type="http://schemas.openxmlformats.org/officeDocument/2006/relationships/hyperlink" Target="mailto:armando.barriga1@icloud.com" TargetMode="External"/><Relationship Id="rId28" Type="http://schemas.openxmlformats.org/officeDocument/2006/relationships/hyperlink" Target="mailto:jc.vargas72@outlook.com" TargetMode="External"/><Relationship Id="rId36" Type="http://schemas.openxmlformats.org/officeDocument/2006/relationships/hyperlink" Target="mailto:ji456324h@gmail.com" TargetMode="External"/><Relationship Id="rId49" Type="http://schemas.openxmlformats.org/officeDocument/2006/relationships/hyperlink" Target="mailto:hernandezcarlos0798@gmail.com" TargetMode="External"/><Relationship Id="rId57" Type="http://schemas.openxmlformats.org/officeDocument/2006/relationships/hyperlink" Target="mailto:pg125063@gmail.com" TargetMode="External"/><Relationship Id="rId10" Type="http://schemas.openxmlformats.org/officeDocument/2006/relationships/hyperlink" Target="mailto:martineza65582@gmmail.com" TargetMode="External"/><Relationship Id="rId31" Type="http://schemas.openxmlformats.org/officeDocument/2006/relationships/hyperlink" Target="mailto:gaytanjesus788@gmail.com" TargetMode="External"/><Relationship Id="rId44" Type="http://schemas.openxmlformats.org/officeDocument/2006/relationships/hyperlink" Target="mailto:vegapreciadojuancarlos@gmail.com" TargetMode="External"/><Relationship Id="rId52" Type="http://schemas.openxmlformats.org/officeDocument/2006/relationships/hyperlink" Target="mailto:pv641825@gmail.com" TargetMode="External"/><Relationship Id="rId60" Type="http://schemas.openxmlformats.org/officeDocument/2006/relationships/hyperlink" Target="mailto:berenice_cb@yahoo.es" TargetMode="External"/><Relationship Id="rId65" Type="http://schemas.openxmlformats.org/officeDocument/2006/relationships/hyperlink" Target="mailto:chicoche8916@gmail.com" TargetMode="External"/><Relationship Id="rId4" Type="http://schemas.openxmlformats.org/officeDocument/2006/relationships/hyperlink" Target="mailto:joaquincabral344@gmail.com" TargetMode="External"/><Relationship Id="rId9" Type="http://schemas.openxmlformats.org/officeDocument/2006/relationships/hyperlink" Target="mailto:sofiaortegamora030509@gmail.com" TargetMode="External"/><Relationship Id="rId13" Type="http://schemas.openxmlformats.org/officeDocument/2006/relationships/hyperlink" Target="mailto:redalvisu@gmail.com" TargetMode="External"/><Relationship Id="rId18" Type="http://schemas.openxmlformats.org/officeDocument/2006/relationships/hyperlink" Target="mailto:azaras.vz@gmail.com" TargetMode="External"/><Relationship Id="rId39" Type="http://schemas.openxmlformats.org/officeDocument/2006/relationships/hyperlink" Target="mailto:mexicocf370@gmail.com" TargetMode="External"/><Relationship Id="rId34" Type="http://schemas.openxmlformats.org/officeDocument/2006/relationships/hyperlink" Target="mailto:josequezadachavez23@gmail.com" TargetMode="External"/><Relationship Id="rId50" Type="http://schemas.openxmlformats.org/officeDocument/2006/relationships/hyperlink" Target="mailto:lalofs706@gmail.com" TargetMode="External"/><Relationship Id="rId55" Type="http://schemas.openxmlformats.org/officeDocument/2006/relationships/hyperlink" Target="mailto:fexfer@hot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C8003-EF78-476D-BE27-C76933CF565B}">
  <sheetPr codeName="Hoja1"/>
  <dimension ref="A1:CE602"/>
  <sheetViews>
    <sheetView tabSelected="1" topLeftCell="AH1" zoomScaleNormal="100" workbookViewId="0">
      <pane ySplit="1" topLeftCell="A2" activePane="bottomLeft" state="frozen"/>
      <selection pane="bottomLeft" activeCell="BT18" sqref="BT18"/>
    </sheetView>
  </sheetViews>
  <sheetFormatPr baseColWidth="10" defaultColWidth="11.5703125" defaultRowHeight="12.75" x14ac:dyDescent="0.2"/>
  <cols>
    <col min="1" max="1" width="19.7109375" style="15" bestFit="1" customWidth="1"/>
    <col min="2" max="2" width="12.5703125" style="16" customWidth="1"/>
    <col min="3" max="3" width="46.42578125" style="15" customWidth="1"/>
    <col min="4" max="4" width="14.7109375" style="16" customWidth="1"/>
    <col min="5" max="5" width="13" style="16" customWidth="1"/>
    <col min="6" max="6" width="17.42578125" style="15" customWidth="1"/>
    <col min="7" max="7" width="20" style="15" hidden="1" customWidth="1"/>
    <col min="8" max="8" width="30" style="15" hidden="1" customWidth="1"/>
    <col min="9" max="9" width="19.28515625" style="15" hidden="1" customWidth="1"/>
    <col min="10" max="10" width="13.140625" style="16" hidden="1" customWidth="1"/>
    <col min="11" max="11" width="13.7109375" style="16" hidden="1" customWidth="1"/>
    <col min="12" max="12" width="23.28515625" style="16" hidden="1" customWidth="1"/>
    <col min="13" max="13" width="39.7109375" style="18" bestFit="1" customWidth="1"/>
    <col min="14" max="14" width="22.42578125" style="18" customWidth="1"/>
    <col min="15" max="15" width="15.7109375" style="18" customWidth="1"/>
    <col min="16" max="20" width="11.5703125" style="16" customWidth="1"/>
    <col min="21" max="21" width="12.42578125" style="16" customWidth="1"/>
    <col min="22" max="22" width="11.5703125" style="18" customWidth="1"/>
    <col min="23" max="23" width="110.85546875" style="18" customWidth="1"/>
    <col min="24" max="24" width="30.28515625" style="16" customWidth="1"/>
    <col min="25" max="25" width="43.85546875" style="16" customWidth="1"/>
    <col min="26" max="26" width="15.140625" style="16" customWidth="1"/>
    <col min="27" max="27" width="16.7109375" style="15" customWidth="1"/>
    <col min="28" max="28" width="22.5703125" style="16" customWidth="1"/>
    <col min="29" max="29" width="14.5703125" style="15" customWidth="1"/>
    <col min="30" max="30" width="18" style="15" customWidth="1"/>
    <col min="31" max="31" width="21" style="15" customWidth="1"/>
    <col min="32" max="32" width="38.7109375" style="18" customWidth="1"/>
    <col min="33" max="33" width="24.85546875" style="16" customWidth="1"/>
    <col min="34" max="34" width="99.7109375" style="15" customWidth="1"/>
    <col min="35" max="35" width="19" style="15" customWidth="1"/>
    <col min="36" max="36" width="13.7109375" style="15" customWidth="1"/>
    <col min="37" max="37" width="34.28515625" style="15" customWidth="1"/>
    <col min="38" max="38" width="41.140625" style="15" customWidth="1"/>
    <col min="39" max="39" width="40.7109375" style="15" customWidth="1"/>
    <col min="40" max="40" width="17.7109375" style="15" customWidth="1"/>
    <col min="41" max="41" width="17" style="15" customWidth="1"/>
    <col min="42" max="42" width="11.5703125" style="15" customWidth="1"/>
    <col min="43" max="43" width="61.7109375" style="15" customWidth="1"/>
    <col min="44" max="45" width="11.5703125" style="16" customWidth="1"/>
    <col min="46" max="46" width="27.28515625" style="15" customWidth="1"/>
    <col min="47" max="47" width="21.28515625" style="15" customWidth="1"/>
    <col min="48" max="48" width="11.5703125" style="16" customWidth="1"/>
    <col min="49" max="49" width="14.85546875" style="16" customWidth="1"/>
    <col min="50" max="50" width="16.42578125" style="15" customWidth="1"/>
    <col min="51" max="51" width="11.5703125" style="15" customWidth="1"/>
    <col min="52" max="52" width="30.7109375" style="15" customWidth="1"/>
    <col min="53" max="53" width="14.85546875" style="15" customWidth="1"/>
    <col min="54" max="54" width="11.5703125" style="76" customWidth="1"/>
    <col min="55" max="55" width="11.5703125" style="15" customWidth="1"/>
    <col min="56" max="56" width="46.140625" style="15" customWidth="1"/>
    <col min="57" max="57" width="15.7109375" style="15" customWidth="1"/>
    <col min="58" max="58" width="14.7109375" style="15" customWidth="1"/>
    <col min="59" max="59" width="11.5703125" style="16" customWidth="1"/>
    <col min="60" max="60" width="13.5703125" style="15" customWidth="1"/>
    <col min="61" max="61" width="11.5703125" style="15" customWidth="1"/>
    <col min="62" max="62" width="50.42578125" style="15" customWidth="1"/>
    <col min="63" max="81" width="11.5703125" style="15" customWidth="1"/>
    <col min="82" max="82" width="27.28515625" style="15" bestFit="1" customWidth="1"/>
    <col min="83" max="16384" width="11.5703125" style="15"/>
  </cols>
  <sheetData>
    <row r="1" spans="1:82" s="90" customFormat="1" ht="78" customHeight="1" x14ac:dyDescent="0.2">
      <c r="A1" s="81" t="s">
        <v>70</v>
      </c>
      <c r="B1" s="81" t="s">
        <v>3963</v>
      </c>
      <c r="C1" s="81" t="s">
        <v>69</v>
      </c>
      <c r="D1" s="81" t="s">
        <v>0</v>
      </c>
      <c r="E1" s="81" t="s">
        <v>1</v>
      </c>
      <c r="F1" s="81" t="s">
        <v>289</v>
      </c>
      <c r="G1" s="81" t="s">
        <v>4</v>
      </c>
      <c r="H1" s="81" t="s">
        <v>3</v>
      </c>
      <c r="I1" s="81" t="s">
        <v>5</v>
      </c>
      <c r="J1" s="82" t="s">
        <v>6</v>
      </c>
      <c r="K1" s="82" t="s">
        <v>7</v>
      </c>
      <c r="L1" s="82" t="s">
        <v>8</v>
      </c>
      <c r="M1" s="81" t="s">
        <v>71</v>
      </c>
      <c r="N1" s="81" t="s">
        <v>9</v>
      </c>
      <c r="O1" s="81" t="s">
        <v>10</v>
      </c>
      <c r="P1" s="81" t="s">
        <v>11</v>
      </c>
      <c r="Q1" s="81" t="s">
        <v>12</v>
      </c>
      <c r="R1" s="82" t="s">
        <v>13</v>
      </c>
      <c r="S1" s="82" t="s">
        <v>14</v>
      </c>
      <c r="T1" s="82" t="s">
        <v>15</v>
      </c>
      <c r="U1" s="83" t="s">
        <v>16</v>
      </c>
      <c r="V1" s="96" t="s">
        <v>17</v>
      </c>
      <c r="W1" s="82" t="s">
        <v>18</v>
      </c>
      <c r="X1" s="82" t="s">
        <v>19</v>
      </c>
      <c r="Y1" s="81" t="s">
        <v>20</v>
      </c>
      <c r="Z1" s="84" t="s">
        <v>21</v>
      </c>
      <c r="AA1" s="81" t="s">
        <v>22</v>
      </c>
      <c r="AB1" s="81" t="s">
        <v>23</v>
      </c>
      <c r="AC1" s="82" t="s">
        <v>26</v>
      </c>
      <c r="AD1" s="82" t="s">
        <v>27</v>
      </c>
      <c r="AE1" s="82" t="s">
        <v>28</v>
      </c>
      <c r="AF1" s="82" t="s">
        <v>29</v>
      </c>
      <c r="AG1" s="82" t="s">
        <v>30</v>
      </c>
      <c r="AH1" s="82" t="s">
        <v>31</v>
      </c>
      <c r="AI1" s="82" t="s">
        <v>32</v>
      </c>
      <c r="AJ1" s="82" t="s">
        <v>33</v>
      </c>
      <c r="AK1" s="82" t="s">
        <v>37</v>
      </c>
      <c r="AL1" s="82" t="s">
        <v>38</v>
      </c>
      <c r="AM1" s="82" t="s">
        <v>39</v>
      </c>
      <c r="AN1" s="82" t="s">
        <v>40</v>
      </c>
      <c r="AO1" s="82" t="s">
        <v>42</v>
      </c>
      <c r="AP1" s="82" t="s">
        <v>2632</v>
      </c>
      <c r="AQ1" s="85" t="s">
        <v>43</v>
      </c>
      <c r="AR1" s="85" t="s">
        <v>44</v>
      </c>
      <c r="AS1" s="85" t="s">
        <v>45</v>
      </c>
      <c r="AT1" s="85" t="s">
        <v>46</v>
      </c>
      <c r="AU1" s="85" t="s">
        <v>47</v>
      </c>
      <c r="AV1" s="85" t="s">
        <v>48</v>
      </c>
      <c r="AW1" s="86" t="s">
        <v>49</v>
      </c>
      <c r="AX1" s="86" t="s">
        <v>50</v>
      </c>
      <c r="AY1" s="86" t="s">
        <v>65</v>
      </c>
      <c r="AZ1" s="87" t="s">
        <v>66</v>
      </c>
      <c r="BA1" s="87" t="s">
        <v>51</v>
      </c>
      <c r="BB1" s="87" t="s">
        <v>52</v>
      </c>
      <c r="BC1" s="87" t="s">
        <v>23</v>
      </c>
      <c r="BD1" s="82" t="s">
        <v>59</v>
      </c>
      <c r="BE1" s="82" t="s">
        <v>40</v>
      </c>
      <c r="BF1" s="82" t="s">
        <v>2634</v>
      </c>
      <c r="BG1" s="82" t="s">
        <v>61</v>
      </c>
      <c r="BH1" s="82" t="s">
        <v>62</v>
      </c>
      <c r="BI1" s="82" t="s">
        <v>2633</v>
      </c>
      <c r="BJ1" s="88" t="s">
        <v>12</v>
      </c>
      <c r="BK1" s="88" t="s">
        <v>11</v>
      </c>
      <c r="BL1" s="88" t="s">
        <v>16</v>
      </c>
      <c r="BM1" s="89" t="s">
        <v>12</v>
      </c>
      <c r="BN1" s="89" t="s">
        <v>11</v>
      </c>
      <c r="BO1" s="89" t="s">
        <v>16</v>
      </c>
      <c r="BP1" s="88" t="s">
        <v>12</v>
      </c>
      <c r="BQ1" s="88" t="s">
        <v>11</v>
      </c>
      <c r="BR1" s="88" t="s">
        <v>16</v>
      </c>
      <c r="BS1" s="88" t="s">
        <v>12</v>
      </c>
      <c r="BT1" s="89" t="s">
        <v>11</v>
      </c>
      <c r="BU1" s="89" t="s">
        <v>16</v>
      </c>
      <c r="BV1" s="89" t="s">
        <v>12</v>
      </c>
      <c r="BW1" s="88" t="s">
        <v>11</v>
      </c>
      <c r="BX1" s="88" t="s">
        <v>16</v>
      </c>
      <c r="BY1" s="88" t="s">
        <v>12</v>
      </c>
      <c r="BZ1" s="88" t="s">
        <v>11</v>
      </c>
      <c r="CA1" s="88" t="s">
        <v>16</v>
      </c>
      <c r="CB1" s="81" t="s">
        <v>8202</v>
      </c>
      <c r="CC1" s="81" t="s">
        <v>1459</v>
      </c>
      <c r="CD1" s="81" t="s">
        <v>8203</v>
      </c>
    </row>
    <row r="2" spans="1:82" ht="13.9" customHeight="1" x14ac:dyDescent="0.25">
      <c r="A2" s="12">
        <v>100</v>
      </c>
      <c r="B2" s="12" t="s">
        <v>4094</v>
      </c>
      <c r="C2" s="78" t="s">
        <v>335</v>
      </c>
      <c r="D2" s="99" t="s">
        <v>86</v>
      </c>
      <c r="E2" s="28" t="s">
        <v>6812</v>
      </c>
      <c r="F2" s="100">
        <v>36694</v>
      </c>
      <c r="G2" s="100">
        <v>44921</v>
      </c>
      <c r="H2" s="101">
        <f t="shared" ref="H2:H65" si="0">+G2+AE2</f>
        <v>45011</v>
      </c>
      <c r="I2" s="101" t="s">
        <v>290</v>
      </c>
      <c r="J2" s="12" t="s">
        <v>4372</v>
      </c>
      <c r="K2" s="12" t="s">
        <v>4491</v>
      </c>
      <c r="L2" s="12" t="s">
        <v>1813</v>
      </c>
      <c r="M2" s="102" t="str">
        <f t="shared" ref="M2:M65" si="1">_xlfn.CONCAT(J2," ",K2," ",L2)</f>
        <v>SALAZAR GRIMALDO BENITO</v>
      </c>
      <c r="N2" s="102" t="s">
        <v>6818</v>
      </c>
      <c r="O2" s="102" t="s">
        <v>4688</v>
      </c>
      <c r="P2" s="12" t="s">
        <v>1953</v>
      </c>
      <c r="Q2" s="100">
        <v>26784</v>
      </c>
      <c r="R2" s="77">
        <f>DAY(Q2)</f>
        <v>30</v>
      </c>
      <c r="S2" s="77">
        <f>MONTH(Q2)</f>
        <v>4</v>
      </c>
      <c r="T2" s="77">
        <f>YEAR(Q2)</f>
        <v>1973</v>
      </c>
      <c r="U2" s="103">
        <f ca="1">(+TODAY()-Q2)/365</f>
        <v>53.487671232876714</v>
      </c>
      <c r="V2" s="13" t="s">
        <v>342</v>
      </c>
      <c r="W2" s="13" t="s">
        <v>2099</v>
      </c>
      <c r="X2" s="12" t="s">
        <v>1497</v>
      </c>
      <c r="Y2" s="12" t="s">
        <v>121</v>
      </c>
      <c r="Z2" s="12" t="s">
        <v>152</v>
      </c>
      <c r="AA2" s="12" t="s">
        <v>2271</v>
      </c>
      <c r="AB2" s="12" t="s">
        <v>842</v>
      </c>
      <c r="AC2" s="12" t="s">
        <v>313</v>
      </c>
      <c r="AD2" s="12" t="s">
        <v>349</v>
      </c>
      <c r="AE2" s="12">
        <v>90</v>
      </c>
      <c r="AF2" s="13" t="s">
        <v>315</v>
      </c>
      <c r="AG2" s="12" t="s">
        <v>290</v>
      </c>
      <c r="AH2" s="104" t="s">
        <v>2342</v>
      </c>
      <c r="AI2" s="12" t="s">
        <v>317</v>
      </c>
      <c r="AJ2" s="12" t="s">
        <v>318</v>
      </c>
      <c r="AK2" s="12">
        <v>4444233781</v>
      </c>
      <c r="AL2" s="104" t="s">
        <v>3005</v>
      </c>
      <c r="AM2" s="12">
        <v>0</v>
      </c>
      <c r="AN2" s="12">
        <v>0</v>
      </c>
      <c r="AO2" s="12" t="s">
        <v>398</v>
      </c>
      <c r="AP2" s="12"/>
      <c r="AQ2" s="12">
        <v>0</v>
      </c>
      <c r="AR2" s="12">
        <v>0</v>
      </c>
      <c r="AS2" s="12">
        <v>0</v>
      </c>
      <c r="AT2" s="12">
        <v>0</v>
      </c>
      <c r="AU2" s="12">
        <v>0</v>
      </c>
      <c r="AV2" s="12">
        <v>0</v>
      </c>
      <c r="AW2" s="12" t="s">
        <v>328</v>
      </c>
      <c r="AX2" s="12" t="s">
        <v>329</v>
      </c>
      <c r="AY2" s="12" t="s">
        <v>330</v>
      </c>
      <c r="AZ2" s="12"/>
      <c r="BA2" s="12"/>
      <c r="BB2" s="12"/>
      <c r="BC2" s="12"/>
      <c r="BD2" s="12" t="s">
        <v>3499</v>
      </c>
      <c r="BE2" s="12" t="s">
        <v>381</v>
      </c>
      <c r="BF2" s="12" t="s">
        <v>3678</v>
      </c>
      <c r="BG2" s="12" t="s">
        <v>362</v>
      </c>
      <c r="BH2" s="12" t="s">
        <v>362</v>
      </c>
      <c r="BI2" s="12">
        <v>2</v>
      </c>
      <c r="BJ2" s="100">
        <v>38589</v>
      </c>
      <c r="BK2" s="12" t="s">
        <v>3888</v>
      </c>
      <c r="BL2" s="105">
        <f ca="1">(+TODAY()-BJ2)/365</f>
        <v>21.145205479452056</v>
      </c>
      <c r="BM2" s="100">
        <v>39684</v>
      </c>
      <c r="BN2" s="12" t="s">
        <v>3888</v>
      </c>
      <c r="BO2" s="105">
        <f ca="1">(+TODAY()-BM2)/365</f>
        <v>18.145205479452056</v>
      </c>
      <c r="BP2" s="12"/>
      <c r="BQ2" s="12"/>
      <c r="BR2" s="12"/>
      <c r="BS2" s="12"/>
      <c r="BT2" s="12"/>
      <c r="BU2" s="12"/>
      <c r="BV2" s="12"/>
      <c r="BW2" s="12"/>
      <c r="BX2" s="12"/>
      <c r="BY2" s="12"/>
      <c r="BZ2" s="12"/>
      <c r="CA2" s="12"/>
      <c r="CB2" s="12"/>
      <c r="CC2" s="12"/>
      <c r="CD2" s="78"/>
    </row>
    <row r="3" spans="1:82" ht="13.9" customHeight="1" x14ac:dyDescent="0.2">
      <c r="A3" s="12">
        <v>102</v>
      </c>
      <c r="B3" s="12" t="s">
        <v>4171</v>
      </c>
      <c r="C3" s="106" t="s">
        <v>1390</v>
      </c>
      <c r="D3" s="107" t="s">
        <v>281</v>
      </c>
      <c r="E3" s="99" t="s">
        <v>1695</v>
      </c>
      <c r="F3" s="100">
        <v>37547</v>
      </c>
      <c r="G3" s="100">
        <v>44621</v>
      </c>
      <c r="H3" s="101">
        <f t="shared" si="0"/>
        <v>44711</v>
      </c>
      <c r="I3" s="101" t="s">
        <v>291</v>
      </c>
      <c r="J3" s="12" t="s">
        <v>704</v>
      </c>
      <c r="K3" s="12" t="s">
        <v>4309</v>
      </c>
      <c r="L3" s="12" t="s">
        <v>1929</v>
      </c>
      <c r="M3" s="102" t="str">
        <f t="shared" si="1"/>
        <v>GONZALEZ SALAS ROCIO IMELDA</v>
      </c>
      <c r="N3" s="102" t="s">
        <v>6819</v>
      </c>
      <c r="O3" s="102" t="s">
        <v>4835</v>
      </c>
      <c r="P3" s="12" t="s">
        <v>1954</v>
      </c>
      <c r="Q3" s="100">
        <v>28258</v>
      </c>
      <c r="R3" s="77">
        <f t="shared" ref="R3:R66" si="2">DAY(Q3)</f>
        <v>13</v>
      </c>
      <c r="S3" s="77">
        <f t="shared" ref="S3:S66" si="3">MONTH(Q3)</f>
        <v>5</v>
      </c>
      <c r="T3" s="77">
        <f t="shared" ref="T3:T66" si="4">YEAR(Q3)</f>
        <v>1977</v>
      </c>
      <c r="U3" s="103">
        <f t="shared" ref="U3:U66" ca="1" si="5">(+TODAY()-Q3)/365</f>
        <v>49.449315068493149</v>
      </c>
      <c r="V3" s="13" t="s">
        <v>308</v>
      </c>
      <c r="W3" s="13" t="s">
        <v>2246</v>
      </c>
      <c r="X3" s="12" t="s">
        <v>1426</v>
      </c>
      <c r="Y3" s="108" t="s">
        <v>264</v>
      </c>
      <c r="Z3" s="12" t="s">
        <v>263</v>
      </c>
      <c r="AA3" s="12" t="s">
        <v>636</v>
      </c>
      <c r="AB3" s="12" t="s">
        <v>2302</v>
      </c>
      <c r="AC3" s="12" t="s">
        <v>313</v>
      </c>
      <c r="AD3" s="12" t="s">
        <v>349</v>
      </c>
      <c r="AE3" s="12">
        <v>90</v>
      </c>
      <c r="AF3" s="13" t="s">
        <v>375</v>
      </c>
      <c r="AG3" s="12" t="s">
        <v>291</v>
      </c>
      <c r="AH3" s="104" t="s">
        <v>1398</v>
      </c>
      <c r="AI3" s="12" t="s">
        <v>317</v>
      </c>
      <c r="AJ3" s="12" t="s">
        <v>318</v>
      </c>
      <c r="AK3" s="12" t="s">
        <v>2845</v>
      </c>
      <c r="AL3" s="104" t="s">
        <v>3150</v>
      </c>
      <c r="AM3" s="12">
        <v>0</v>
      </c>
      <c r="AN3" s="12">
        <v>0</v>
      </c>
      <c r="AO3" s="12" t="s">
        <v>398</v>
      </c>
      <c r="AP3" s="12"/>
      <c r="AQ3" s="12">
        <v>0</v>
      </c>
      <c r="AR3" s="12">
        <v>0</v>
      </c>
      <c r="AS3" s="12">
        <v>0</v>
      </c>
      <c r="AT3" s="12">
        <v>0</v>
      </c>
      <c r="AU3" s="12">
        <v>0</v>
      </c>
      <c r="AV3" s="12">
        <v>0</v>
      </c>
      <c r="AW3" s="12" t="s">
        <v>328</v>
      </c>
      <c r="AX3" s="12" t="s">
        <v>329</v>
      </c>
      <c r="AY3" s="12" t="s">
        <v>330</v>
      </c>
      <c r="AZ3" s="12"/>
      <c r="BA3" s="12"/>
      <c r="BB3" s="12"/>
      <c r="BC3" s="12"/>
      <c r="BD3" s="12">
        <v>0</v>
      </c>
      <c r="BE3" s="12">
        <v>0</v>
      </c>
      <c r="BF3" s="12">
        <v>0</v>
      </c>
      <c r="BG3" s="12" t="s">
        <v>362</v>
      </c>
      <c r="BH3" s="12" t="s">
        <v>362</v>
      </c>
      <c r="BI3" s="12">
        <v>1</v>
      </c>
      <c r="BJ3" s="100">
        <v>43831</v>
      </c>
      <c r="BK3" s="12" t="s">
        <v>3888</v>
      </c>
      <c r="BL3" s="105">
        <f ca="1">(+TODAY()-BJ3)/365</f>
        <v>6.7835616438356166</v>
      </c>
      <c r="BM3" s="12"/>
      <c r="BN3" s="12"/>
      <c r="BO3" s="105"/>
      <c r="BP3" s="12"/>
      <c r="BQ3" s="12"/>
      <c r="BR3" s="12"/>
      <c r="BS3" s="12"/>
      <c r="BT3" s="12"/>
      <c r="BU3" s="12"/>
      <c r="BV3" s="12"/>
      <c r="BW3" s="12"/>
      <c r="BX3" s="12"/>
      <c r="BY3" s="12"/>
      <c r="BZ3" s="12"/>
      <c r="CA3" s="12"/>
      <c r="CB3" s="12"/>
      <c r="CC3" s="12"/>
      <c r="CD3" s="78"/>
    </row>
    <row r="4" spans="1:82" ht="13.9" customHeight="1" x14ac:dyDescent="0.2">
      <c r="A4" s="12">
        <v>103</v>
      </c>
      <c r="B4" s="12" t="s">
        <v>4047</v>
      </c>
      <c r="C4" s="78" t="s">
        <v>335</v>
      </c>
      <c r="D4" s="107" t="s">
        <v>116</v>
      </c>
      <c r="E4" s="99" t="s">
        <v>1671</v>
      </c>
      <c r="F4" s="100">
        <v>37636</v>
      </c>
      <c r="G4" s="100">
        <v>44926</v>
      </c>
      <c r="H4" s="101">
        <f t="shared" si="0"/>
        <v>45016</v>
      </c>
      <c r="I4" s="101" t="s">
        <v>291</v>
      </c>
      <c r="J4" s="12" t="s">
        <v>4353</v>
      </c>
      <c r="K4" s="12" t="s">
        <v>1239</v>
      </c>
      <c r="L4" s="12" t="s">
        <v>1881</v>
      </c>
      <c r="M4" s="102" t="str">
        <f t="shared" si="1"/>
        <v>ARAIZA VAZQUEZ MARIA DE JESUS</v>
      </c>
      <c r="N4" s="102" t="s">
        <v>6820</v>
      </c>
      <c r="O4" s="102" t="s">
        <v>4766</v>
      </c>
      <c r="P4" s="12" t="s">
        <v>1954</v>
      </c>
      <c r="Q4" s="100">
        <v>27293</v>
      </c>
      <c r="R4" s="77">
        <f t="shared" si="2"/>
        <v>21</v>
      </c>
      <c r="S4" s="77">
        <f t="shared" si="3"/>
        <v>9</v>
      </c>
      <c r="T4" s="77">
        <f t="shared" si="4"/>
        <v>1974</v>
      </c>
      <c r="U4" s="103">
        <f t="shared" ca="1" si="5"/>
        <v>52.093150684931508</v>
      </c>
      <c r="V4" s="13" t="s">
        <v>308</v>
      </c>
      <c r="W4" s="13" t="s">
        <v>2177</v>
      </c>
      <c r="X4" s="12" t="s">
        <v>1497</v>
      </c>
      <c r="Y4" s="108" t="s">
        <v>212</v>
      </c>
      <c r="Z4" s="12" t="s">
        <v>124</v>
      </c>
      <c r="AA4" s="12" t="s">
        <v>636</v>
      </c>
      <c r="AB4" s="12" t="s">
        <v>2302</v>
      </c>
      <c r="AC4" s="12" t="s">
        <v>313</v>
      </c>
      <c r="AD4" s="12" t="s">
        <v>349</v>
      </c>
      <c r="AE4" s="12">
        <v>90</v>
      </c>
      <c r="AF4" s="13" t="s">
        <v>350</v>
      </c>
      <c r="AG4" s="12" t="s">
        <v>291</v>
      </c>
      <c r="AH4" s="104" t="s">
        <v>351</v>
      </c>
      <c r="AI4" s="12" t="s">
        <v>317</v>
      </c>
      <c r="AJ4" s="12" t="s">
        <v>318</v>
      </c>
      <c r="AK4" s="12" t="s">
        <v>2785</v>
      </c>
      <c r="AL4" s="104">
        <v>0</v>
      </c>
      <c r="AM4" s="12">
        <v>0</v>
      </c>
      <c r="AN4" s="12">
        <v>0</v>
      </c>
      <c r="AO4" s="12" t="s">
        <v>398</v>
      </c>
      <c r="AP4" s="12"/>
      <c r="AQ4" s="12">
        <v>0</v>
      </c>
      <c r="AR4" s="12">
        <v>0</v>
      </c>
      <c r="AS4" s="12">
        <v>0</v>
      </c>
      <c r="AT4" s="12">
        <v>0</v>
      </c>
      <c r="AU4" s="12">
        <v>0</v>
      </c>
      <c r="AV4" s="12">
        <v>0</v>
      </c>
      <c r="AW4" s="12">
        <v>0</v>
      </c>
      <c r="AX4" s="12" t="s">
        <v>357</v>
      </c>
      <c r="AY4" s="12" t="s">
        <v>330</v>
      </c>
      <c r="AZ4" s="12"/>
      <c r="BA4" s="12"/>
      <c r="BB4" s="12"/>
      <c r="BC4" s="12"/>
      <c r="BD4" s="12" t="s">
        <v>3535</v>
      </c>
      <c r="BE4" s="12" t="s">
        <v>832</v>
      </c>
      <c r="BF4" s="12" t="s">
        <v>3739</v>
      </c>
      <c r="BG4" s="12" t="s">
        <v>488</v>
      </c>
      <c r="BH4" s="12" t="s">
        <v>362</v>
      </c>
      <c r="BI4" s="12" t="s">
        <v>3831</v>
      </c>
      <c r="BJ4" s="12" t="s">
        <v>3888</v>
      </c>
      <c r="BK4" s="12" t="s">
        <v>3911</v>
      </c>
      <c r="BL4" s="105">
        <v>24</v>
      </c>
      <c r="BM4" s="12"/>
      <c r="BN4" s="12">
        <v>0</v>
      </c>
      <c r="BO4" s="105">
        <v>0</v>
      </c>
      <c r="BP4" s="12"/>
      <c r="BQ4" s="12">
        <v>0</v>
      </c>
      <c r="BR4" s="12">
        <v>0</v>
      </c>
      <c r="BS4" s="12"/>
      <c r="BT4" s="12">
        <v>0</v>
      </c>
      <c r="BU4" s="12">
        <v>0</v>
      </c>
      <c r="BV4" s="12"/>
      <c r="BW4" s="12">
        <v>0</v>
      </c>
      <c r="BX4" s="12">
        <v>0</v>
      </c>
      <c r="BY4" s="12"/>
      <c r="BZ4" s="12">
        <v>0</v>
      </c>
      <c r="CA4" s="12"/>
      <c r="CB4" s="12"/>
      <c r="CC4" s="12"/>
      <c r="CD4" s="78"/>
    </row>
    <row r="5" spans="1:82" ht="13.9" customHeight="1" x14ac:dyDescent="0.2">
      <c r="A5" s="12">
        <v>107</v>
      </c>
      <c r="B5" s="12" t="s">
        <v>4010</v>
      </c>
      <c r="C5" s="104" t="s">
        <v>564</v>
      </c>
      <c r="D5" s="107" t="s">
        <v>81</v>
      </c>
      <c r="E5" s="99" t="s">
        <v>1692</v>
      </c>
      <c r="F5" s="100">
        <v>38169</v>
      </c>
      <c r="G5" s="100">
        <v>44562</v>
      </c>
      <c r="H5" s="101">
        <f t="shared" si="0"/>
        <v>44652</v>
      </c>
      <c r="I5" s="101" t="s">
        <v>291</v>
      </c>
      <c r="J5" s="12" t="s">
        <v>4425</v>
      </c>
      <c r="K5" s="12" t="s">
        <v>546</v>
      </c>
      <c r="L5" s="12" t="s">
        <v>1923</v>
      </c>
      <c r="M5" s="102" t="str">
        <f t="shared" si="1"/>
        <v>BEIZA AGUIRRE MIRNA LUZ</v>
      </c>
      <c r="N5" s="102" t="s">
        <v>6821</v>
      </c>
      <c r="O5" s="102" t="s">
        <v>4829</v>
      </c>
      <c r="P5" s="12" t="s">
        <v>1954</v>
      </c>
      <c r="Q5" s="100">
        <v>30171</v>
      </c>
      <c r="R5" s="77">
        <f t="shared" si="2"/>
        <v>8</v>
      </c>
      <c r="S5" s="77">
        <f t="shared" si="3"/>
        <v>8</v>
      </c>
      <c r="T5" s="77">
        <f t="shared" si="4"/>
        <v>1982</v>
      </c>
      <c r="U5" s="103">
        <f t="shared" ca="1" si="5"/>
        <v>44.208219178082189</v>
      </c>
      <c r="V5" s="13" t="s">
        <v>1450</v>
      </c>
      <c r="W5" s="13" t="s">
        <v>2240</v>
      </c>
      <c r="X5" s="12" t="s">
        <v>1497</v>
      </c>
      <c r="Y5" s="108" t="s">
        <v>225</v>
      </c>
      <c r="Z5" s="12" t="s">
        <v>259</v>
      </c>
      <c r="AA5" s="12" t="s">
        <v>636</v>
      </c>
      <c r="AB5" s="12" t="s">
        <v>533</v>
      </c>
      <c r="AC5" s="12" t="s">
        <v>313</v>
      </c>
      <c r="AD5" s="12" t="s">
        <v>349</v>
      </c>
      <c r="AE5" s="12">
        <v>90</v>
      </c>
      <c r="AF5" s="13" t="s">
        <v>597</v>
      </c>
      <c r="AG5" s="12" t="s">
        <v>291</v>
      </c>
      <c r="AH5" s="104" t="s">
        <v>2331</v>
      </c>
      <c r="AI5" s="12" t="s">
        <v>317</v>
      </c>
      <c r="AJ5" s="12" t="s">
        <v>318</v>
      </c>
      <c r="AK5" s="12" t="s">
        <v>2840</v>
      </c>
      <c r="AL5" s="104" t="s">
        <v>3144</v>
      </c>
      <c r="AM5" s="12">
        <v>0</v>
      </c>
      <c r="AN5" s="12">
        <v>0</v>
      </c>
      <c r="AO5" s="12" t="s">
        <v>327</v>
      </c>
      <c r="AP5" s="12"/>
      <c r="AQ5" s="12">
        <v>0</v>
      </c>
      <c r="AR5" s="12">
        <v>0</v>
      </c>
      <c r="AS5" s="12">
        <v>0</v>
      </c>
      <c r="AT5" s="12">
        <v>0</v>
      </c>
      <c r="AU5" s="12">
        <v>0</v>
      </c>
      <c r="AV5" s="12">
        <v>0</v>
      </c>
      <c r="AW5" s="12" t="s">
        <v>328</v>
      </c>
      <c r="AX5" s="12" t="s">
        <v>357</v>
      </c>
      <c r="AY5" s="12" t="s">
        <v>330</v>
      </c>
      <c r="AZ5" s="12"/>
      <c r="BA5" s="12"/>
      <c r="BB5" s="12"/>
      <c r="BC5" s="12"/>
      <c r="BD5" s="12" t="s">
        <v>3566</v>
      </c>
      <c r="BE5" s="12" t="s">
        <v>3178</v>
      </c>
      <c r="BF5" s="12" t="s">
        <v>3792</v>
      </c>
      <c r="BG5" s="12" t="s">
        <v>362</v>
      </c>
      <c r="BH5" s="12" t="s">
        <v>362</v>
      </c>
      <c r="BI5" s="12" t="s">
        <v>3831</v>
      </c>
      <c r="BJ5" s="12"/>
      <c r="BK5" s="12"/>
      <c r="BL5" s="105"/>
      <c r="BM5" s="12"/>
      <c r="BN5" s="12"/>
      <c r="BO5" s="105"/>
      <c r="BP5" s="12"/>
      <c r="BQ5" s="12"/>
      <c r="BR5" s="12"/>
      <c r="BS5" s="12"/>
      <c r="BT5" s="12"/>
      <c r="BU5" s="12"/>
      <c r="BV5" s="12"/>
      <c r="BW5" s="12"/>
      <c r="BX5" s="12"/>
      <c r="BY5" s="12"/>
      <c r="BZ5" s="12"/>
      <c r="CA5" s="12"/>
      <c r="CB5" s="12"/>
      <c r="CC5" s="12"/>
      <c r="CD5" s="78"/>
    </row>
    <row r="6" spans="1:82" ht="13.9" customHeight="1" x14ac:dyDescent="0.2">
      <c r="A6" s="12">
        <v>108</v>
      </c>
      <c r="B6" s="12" t="s">
        <v>4217</v>
      </c>
      <c r="C6" s="104" t="s">
        <v>299</v>
      </c>
      <c r="D6" s="99" t="s">
        <v>80</v>
      </c>
      <c r="E6" s="99" t="s">
        <v>1659</v>
      </c>
      <c r="F6" s="100">
        <v>38369</v>
      </c>
      <c r="G6" s="100">
        <v>44621</v>
      </c>
      <c r="H6" s="101">
        <f t="shared" si="0"/>
        <v>44711</v>
      </c>
      <c r="I6" s="101" t="s">
        <v>291</v>
      </c>
      <c r="J6" s="12" t="s">
        <v>4386</v>
      </c>
      <c r="K6" s="12" t="s">
        <v>4448</v>
      </c>
      <c r="L6" s="12" t="s">
        <v>1840</v>
      </c>
      <c r="M6" s="102" t="str">
        <f t="shared" si="1"/>
        <v>BAUTISTA BRISEÑO JUANA ISABEL</v>
      </c>
      <c r="N6" s="102" t="s">
        <v>6822</v>
      </c>
      <c r="O6" s="102" t="s">
        <v>4720</v>
      </c>
      <c r="P6" s="12" t="s">
        <v>1954</v>
      </c>
      <c r="Q6" s="100">
        <v>28989</v>
      </c>
      <c r="R6" s="77">
        <f t="shared" si="2"/>
        <v>14</v>
      </c>
      <c r="S6" s="77">
        <f t="shared" si="3"/>
        <v>5</v>
      </c>
      <c r="T6" s="77">
        <f t="shared" si="4"/>
        <v>1979</v>
      </c>
      <c r="U6" s="103">
        <f t="shared" ca="1" si="5"/>
        <v>47.446575342465756</v>
      </c>
      <c r="V6" s="13" t="s">
        <v>1450</v>
      </c>
      <c r="W6" s="13" t="s">
        <v>2131</v>
      </c>
      <c r="X6" s="12" t="s">
        <v>1497</v>
      </c>
      <c r="Y6" s="12" t="s">
        <v>171</v>
      </c>
      <c r="Z6" s="12" t="s">
        <v>170</v>
      </c>
      <c r="AA6" s="12" t="s">
        <v>636</v>
      </c>
      <c r="AB6" s="12" t="s">
        <v>2299</v>
      </c>
      <c r="AC6" s="12" t="s">
        <v>313</v>
      </c>
      <c r="AD6" s="12" t="s">
        <v>314</v>
      </c>
      <c r="AE6" s="12">
        <v>90</v>
      </c>
      <c r="AF6" s="13" t="s">
        <v>315</v>
      </c>
      <c r="AG6" s="12" t="s">
        <v>291</v>
      </c>
      <c r="AH6" s="104" t="s">
        <v>316</v>
      </c>
      <c r="AI6" s="12" t="s">
        <v>317</v>
      </c>
      <c r="AJ6" s="12" t="s">
        <v>318</v>
      </c>
      <c r="AK6" s="12" t="s">
        <v>2748</v>
      </c>
      <c r="AL6" s="104" t="s">
        <v>3037</v>
      </c>
      <c r="AM6" s="12" t="s">
        <v>2508</v>
      </c>
      <c r="AN6" s="12" t="s">
        <v>325</v>
      </c>
      <c r="AO6" s="12" t="s">
        <v>398</v>
      </c>
      <c r="AP6" s="12"/>
      <c r="AQ6" s="12">
        <v>0</v>
      </c>
      <c r="AR6" s="12">
        <v>0</v>
      </c>
      <c r="AS6" s="12">
        <v>0</v>
      </c>
      <c r="AT6" s="12">
        <v>0</v>
      </c>
      <c r="AU6" s="12">
        <v>0</v>
      </c>
      <c r="AV6" s="12">
        <v>0</v>
      </c>
      <c r="AW6" s="12" t="s">
        <v>328</v>
      </c>
      <c r="AX6" s="12" t="s">
        <v>329</v>
      </c>
      <c r="AY6" s="12" t="s">
        <v>330</v>
      </c>
      <c r="AZ6" s="12"/>
      <c r="BA6" s="12"/>
      <c r="BB6" s="12"/>
      <c r="BC6" s="12"/>
      <c r="BD6" s="12" t="s">
        <v>3514</v>
      </c>
      <c r="BE6" s="12" t="s">
        <v>325</v>
      </c>
      <c r="BF6" s="12" t="s">
        <v>3700</v>
      </c>
      <c r="BG6" s="12" t="s">
        <v>444</v>
      </c>
      <c r="BH6" s="12" t="s">
        <v>3820</v>
      </c>
      <c r="BI6" s="12">
        <v>2</v>
      </c>
      <c r="BJ6" s="12" t="s">
        <v>3875</v>
      </c>
      <c r="BK6" s="12" t="s">
        <v>3911</v>
      </c>
      <c r="BL6" s="105">
        <v>16</v>
      </c>
      <c r="BM6" s="12"/>
      <c r="BN6" s="12" t="s">
        <v>3911</v>
      </c>
      <c r="BO6" s="105" t="s">
        <v>3913</v>
      </c>
      <c r="BP6" s="12"/>
      <c r="BQ6" s="12">
        <v>0</v>
      </c>
      <c r="BR6" s="12">
        <v>0</v>
      </c>
      <c r="BS6" s="12"/>
      <c r="BT6" s="12">
        <v>0</v>
      </c>
      <c r="BU6" s="12">
        <v>0</v>
      </c>
      <c r="BV6" s="12"/>
      <c r="BW6" s="12">
        <v>0</v>
      </c>
      <c r="BX6" s="12">
        <v>0</v>
      </c>
      <c r="BY6" s="12"/>
      <c r="BZ6" s="12">
        <v>0</v>
      </c>
      <c r="CA6" s="12"/>
      <c r="CB6" s="12"/>
      <c r="CC6" s="12"/>
      <c r="CD6" s="78"/>
    </row>
    <row r="7" spans="1:82" ht="13.9" customHeight="1" x14ac:dyDescent="0.2">
      <c r="A7" s="12">
        <v>109</v>
      </c>
      <c r="B7" s="12" t="s">
        <v>4124</v>
      </c>
      <c r="C7" s="78" t="s">
        <v>335</v>
      </c>
      <c r="D7" s="107" t="s">
        <v>116</v>
      </c>
      <c r="E7" s="99" t="s">
        <v>1672</v>
      </c>
      <c r="F7" s="100">
        <v>38681</v>
      </c>
      <c r="G7" s="100">
        <v>44926</v>
      </c>
      <c r="H7" s="101">
        <f t="shared" si="0"/>
        <v>45016</v>
      </c>
      <c r="I7" s="101" t="s">
        <v>291</v>
      </c>
      <c r="J7" s="12" t="s">
        <v>4402</v>
      </c>
      <c r="K7" s="12" t="s">
        <v>793</v>
      </c>
      <c r="L7" s="12" t="s">
        <v>1882</v>
      </c>
      <c r="M7" s="102" t="str">
        <f t="shared" si="1"/>
        <v xml:space="preserve">SALCIDO LOPEZ MAYRA JANET </v>
      </c>
      <c r="N7" s="102" t="s">
        <v>7137</v>
      </c>
      <c r="O7" s="102" t="s">
        <v>4767</v>
      </c>
      <c r="P7" s="12" t="s">
        <v>1954</v>
      </c>
      <c r="Q7" s="100">
        <v>30992</v>
      </c>
      <c r="R7" s="77">
        <f t="shared" si="2"/>
        <v>6</v>
      </c>
      <c r="S7" s="77">
        <f t="shared" si="3"/>
        <v>11</v>
      </c>
      <c r="T7" s="77">
        <f t="shared" si="4"/>
        <v>1984</v>
      </c>
      <c r="U7" s="103">
        <f t="shared" ca="1" si="5"/>
        <v>41.958904109589042</v>
      </c>
      <c r="V7" s="13" t="s">
        <v>1450</v>
      </c>
      <c r="W7" s="13" t="s">
        <v>2178</v>
      </c>
      <c r="X7" s="12" t="s">
        <v>1497</v>
      </c>
      <c r="Y7" s="14" t="s">
        <v>213</v>
      </c>
      <c r="Z7" s="12" t="s">
        <v>124</v>
      </c>
      <c r="AA7" s="12" t="s">
        <v>636</v>
      </c>
      <c r="AB7" s="12" t="s">
        <v>533</v>
      </c>
      <c r="AC7" s="12" t="s">
        <v>313</v>
      </c>
      <c r="AD7" s="12" t="s">
        <v>349</v>
      </c>
      <c r="AE7" s="12">
        <v>90</v>
      </c>
      <c r="AF7" s="13" t="s">
        <v>350</v>
      </c>
      <c r="AG7" s="12" t="s">
        <v>291</v>
      </c>
      <c r="AH7" s="104" t="s">
        <v>351</v>
      </c>
      <c r="AI7" s="12" t="s">
        <v>317</v>
      </c>
      <c r="AJ7" s="12" t="s">
        <v>318</v>
      </c>
      <c r="AK7" s="12" t="s">
        <v>2786</v>
      </c>
      <c r="AL7" s="104" t="s">
        <v>3082</v>
      </c>
      <c r="AM7" s="12">
        <v>0</v>
      </c>
      <c r="AN7" s="12">
        <v>0</v>
      </c>
      <c r="AO7" s="12" t="s">
        <v>398</v>
      </c>
      <c r="AP7" s="12"/>
      <c r="AQ7" s="12">
        <v>0</v>
      </c>
      <c r="AR7" s="12">
        <v>0</v>
      </c>
      <c r="AS7" s="12">
        <v>0</v>
      </c>
      <c r="AT7" s="12">
        <v>0</v>
      </c>
      <c r="AU7" s="12">
        <v>0</v>
      </c>
      <c r="AV7" s="12">
        <v>0</v>
      </c>
      <c r="AW7" s="12">
        <v>0</v>
      </c>
      <c r="AX7" s="12" t="s">
        <v>357</v>
      </c>
      <c r="AY7" s="12" t="s">
        <v>330</v>
      </c>
      <c r="AZ7" s="12"/>
      <c r="BA7" s="12"/>
      <c r="BB7" s="12"/>
      <c r="BC7" s="12"/>
      <c r="BD7" s="12" t="s">
        <v>3536</v>
      </c>
      <c r="BE7" s="12" t="s">
        <v>3178</v>
      </c>
      <c r="BF7" s="12" t="s">
        <v>3740</v>
      </c>
      <c r="BG7" s="12" t="s">
        <v>333</v>
      </c>
      <c r="BH7" s="12" t="s">
        <v>3822</v>
      </c>
      <c r="BI7" s="12" t="s">
        <v>3831</v>
      </c>
      <c r="BJ7" s="12" t="s">
        <v>3888</v>
      </c>
      <c r="BK7" s="12" t="s">
        <v>571</v>
      </c>
      <c r="BL7" s="105">
        <v>18</v>
      </c>
      <c r="BM7" s="12"/>
      <c r="BN7" s="12" t="s">
        <v>571</v>
      </c>
      <c r="BO7" s="105">
        <v>12</v>
      </c>
      <c r="BP7" s="12"/>
      <c r="BQ7" s="12" t="s">
        <v>571</v>
      </c>
      <c r="BR7" s="12">
        <v>1</v>
      </c>
      <c r="BS7" s="12"/>
      <c r="BT7" s="12">
        <v>0</v>
      </c>
      <c r="BU7" s="12">
        <v>0</v>
      </c>
      <c r="BV7" s="12"/>
      <c r="BW7" s="12">
        <v>0</v>
      </c>
      <c r="BX7" s="12">
        <v>0</v>
      </c>
      <c r="BY7" s="12"/>
      <c r="BZ7" s="12">
        <v>0</v>
      </c>
      <c r="CA7" s="12"/>
      <c r="CB7" s="12"/>
      <c r="CC7" s="12"/>
      <c r="CD7" s="78"/>
    </row>
    <row r="8" spans="1:82" s="116" customFormat="1" ht="13.9" customHeight="1" x14ac:dyDescent="0.2">
      <c r="A8" s="109">
        <v>111</v>
      </c>
      <c r="B8" s="109" t="s">
        <v>4110</v>
      </c>
      <c r="C8" s="110" t="s">
        <v>335</v>
      </c>
      <c r="D8" s="111" t="s">
        <v>161</v>
      </c>
      <c r="E8" s="111" t="s">
        <v>6480</v>
      </c>
      <c r="F8" s="112">
        <v>39503</v>
      </c>
      <c r="G8" s="112">
        <v>44914</v>
      </c>
      <c r="H8" s="113">
        <f t="shared" si="0"/>
        <v>45004</v>
      </c>
      <c r="I8" s="113" t="s">
        <v>290</v>
      </c>
      <c r="J8" s="109" t="s">
        <v>4380</v>
      </c>
      <c r="K8" s="109" t="s">
        <v>4346</v>
      </c>
      <c r="L8" s="109" t="s">
        <v>1828</v>
      </c>
      <c r="M8" s="128" t="str">
        <f t="shared" si="1"/>
        <v>MOCTEZUMA MORALES FLORENTINO</v>
      </c>
      <c r="N8" s="128" t="s">
        <v>6823</v>
      </c>
      <c r="O8" s="128" t="s">
        <v>4706</v>
      </c>
      <c r="P8" s="109" t="s">
        <v>1953</v>
      </c>
      <c r="Q8" s="112">
        <v>24042</v>
      </c>
      <c r="R8" s="125">
        <f t="shared" si="2"/>
        <v>27</v>
      </c>
      <c r="S8" s="125">
        <f t="shared" si="3"/>
        <v>10</v>
      </c>
      <c r="T8" s="125">
        <f t="shared" si="4"/>
        <v>1965</v>
      </c>
      <c r="U8" s="142">
        <f t="shared" ca="1" si="5"/>
        <v>61</v>
      </c>
      <c r="V8" s="114" t="s">
        <v>342</v>
      </c>
      <c r="W8" s="114" t="s">
        <v>2117</v>
      </c>
      <c r="X8" s="109" t="s">
        <v>1497</v>
      </c>
      <c r="Y8" s="109" t="s">
        <v>162</v>
      </c>
      <c r="Z8" s="109" t="s">
        <v>163</v>
      </c>
      <c r="AA8" s="109" t="s">
        <v>2271</v>
      </c>
      <c r="AB8" s="109" t="s">
        <v>2297</v>
      </c>
      <c r="AC8" s="109" t="s">
        <v>313</v>
      </c>
      <c r="AD8" s="109" t="s">
        <v>314</v>
      </c>
      <c r="AE8" s="109">
        <v>90</v>
      </c>
      <c r="AF8" s="114" t="s">
        <v>2330</v>
      </c>
      <c r="AG8" s="109" t="s">
        <v>290</v>
      </c>
      <c r="AH8" s="115" t="s">
        <v>2343</v>
      </c>
      <c r="AI8" s="109" t="s">
        <v>317</v>
      </c>
      <c r="AJ8" s="109" t="s">
        <v>318</v>
      </c>
      <c r="AK8" s="109" t="s">
        <v>2736</v>
      </c>
      <c r="AL8" s="115" t="s">
        <v>3023</v>
      </c>
      <c r="AM8" s="109" t="s">
        <v>2494</v>
      </c>
      <c r="AN8" s="109" t="s">
        <v>381</v>
      </c>
      <c r="AO8" s="109" t="s">
        <v>398</v>
      </c>
      <c r="AP8" s="109"/>
      <c r="AQ8" s="109">
        <v>0</v>
      </c>
      <c r="AR8" s="109">
        <v>0</v>
      </c>
      <c r="AS8" s="109">
        <v>0</v>
      </c>
      <c r="AT8" s="109">
        <v>0</v>
      </c>
      <c r="AU8" s="109">
        <v>0</v>
      </c>
      <c r="AV8" s="109">
        <v>0</v>
      </c>
      <c r="AW8" s="109" t="s">
        <v>420</v>
      </c>
      <c r="AX8" s="109" t="s">
        <v>329</v>
      </c>
      <c r="AY8" s="109" t="s">
        <v>330</v>
      </c>
      <c r="AZ8" s="109"/>
      <c r="BA8" s="109"/>
      <c r="BB8" s="109"/>
      <c r="BC8" s="109"/>
      <c r="BD8" s="109" t="s">
        <v>2494</v>
      </c>
      <c r="BE8" s="109" t="s">
        <v>381</v>
      </c>
      <c r="BF8" s="109" t="s">
        <v>3688</v>
      </c>
      <c r="BG8" s="109" t="s">
        <v>362</v>
      </c>
      <c r="BH8" s="109" t="s">
        <v>362</v>
      </c>
      <c r="BI8" s="109">
        <v>2</v>
      </c>
      <c r="BJ8" s="109" t="s">
        <v>3871</v>
      </c>
      <c r="BK8" s="109" t="s">
        <v>3911</v>
      </c>
      <c r="BL8" s="111">
        <v>34</v>
      </c>
      <c r="BM8" s="109"/>
      <c r="BN8" s="109" t="s">
        <v>1953</v>
      </c>
      <c r="BO8" s="111">
        <v>27</v>
      </c>
      <c r="BP8" s="109"/>
      <c r="BQ8" s="109">
        <v>0</v>
      </c>
      <c r="BR8" s="109">
        <v>0</v>
      </c>
      <c r="BS8" s="109"/>
      <c r="BT8" s="109">
        <v>0</v>
      </c>
      <c r="BU8" s="109">
        <v>0</v>
      </c>
      <c r="BV8" s="109"/>
      <c r="BW8" s="109">
        <v>0</v>
      </c>
      <c r="BX8" s="109">
        <v>0</v>
      </c>
      <c r="BY8" s="109"/>
      <c r="BZ8" s="109">
        <v>0</v>
      </c>
      <c r="CA8" s="109"/>
      <c r="CB8" s="109"/>
      <c r="CC8" s="109"/>
      <c r="CD8" s="110"/>
    </row>
    <row r="9" spans="1:82" s="116" customFormat="1" ht="13.9" customHeight="1" x14ac:dyDescent="0.2">
      <c r="A9" s="12">
        <v>112</v>
      </c>
      <c r="B9" s="12" t="s">
        <v>4125</v>
      </c>
      <c r="C9" s="78" t="s">
        <v>335</v>
      </c>
      <c r="D9" s="107" t="s">
        <v>116</v>
      </c>
      <c r="E9" s="99" t="s">
        <v>1673</v>
      </c>
      <c r="F9" s="100">
        <v>39748</v>
      </c>
      <c r="G9" s="100">
        <v>44593</v>
      </c>
      <c r="H9" s="101">
        <f t="shared" si="0"/>
        <v>44683</v>
      </c>
      <c r="I9" s="101" t="s">
        <v>291</v>
      </c>
      <c r="J9" s="12" t="s">
        <v>793</v>
      </c>
      <c r="K9" s="12" t="s">
        <v>4512</v>
      </c>
      <c r="L9" s="12" t="s">
        <v>781</v>
      </c>
      <c r="M9" s="102" t="str">
        <f t="shared" si="1"/>
        <v>LOPEZ SALINAS JOSE EDUARDO</v>
      </c>
      <c r="N9" s="102" t="s">
        <v>6824</v>
      </c>
      <c r="O9" s="102" t="s">
        <v>4768</v>
      </c>
      <c r="P9" s="12" t="s">
        <v>1953</v>
      </c>
      <c r="Q9" s="100">
        <v>27997</v>
      </c>
      <c r="R9" s="77">
        <f t="shared" si="2"/>
        <v>25</v>
      </c>
      <c r="S9" s="77">
        <f t="shared" si="3"/>
        <v>8</v>
      </c>
      <c r="T9" s="77">
        <f t="shared" si="4"/>
        <v>1976</v>
      </c>
      <c r="U9" s="103">
        <f t="shared" ca="1" si="5"/>
        <v>50.164383561643838</v>
      </c>
      <c r="V9" s="13" t="s">
        <v>342</v>
      </c>
      <c r="W9" s="13" t="s">
        <v>2179</v>
      </c>
      <c r="X9" s="12" t="s">
        <v>1497</v>
      </c>
      <c r="Y9" s="108" t="s">
        <v>215</v>
      </c>
      <c r="Z9" s="12" t="s">
        <v>214</v>
      </c>
      <c r="AA9" s="12" t="s">
        <v>857</v>
      </c>
      <c r="AB9" s="12" t="s">
        <v>533</v>
      </c>
      <c r="AC9" s="12" t="s">
        <v>313</v>
      </c>
      <c r="AD9" s="12" t="s">
        <v>349</v>
      </c>
      <c r="AE9" s="12">
        <v>90</v>
      </c>
      <c r="AF9" s="13" t="s">
        <v>350</v>
      </c>
      <c r="AG9" s="12" t="s">
        <v>291</v>
      </c>
      <c r="AH9" s="104" t="s">
        <v>351</v>
      </c>
      <c r="AI9" s="12" t="s">
        <v>317</v>
      </c>
      <c r="AJ9" s="12" t="s">
        <v>318</v>
      </c>
      <c r="AK9" s="12" t="s">
        <v>2787</v>
      </c>
      <c r="AL9" s="104" t="s">
        <v>3083</v>
      </c>
      <c r="AM9" s="12">
        <v>0</v>
      </c>
      <c r="AN9" s="12">
        <v>0</v>
      </c>
      <c r="AO9" s="12" t="s">
        <v>398</v>
      </c>
      <c r="AP9" s="12"/>
      <c r="AQ9" s="12">
        <v>0</v>
      </c>
      <c r="AR9" s="12">
        <v>0</v>
      </c>
      <c r="AS9" s="12">
        <v>0</v>
      </c>
      <c r="AT9" s="12">
        <v>0</v>
      </c>
      <c r="AU9" s="12">
        <v>0</v>
      </c>
      <c r="AV9" s="12">
        <v>0</v>
      </c>
      <c r="AW9" s="12">
        <v>0</v>
      </c>
      <c r="AX9" s="12" t="s">
        <v>357</v>
      </c>
      <c r="AY9" s="12" t="s">
        <v>330</v>
      </c>
      <c r="AZ9" s="12"/>
      <c r="BA9" s="12"/>
      <c r="BB9" s="12"/>
      <c r="BC9" s="12"/>
      <c r="BD9" s="12" t="s">
        <v>3537</v>
      </c>
      <c r="BE9" s="12" t="s">
        <v>381</v>
      </c>
      <c r="BF9" s="12" t="s">
        <v>3741</v>
      </c>
      <c r="BG9" s="12" t="s">
        <v>333</v>
      </c>
      <c r="BH9" s="12" t="s">
        <v>3823</v>
      </c>
      <c r="BI9" s="12" t="s">
        <v>3831</v>
      </c>
      <c r="BJ9" s="12" t="s">
        <v>3888</v>
      </c>
      <c r="BK9" s="12" t="s">
        <v>3911</v>
      </c>
      <c r="BL9" s="105">
        <v>10</v>
      </c>
      <c r="BM9" s="12"/>
      <c r="BN9" s="12" t="s">
        <v>3911</v>
      </c>
      <c r="BO9" s="105">
        <v>8</v>
      </c>
      <c r="BP9" s="12"/>
      <c r="BQ9" s="12">
        <v>0</v>
      </c>
      <c r="BR9" s="12">
        <v>0</v>
      </c>
      <c r="BS9" s="12"/>
      <c r="BT9" s="12">
        <v>0</v>
      </c>
      <c r="BU9" s="12">
        <v>0</v>
      </c>
      <c r="BV9" s="12"/>
      <c r="BW9" s="12">
        <v>0</v>
      </c>
      <c r="BX9" s="12">
        <v>0</v>
      </c>
      <c r="BY9" s="12"/>
      <c r="BZ9" s="12">
        <v>0</v>
      </c>
      <c r="CA9" s="12"/>
      <c r="CB9" s="12"/>
      <c r="CC9" s="12"/>
      <c r="CD9" s="110"/>
    </row>
    <row r="10" spans="1:82" ht="13.9" customHeight="1" x14ac:dyDescent="0.2">
      <c r="A10" s="12">
        <v>113</v>
      </c>
      <c r="B10" s="12" t="s">
        <v>4129</v>
      </c>
      <c r="C10" s="78" t="s">
        <v>335</v>
      </c>
      <c r="D10" s="107" t="s">
        <v>161</v>
      </c>
      <c r="E10" s="99" t="s">
        <v>1676</v>
      </c>
      <c r="F10" s="100">
        <v>39770</v>
      </c>
      <c r="G10" s="100">
        <v>44911</v>
      </c>
      <c r="H10" s="101">
        <f t="shared" si="0"/>
        <v>45001</v>
      </c>
      <c r="I10" s="101" t="s">
        <v>291</v>
      </c>
      <c r="J10" s="12" t="s">
        <v>365</v>
      </c>
      <c r="K10" s="12" t="s">
        <v>4514</v>
      </c>
      <c r="L10" s="12" t="s">
        <v>1887</v>
      </c>
      <c r="M10" s="102" t="str">
        <f t="shared" si="1"/>
        <v>RODRIGUEZ  SORIA NORMA</v>
      </c>
      <c r="N10" s="102" t="s">
        <v>7138</v>
      </c>
      <c r="O10" s="102" t="s">
        <v>4773</v>
      </c>
      <c r="P10" s="12" t="s">
        <v>1954</v>
      </c>
      <c r="Q10" s="100">
        <v>32384</v>
      </c>
      <c r="R10" s="77">
        <f t="shared" si="2"/>
        <v>29</v>
      </c>
      <c r="S10" s="77">
        <f t="shared" si="3"/>
        <v>8</v>
      </c>
      <c r="T10" s="77">
        <f t="shared" si="4"/>
        <v>1988</v>
      </c>
      <c r="U10" s="103">
        <f t="shared" ca="1" si="5"/>
        <v>38.145205479452052</v>
      </c>
      <c r="V10" s="13" t="s">
        <v>308</v>
      </c>
      <c r="W10" s="13" t="s">
        <v>2184</v>
      </c>
      <c r="X10" s="12" t="s">
        <v>1497</v>
      </c>
      <c r="Y10" s="108" t="s">
        <v>219</v>
      </c>
      <c r="Z10" s="12" t="s">
        <v>163</v>
      </c>
      <c r="AA10" s="12" t="s">
        <v>2271</v>
      </c>
      <c r="AB10" s="12" t="s">
        <v>2308</v>
      </c>
      <c r="AC10" s="12" t="s">
        <v>313</v>
      </c>
      <c r="AD10" s="12" t="s">
        <v>314</v>
      </c>
      <c r="AE10" s="12">
        <v>90</v>
      </c>
      <c r="AF10" s="13" t="s">
        <v>2330</v>
      </c>
      <c r="AG10" s="12" t="s">
        <v>291</v>
      </c>
      <c r="AH10" s="104" t="s">
        <v>2343</v>
      </c>
      <c r="AI10" s="12" t="s">
        <v>317</v>
      </c>
      <c r="AJ10" s="12" t="s">
        <v>318</v>
      </c>
      <c r="AK10" s="12" t="s">
        <v>2792</v>
      </c>
      <c r="AL10" s="104" t="s">
        <v>3088</v>
      </c>
      <c r="AM10" s="12" t="s">
        <v>2557</v>
      </c>
      <c r="AN10" s="12" t="s">
        <v>325</v>
      </c>
      <c r="AO10" s="12" t="s">
        <v>398</v>
      </c>
      <c r="AP10" s="12"/>
      <c r="AQ10" s="12">
        <v>0</v>
      </c>
      <c r="AR10" s="12">
        <v>0</v>
      </c>
      <c r="AS10" s="12">
        <v>0</v>
      </c>
      <c r="AT10" s="12">
        <v>0</v>
      </c>
      <c r="AU10" s="12">
        <v>0</v>
      </c>
      <c r="AV10" s="12">
        <v>0</v>
      </c>
      <c r="AW10" s="12" t="s">
        <v>420</v>
      </c>
      <c r="AX10" s="12" t="s">
        <v>329</v>
      </c>
      <c r="AY10" s="12" t="s">
        <v>330</v>
      </c>
      <c r="AZ10" s="12"/>
      <c r="BA10" s="12"/>
      <c r="BB10" s="12"/>
      <c r="BC10" s="12"/>
      <c r="BD10" s="12" t="s">
        <v>2557</v>
      </c>
      <c r="BE10" s="12" t="s">
        <v>325</v>
      </c>
      <c r="BF10" s="12">
        <v>4813818133</v>
      </c>
      <c r="BG10" s="12" t="s">
        <v>333</v>
      </c>
      <c r="BH10" s="12" t="s">
        <v>362</v>
      </c>
      <c r="BI10" s="12">
        <v>1</v>
      </c>
      <c r="BJ10" s="100">
        <v>41636</v>
      </c>
      <c r="BK10" s="12" t="s">
        <v>3911</v>
      </c>
      <c r="BL10" s="105">
        <f ca="1">(+TODAY()-BJ10)/365</f>
        <v>12.797260273972602</v>
      </c>
      <c r="BM10" s="12"/>
      <c r="BN10" s="12">
        <v>0</v>
      </c>
      <c r="BO10" s="105">
        <v>0</v>
      </c>
      <c r="BP10" s="12"/>
      <c r="BQ10" s="12">
        <v>0</v>
      </c>
      <c r="BR10" s="12">
        <v>0</v>
      </c>
      <c r="BS10" s="12"/>
      <c r="BT10" s="12">
        <v>0</v>
      </c>
      <c r="BU10" s="12">
        <v>0</v>
      </c>
      <c r="BV10" s="12"/>
      <c r="BW10" s="12">
        <v>0</v>
      </c>
      <c r="BX10" s="12">
        <v>0</v>
      </c>
      <c r="BY10" s="12"/>
      <c r="BZ10" s="12">
        <v>0</v>
      </c>
      <c r="CA10" s="12"/>
      <c r="CB10" s="12"/>
      <c r="CC10" s="12"/>
      <c r="CD10" s="78"/>
    </row>
    <row r="11" spans="1:82" ht="13.9" customHeight="1" x14ac:dyDescent="0.2">
      <c r="A11" s="12">
        <v>114</v>
      </c>
      <c r="B11" s="12" t="s">
        <v>4172</v>
      </c>
      <c r="C11" s="106" t="s">
        <v>1390</v>
      </c>
      <c r="D11" s="107" t="s">
        <v>281</v>
      </c>
      <c r="E11" s="99" t="s">
        <v>6481</v>
      </c>
      <c r="F11" s="100">
        <v>40057</v>
      </c>
      <c r="G11" s="100">
        <v>44593</v>
      </c>
      <c r="H11" s="101">
        <f t="shared" si="0"/>
        <v>44683</v>
      </c>
      <c r="I11" s="101" t="s">
        <v>291</v>
      </c>
      <c r="J11" s="12" t="s">
        <v>507</v>
      </c>
      <c r="K11" s="12" t="s">
        <v>446</v>
      </c>
      <c r="L11" s="12" t="s">
        <v>6469</v>
      </c>
      <c r="M11" s="102" t="str">
        <f t="shared" si="1"/>
        <v>MARTINEZ CRUZ MA. DEL CARMEN</v>
      </c>
      <c r="N11" s="102" t="s">
        <v>4548</v>
      </c>
      <c r="O11" s="102" t="s">
        <v>4836</v>
      </c>
      <c r="P11" s="12" t="s">
        <v>1954</v>
      </c>
      <c r="Q11" s="100">
        <v>26222</v>
      </c>
      <c r="R11" s="77">
        <f t="shared" si="2"/>
        <v>16</v>
      </c>
      <c r="S11" s="77">
        <f t="shared" si="3"/>
        <v>10</v>
      </c>
      <c r="T11" s="77">
        <f t="shared" si="4"/>
        <v>1971</v>
      </c>
      <c r="U11" s="103">
        <f t="shared" ca="1" si="5"/>
        <v>55.027397260273972</v>
      </c>
      <c r="V11" s="13" t="s">
        <v>308</v>
      </c>
      <c r="W11" s="13" t="s">
        <v>2247</v>
      </c>
      <c r="X11" s="12" t="s">
        <v>2323</v>
      </c>
      <c r="Y11" s="108" t="s">
        <v>265</v>
      </c>
      <c r="Z11" s="12" t="s">
        <v>263</v>
      </c>
      <c r="AA11" s="12" t="s">
        <v>636</v>
      </c>
      <c r="AB11" s="12" t="s">
        <v>2302</v>
      </c>
      <c r="AC11" s="12" t="s">
        <v>313</v>
      </c>
      <c r="AD11" s="12" t="s">
        <v>349</v>
      </c>
      <c r="AE11" s="12">
        <v>90</v>
      </c>
      <c r="AF11" s="13" t="s">
        <v>375</v>
      </c>
      <c r="AG11" s="12" t="s">
        <v>291</v>
      </c>
      <c r="AH11" s="104" t="s">
        <v>1398</v>
      </c>
      <c r="AI11" s="12" t="s">
        <v>317</v>
      </c>
      <c r="AJ11" s="12" t="s">
        <v>318</v>
      </c>
      <c r="AK11" s="12" t="s">
        <v>2846</v>
      </c>
      <c r="AL11" s="104" t="s">
        <v>3151</v>
      </c>
      <c r="AM11" s="12">
        <v>0</v>
      </c>
      <c r="AN11" s="12">
        <v>0</v>
      </c>
      <c r="AO11" s="12" t="s">
        <v>398</v>
      </c>
      <c r="AP11" s="12"/>
      <c r="AQ11" s="12">
        <v>0</v>
      </c>
      <c r="AR11" s="12">
        <v>0</v>
      </c>
      <c r="AS11" s="12">
        <v>0</v>
      </c>
      <c r="AT11" s="12">
        <v>0</v>
      </c>
      <c r="AU11" s="12">
        <v>0</v>
      </c>
      <c r="AV11" s="12">
        <v>0</v>
      </c>
      <c r="AW11" s="12" t="s">
        <v>328</v>
      </c>
      <c r="AX11" s="12" t="s">
        <v>329</v>
      </c>
      <c r="AY11" s="12" t="s">
        <v>330</v>
      </c>
      <c r="AZ11" s="12"/>
      <c r="BA11" s="12"/>
      <c r="BB11" s="12"/>
      <c r="BC11" s="12"/>
      <c r="BD11" s="12">
        <v>0</v>
      </c>
      <c r="BE11" s="12">
        <v>0</v>
      </c>
      <c r="BF11" s="12" t="s">
        <v>3797</v>
      </c>
      <c r="BG11" s="12" t="s">
        <v>362</v>
      </c>
      <c r="BH11" s="12" t="s">
        <v>362</v>
      </c>
      <c r="BI11" s="12">
        <v>1</v>
      </c>
      <c r="BJ11" s="12"/>
      <c r="BK11" s="12"/>
      <c r="BL11" s="105"/>
      <c r="BM11" s="12"/>
      <c r="BN11" s="12"/>
      <c r="BO11" s="105"/>
      <c r="BP11" s="12"/>
      <c r="BQ11" s="12"/>
      <c r="BR11" s="12"/>
      <c r="BS11" s="12"/>
      <c r="BT11" s="12"/>
      <c r="BU11" s="12"/>
      <c r="BV11" s="12"/>
      <c r="BW11" s="12"/>
      <c r="BX11" s="12"/>
      <c r="BY11" s="12"/>
      <c r="BZ11" s="12"/>
      <c r="CA11" s="12"/>
      <c r="CB11" s="12"/>
      <c r="CC11" s="12"/>
      <c r="CD11" s="78"/>
    </row>
    <row r="12" spans="1:82" ht="13.9" customHeight="1" x14ac:dyDescent="0.2">
      <c r="A12" s="107">
        <v>116</v>
      </c>
      <c r="B12" s="107" t="s">
        <v>3964</v>
      </c>
      <c r="C12" s="104" t="s">
        <v>299</v>
      </c>
      <c r="D12" s="99" t="s">
        <v>80</v>
      </c>
      <c r="E12" s="99" t="s">
        <v>1620</v>
      </c>
      <c r="F12" s="100">
        <v>40071</v>
      </c>
      <c r="G12" s="117">
        <v>44396</v>
      </c>
      <c r="H12" s="101">
        <f t="shared" si="0"/>
        <v>44486</v>
      </c>
      <c r="I12" s="101" t="s">
        <v>290</v>
      </c>
      <c r="J12" s="12" t="s">
        <v>1350</v>
      </c>
      <c r="K12" s="12" t="s">
        <v>507</v>
      </c>
      <c r="L12" s="12" t="s">
        <v>1703</v>
      </c>
      <c r="M12" s="102" t="str">
        <f t="shared" si="1"/>
        <v>GAYTAN MARTINEZ JOSE LUIS</v>
      </c>
      <c r="N12" s="102" t="s">
        <v>6825</v>
      </c>
      <c r="O12" s="102" t="s">
        <v>4550</v>
      </c>
      <c r="P12" s="12" t="s">
        <v>1953</v>
      </c>
      <c r="Q12" s="100">
        <v>31442</v>
      </c>
      <c r="R12" s="77">
        <f t="shared" si="2"/>
        <v>30</v>
      </c>
      <c r="S12" s="77">
        <f t="shared" si="3"/>
        <v>1</v>
      </c>
      <c r="T12" s="77">
        <f t="shared" si="4"/>
        <v>1986</v>
      </c>
      <c r="U12" s="103">
        <f t="shared" ca="1" si="5"/>
        <v>40.726027397260275</v>
      </c>
      <c r="V12" s="13" t="s">
        <v>342</v>
      </c>
      <c r="W12" s="13" t="s">
        <v>1960</v>
      </c>
      <c r="X12" s="12" t="s">
        <v>1497</v>
      </c>
      <c r="Y12" s="107" t="s">
        <v>72</v>
      </c>
      <c r="Z12" s="12" t="s">
        <v>73</v>
      </c>
      <c r="AA12" s="12" t="s">
        <v>311</v>
      </c>
      <c r="AB12" s="12" t="s">
        <v>312</v>
      </c>
      <c r="AC12" s="12" t="s">
        <v>313</v>
      </c>
      <c r="AD12" s="12" t="s">
        <v>314</v>
      </c>
      <c r="AE12" s="12">
        <v>90</v>
      </c>
      <c r="AF12" s="13" t="s">
        <v>315</v>
      </c>
      <c r="AG12" s="12" t="s">
        <v>290</v>
      </c>
      <c r="AH12" s="104" t="s">
        <v>316</v>
      </c>
      <c r="AI12" s="12" t="s">
        <v>317</v>
      </c>
      <c r="AJ12" s="12" t="s">
        <v>318</v>
      </c>
      <c r="AK12" s="12" t="s">
        <v>2636</v>
      </c>
      <c r="AL12" s="104" t="s">
        <v>2868</v>
      </c>
      <c r="AM12" s="12" t="s">
        <v>2351</v>
      </c>
      <c r="AN12" s="12" t="s">
        <v>381</v>
      </c>
      <c r="AO12" s="12" t="s">
        <v>398</v>
      </c>
      <c r="AP12" s="12"/>
      <c r="AQ12" s="12">
        <v>0</v>
      </c>
      <c r="AR12" s="12">
        <v>0</v>
      </c>
      <c r="AS12" s="12">
        <v>0</v>
      </c>
      <c r="AT12" s="12">
        <v>0</v>
      </c>
      <c r="AU12" s="12">
        <v>0</v>
      </c>
      <c r="AV12" s="12">
        <v>0</v>
      </c>
      <c r="AW12" s="12" t="s">
        <v>328</v>
      </c>
      <c r="AX12" s="12" t="s">
        <v>329</v>
      </c>
      <c r="AY12" s="12" t="s">
        <v>330</v>
      </c>
      <c r="AZ12" s="12"/>
      <c r="BA12" s="12"/>
      <c r="BB12" s="12"/>
      <c r="BC12" s="12"/>
      <c r="BD12" s="12" t="s">
        <v>2351</v>
      </c>
      <c r="BE12" s="12" t="s">
        <v>381</v>
      </c>
      <c r="BF12" s="12" t="s">
        <v>3583</v>
      </c>
      <c r="BG12" s="12">
        <v>0</v>
      </c>
      <c r="BH12" s="12" t="s">
        <v>334</v>
      </c>
      <c r="BI12" s="12">
        <v>2</v>
      </c>
      <c r="BJ12" s="100">
        <v>38112</v>
      </c>
      <c r="BK12" s="12" t="s">
        <v>3911</v>
      </c>
      <c r="BL12" s="105" t="s">
        <v>3912</v>
      </c>
      <c r="BM12" s="100">
        <v>41161</v>
      </c>
      <c r="BN12" s="12" t="s">
        <v>3911</v>
      </c>
      <c r="BO12" s="105" t="s">
        <v>3913</v>
      </c>
      <c r="BP12" s="12"/>
      <c r="BQ12" s="12">
        <v>0</v>
      </c>
      <c r="BR12" s="12">
        <v>0</v>
      </c>
      <c r="BS12" s="12"/>
      <c r="BT12" s="12">
        <v>0</v>
      </c>
      <c r="BU12" s="12">
        <v>0</v>
      </c>
      <c r="BV12" s="12"/>
      <c r="BW12" s="12">
        <v>0</v>
      </c>
      <c r="BX12" s="12">
        <v>0</v>
      </c>
      <c r="BY12" s="12"/>
      <c r="BZ12" s="12">
        <v>0</v>
      </c>
      <c r="CA12" s="12"/>
      <c r="CB12" s="12"/>
      <c r="CC12" s="12"/>
      <c r="CD12" s="78"/>
    </row>
    <row r="13" spans="1:82" ht="13.9" customHeight="1" x14ac:dyDescent="0.2">
      <c r="A13" s="107">
        <v>119</v>
      </c>
      <c r="B13" s="107" t="s">
        <v>3965</v>
      </c>
      <c r="C13" s="104" t="s">
        <v>299</v>
      </c>
      <c r="D13" s="99" t="s">
        <v>80</v>
      </c>
      <c r="E13" s="99" t="s">
        <v>6482</v>
      </c>
      <c r="F13" s="100">
        <v>40386</v>
      </c>
      <c r="G13" s="117">
        <v>44396</v>
      </c>
      <c r="H13" s="101">
        <f t="shared" si="0"/>
        <v>44486</v>
      </c>
      <c r="I13" s="101" t="s">
        <v>290</v>
      </c>
      <c r="J13" s="12" t="s">
        <v>4308</v>
      </c>
      <c r="K13" s="12" t="s">
        <v>1044</v>
      </c>
      <c r="L13" s="12" t="s">
        <v>1704</v>
      </c>
      <c r="M13" s="102" t="str">
        <f t="shared" si="1"/>
        <v>JASSO RODRIGUEZ RAUL</v>
      </c>
      <c r="N13" s="102" t="s">
        <v>6826</v>
      </c>
      <c r="O13" s="102" t="s">
        <v>4551</v>
      </c>
      <c r="P13" s="12" t="s">
        <v>1953</v>
      </c>
      <c r="Q13" s="100">
        <v>27770</v>
      </c>
      <c r="R13" s="77">
        <f t="shared" si="2"/>
        <v>11</v>
      </c>
      <c r="S13" s="77">
        <f t="shared" si="3"/>
        <v>1</v>
      </c>
      <c r="T13" s="77">
        <f t="shared" si="4"/>
        <v>1976</v>
      </c>
      <c r="U13" s="103">
        <f t="shared" ca="1" si="5"/>
        <v>50.786301369863011</v>
      </c>
      <c r="V13" s="13" t="s">
        <v>342</v>
      </c>
      <c r="W13" s="13" t="s">
        <v>1961</v>
      </c>
      <c r="X13" s="12" t="s">
        <v>1497</v>
      </c>
      <c r="Y13" s="108" t="s">
        <v>74</v>
      </c>
      <c r="Z13" s="12" t="s">
        <v>73</v>
      </c>
      <c r="AA13" s="12" t="s">
        <v>311</v>
      </c>
      <c r="AB13" s="12" t="s">
        <v>312</v>
      </c>
      <c r="AC13" s="12" t="s">
        <v>313</v>
      </c>
      <c r="AD13" s="12" t="s">
        <v>314</v>
      </c>
      <c r="AE13" s="12">
        <v>90</v>
      </c>
      <c r="AF13" s="13" t="s">
        <v>315</v>
      </c>
      <c r="AG13" s="12" t="s">
        <v>290</v>
      </c>
      <c r="AH13" s="104" t="s">
        <v>316</v>
      </c>
      <c r="AI13" s="12" t="s">
        <v>317</v>
      </c>
      <c r="AJ13" s="12" t="s">
        <v>318</v>
      </c>
      <c r="AK13" s="12" t="s">
        <v>2637</v>
      </c>
      <c r="AL13" s="104" t="s">
        <v>2869</v>
      </c>
      <c r="AM13" s="12" t="s">
        <v>2352</v>
      </c>
      <c r="AN13" s="12" t="s">
        <v>832</v>
      </c>
      <c r="AO13" s="12" t="s">
        <v>398</v>
      </c>
      <c r="AP13" s="12"/>
      <c r="AQ13" s="12">
        <v>0</v>
      </c>
      <c r="AR13" s="12">
        <v>0</v>
      </c>
      <c r="AS13" s="12">
        <v>0</v>
      </c>
      <c r="AT13" s="12">
        <v>0</v>
      </c>
      <c r="AU13" s="12">
        <v>0</v>
      </c>
      <c r="AV13" s="12">
        <v>0</v>
      </c>
      <c r="AW13" s="12" t="s">
        <v>328</v>
      </c>
      <c r="AX13" s="12" t="s">
        <v>329</v>
      </c>
      <c r="AY13" s="12" t="s">
        <v>330</v>
      </c>
      <c r="AZ13" s="12"/>
      <c r="BA13" s="12"/>
      <c r="BB13" s="12"/>
      <c r="BC13" s="12"/>
      <c r="BD13" s="12" t="s">
        <v>2352</v>
      </c>
      <c r="BE13" s="12" t="s">
        <v>832</v>
      </c>
      <c r="BF13" s="12" t="s">
        <v>3584</v>
      </c>
      <c r="BG13" s="12" t="s">
        <v>333</v>
      </c>
      <c r="BH13" s="12" t="s">
        <v>334</v>
      </c>
      <c r="BI13" s="12">
        <v>4</v>
      </c>
      <c r="BJ13" s="118">
        <v>45814</v>
      </c>
      <c r="BK13" s="12" t="s">
        <v>3911</v>
      </c>
      <c r="BL13" s="105" t="s">
        <v>3914</v>
      </c>
      <c r="BM13" s="100">
        <v>37932</v>
      </c>
      <c r="BN13" s="12" t="s">
        <v>3911</v>
      </c>
      <c r="BO13" s="105" t="s">
        <v>3915</v>
      </c>
      <c r="BP13" s="100">
        <v>45353</v>
      </c>
      <c r="BQ13" s="12" t="s">
        <v>3911</v>
      </c>
      <c r="BR13" s="12" t="s">
        <v>3929</v>
      </c>
      <c r="BS13" s="100">
        <v>45959</v>
      </c>
      <c r="BT13" s="12" t="s">
        <v>3911</v>
      </c>
      <c r="BU13" s="12"/>
      <c r="BV13" s="12"/>
      <c r="BW13" s="12" t="s">
        <v>3911</v>
      </c>
      <c r="BX13" s="12">
        <v>0</v>
      </c>
      <c r="BY13" s="12"/>
      <c r="BZ13" s="12">
        <v>0</v>
      </c>
      <c r="CA13" s="12"/>
      <c r="CB13" s="12"/>
      <c r="CC13" s="12"/>
      <c r="CD13" s="78"/>
    </row>
    <row r="14" spans="1:82" ht="13.9" customHeight="1" x14ac:dyDescent="0.2">
      <c r="A14" s="107">
        <v>120</v>
      </c>
      <c r="B14" s="107" t="s">
        <v>3966</v>
      </c>
      <c r="C14" s="104" t="s">
        <v>299</v>
      </c>
      <c r="D14" s="99" t="s">
        <v>80</v>
      </c>
      <c r="E14" s="99" t="s">
        <v>1621</v>
      </c>
      <c r="F14" s="100">
        <v>40400</v>
      </c>
      <c r="G14" s="117">
        <v>44396</v>
      </c>
      <c r="H14" s="101">
        <f t="shared" si="0"/>
        <v>44486</v>
      </c>
      <c r="I14" s="101" t="s">
        <v>290</v>
      </c>
      <c r="J14" s="12" t="s">
        <v>4309</v>
      </c>
      <c r="K14" s="12" t="s">
        <v>4364</v>
      </c>
      <c r="L14" s="12" t="s">
        <v>1705</v>
      </c>
      <c r="M14" s="102" t="str">
        <f t="shared" si="1"/>
        <v>SALAS MEDINA JUAN RAMON</v>
      </c>
      <c r="N14" s="102" t="s">
        <v>6827</v>
      </c>
      <c r="O14" s="102" t="s">
        <v>4552</v>
      </c>
      <c r="P14" s="12" t="s">
        <v>1953</v>
      </c>
      <c r="Q14" s="100">
        <v>24591</v>
      </c>
      <c r="R14" s="77">
        <f t="shared" si="2"/>
        <v>29</v>
      </c>
      <c r="S14" s="77">
        <f t="shared" si="3"/>
        <v>4</v>
      </c>
      <c r="T14" s="77">
        <f t="shared" si="4"/>
        <v>1967</v>
      </c>
      <c r="U14" s="103">
        <f t="shared" ca="1" si="5"/>
        <v>59.495890410958907</v>
      </c>
      <c r="V14" s="13" t="s">
        <v>342</v>
      </c>
      <c r="W14" s="13" t="s">
        <v>1962</v>
      </c>
      <c r="X14" s="12" t="s">
        <v>1497</v>
      </c>
      <c r="Y14" s="108" t="s">
        <v>75</v>
      </c>
      <c r="Z14" s="12" t="s">
        <v>73</v>
      </c>
      <c r="AA14" s="12" t="s">
        <v>311</v>
      </c>
      <c r="AB14" s="12" t="s">
        <v>312</v>
      </c>
      <c r="AC14" s="12" t="s">
        <v>313</v>
      </c>
      <c r="AD14" s="12" t="s">
        <v>314</v>
      </c>
      <c r="AE14" s="12">
        <v>90</v>
      </c>
      <c r="AF14" s="13" t="s">
        <v>315</v>
      </c>
      <c r="AG14" s="12" t="s">
        <v>290</v>
      </c>
      <c r="AH14" s="104" t="s">
        <v>316</v>
      </c>
      <c r="AI14" s="12" t="s">
        <v>317</v>
      </c>
      <c r="AJ14" s="12" t="s">
        <v>318</v>
      </c>
      <c r="AK14" s="12">
        <v>4446544796</v>
      </c>
      <c r="AL14" s="104" t="s">
        <v>2870</v>
      </c>
      <c r="AM14" s="12" t="s">
        <v>2353</v>
      </c>
      <c r="AN14" s="12" t="s">
        <v>381</v>
      </c>
      <c r="AO14" s="12" t="s">
        <v>398</v>
      </c>
      <c r="AP14" s="12"/>
      <c r="AQ14" s="12">
        <v>0</v>
      </c>
      <c r="AR14" s="12">
        <v>0</v>
      </c>
      <c r="AS14" s="12">
        <v>0</v>
      </c>
      <c r="AT14" s="12">
        <v>0</v>
      </c>
      <c r="AU14" s="12">
        <v>0</v>
      </c>
      <c r="AV14" s="12">
        <v>0</v>
      </c>
      <c r="AW14" s="12" t="s">
        <v>328</v>
      </c>
      <c r="AX14" s="12" t="s">
        <v>329</v>
      </c>
      <c r="AY14" s="12" t="s">
        <v>330</v>
      </c>
      <c r="AZ14" s="12"/>
      <c r="BA14" s="12"/>
      <c r="BB14" s="12"/>
      <c r="BC14" s="12"/>
      <c r="BD14" s="12" t="s">
        <v>2353</v>
      </c>
      <c r="BE14" s="12" t="s">
        <v>381</v>
      </c>
      <c r="BF14" s="12" t="s">
        <v>3585</v>
      </c>
      <c r="BG14" s="12" t="s">
        <v>1349</v>
      </c>
      <c r="BH14" s="12" t="s">
        <v>334</v>
      </c>
      <c r="BI14" s="12">
        <v>1</v>
      </c>
      <c r="BJ14" s="100">
        <v>33085</v>
      </c>
      <c r="BK14" s="12" t="s">
        <v>3911</v>
      </c>
      <c r="BL14" s="105" t="s">
        <v>3916</v>
      </c>
      <c r="BM14" s="12"/>
      <c r="BN14" s="12">
        <v>0</v>
      </c>
      <c r="BO14" s="105">
        <v>0</v>
      </c>
      <c r="BP14" s="12"/>
      <c r="BQ14" s="12">
        <v>0</v>
      </c>
      <c r="BR14" s="12">
        <v>0</v>
      </c>
      <c r="BS14" s="12"/>
      <c r="BT14" s="12">
        <v>0</v>
      </c>
      <c r="BU14" s="12">
        <v>0</v>
      </c>
      <c r="BV14" s="12"/>
      <c r="BW14" s="12">
        <v>0</v>
      </c>
      <c r="BX14" s="12">
        <v>0</v>
      </c>
      <c r="BY14" s="12"/>
      <c r="BZ14" s="12">
        <v>0</v>
      </c>
      <c r="CA14" s="12"/>
      <c r="CB14" s="12"/>
      <c r="CC14" s="12"/>
      <c r="CD14" s="78"/>
    </row>
    <row r="15" spans="1:82" ht="13.9" customHeight="1" x14ac:dyDescent="0.2">
      <c r="A15" s="12">
        <v>121</v>
      </c>
      <c r="B15" s="12" t="s">
        <v>4218</v>
      </c>
      <c r="C15" s="104" t="s">
        <v>299</v>
      </c>
      <c r="D15" s="99" t="s">
        <v>80</v>
      </c>
      <c r="E15" s="99" t="s">
        <v>6734</v>
      </c>
      <c r="F15" s="100">
        <v>40568</v>
      </c>
      <c r="G15" s="100">
        <v>44593</v>
      </c>
      <c r="H15" s="101">
        <f t="shared" si="0"/>
        <v>44683</v>
      </c>
      <c r="I15" s="101" t="s">
        <v>291</v>
      </c>
      <c r="J15" s="12" t="s">
        <v>365</v>
      </c>
      <c r="K15" s="12" t="s">
        <v>4335</v>
      </c>
      <c r="L15" s="12" t="s">
        <v>1710</v>
      </c>
      <c r="M15" s="102" t="str">
        <f t="shared" si="1"/>
        <v>RODRIGUEZ  RAMOS FRANCISCO JAVIER</v>
      </c>
      <c r="N15" s="102" t="s">
        <v>7139</v>
      </c>
      <c r="O15" s="102" t="s">
        <v>4721</v>
      </c>
      <c r="P15" s="12" t="s">
        <v>1953</v>
      </c>
      <c r="Q15" s="100">
        <v>25091</v>
      </c>
      <c r="R15" s="77">
        <f t="shared" si="2"/>
        <v>10</v>
      </c>
      <c r="S15" s="77">
        <f t="shared" si="3"/>
        <v>9</v>
      </c>
      <c r="T15" s="77">
        <f t="shared" si="4"/>
        <v>1968</v>
      </c>
      <c r="U15" s="103">
        <f t="shared" ca="1" si="5"/>
        <v>58.126027397260273</v>
      </c>
      <c r="V15" s="13" t="s">
        <v>452</v>
      </c>
      <c r="W15" s="13" t="s">
        <v>2132</v>
      </c>
      <c r="X15" s="12" t="s">
        <v>1497</v>
      </c>
      <c r="Y15" s="119" t="s">
        <v>172</v>
      </c>
      <c r="Z15" s="12" t="s">
        <v>170</v>
      </c>
      <c r="AA15" s="12" t="s">
        <v>636</v>
      </c>
      <c r="AB15" s="12" t="s">
        <v>2300</v>
      </c>
      <c r="AC15" s="12" t="s">
        <v>313</v>
      </c>
      <c r="AD15" s="12" t="s">
        <v>314</v>
      </c>
      <c r="AE15" s="12">
        <v>90</v>
      </c>
      <c r="AF15" s="13" t="s">
        <v>315</v>
      </c>
      <c r="AG15" s="12" t="s">
        <v>291</v>
      </c>
      <c r="AH15" s="104" t="s">
        <v>316</v>
      </c>
      <c r="AI15" s="12" t="s">
        <v>317</v>
      </c>
      <c r="AJ15" s="12" t="s">
        <v>318</v>
      </c>
      <c r="AK15" s="12">
        <v>4441950406</v>
      </c>
      <c r="AL15" s="104" t="s">
        <v>3038</v>
      </c>
      <c r="AM15" s="12" t="s">
        <v>2509</v>
      </c>
      <c r="AN15" s="12" t="s">
        <v>3179</v>
      </c>
      <c r="AO15" s="12" t="s">
        <v>398</v>
      </c>
      <c r="AP15" s="12"/>
      <c r="AQ15" s="12">
        <v>0</v>
      </c>
      <c r="AR15" s="12">
        <v>0</v>
      </c>
      <c r="AS15" s="12">
        <v>0</v>
      </c>
      <c r="AT15" s="12">
        <v>0</v>
      </c>
      <c r="AU15" s="12">
        <v>0</v>
      </c>
      <c r="AV15" s="12">
        <v>0</v>
      </c>
      <c r="AW15" s="12" t="s">
        <v>328</v>
      </c>
      <c r="AX15" s="12" t="s">
        <v>329</v>
      </c>
      <c r="AY15" s="12" t="s">
        <v>330</v>
      </c>
      <c r="AZ15" s="12"/>
      <c r="BA15" s="12"/>
      <c r="BB15" s="12"/>
      <c r="BC15" s="12"/>
      <c r="BD15" s="12" t="s">
        <v>3515</v>
      </c>
      <c r="BE15" s="12" t="s">
        <v>461</v>
      </c>
      <c r="BF15" s="12" t="s">
        <v>3701</v>
      </c>
      <c r="BG15" s="12" t="s">
        <v>333</v>
      </c>
      <c r="BH15" s="12" t="s">
        <v>334</v>
      </c>
      <c r="BI15" s="12">
        <v>4</v>
      </c>
      <c r="BJ15" s="12" t="s">
        <v>3876</v>
      </c>
      <c r="BK15" s="12" t="s">
        <v>3911</v>
      </c>
      <c r="BL15" s="105" t="s">
        <v>3948</v>
      </c>
      <c r="BM15" s="12"/>
      <c r="BN15" s="12" t="s">
        <v>571</v>
      </c>
      <c r="BO15" s="105" t="s">
        <v>3949</v>
      </c>
      <c r="BP15" s="12"/>
      <c r="BQ15" s="12" t="s">
        <v>3911</v>
      </c>
      <c r="BR15" s="12" t="s">
        <v>3925</v>
      </c>
      <c r="BS15" s="12"/>
      <c r="BT15" s="12" t="s">
        <v>571</v>
      </c>
      <c r="BU15" s="12"/>
      <c r="BV15" s="12"/>
      <c r="BW15" s="12" t="s">
        <v>571</v>
      </c>
      <c r="BX15" s="12">
        <v>0</v>
      </c>
      <c r="BY15" s="12"/>
      <c r="BZ15" s="12"/>
      <c r="CA15" s="12"/>
      <c r="CB15" s="12"/>
      <c r="CC15" s="12"/>
      <c r="CD15" s="78"/>
    </row>
    <row r="16" spans="1:82" ht="13.9" customHeight="1" x14ac:dyDescent="0.25">
      <c r="A16" s="108">
        <v>122</v>
      </c>
      <c r="B16" s="108" t="s">
        <v>4173</v>
      </c>
      <c r="C16" s="106" t="s">
        <v>1390</v>
      </c>
      <c r="D16" s="107" t="s">
        <v>281</v>
      </c>
      <c r="E16" s="28">
        <v>41057502274</v>
      </c>
      <c r="F16" s="100">
        <v>40747</v>
      </c>
      <c r="G16" s="100">
        <v>44546</v>
      </c>
      <c r="H16" s="101">
        <f t="shared" si="0"/>
        <v>44636</v>
      </c>
      <c r="I16" s="101" t="s">
        <v>291</v>
      </c>
      <c r="J16" s="12" t="s">
        <v>366</v>
      </c>
      <c r="K16" s="12" t="s">
        <v>366</v>
      </c>
      <c r="L16" s="12" t="s">
        <v>1930</v>
      </c>
      <c r="M16" s="102" t="str">
        <f t="shared" si="1"/>
        <v>HERNANDEZ HERNANDEZ MA DE LOURDES ERIKA</v>
      </c>
      <c r="N16" s="66" t="s">
        <v>4549</v>
      </c>
      <c r="O16" s="102" t="s">
        <v>4837</v>
      </c>
      <c r="P16" s="12" t="s">
        <v>1954</v>
      </c>
      <c r="Q16" s="100">
        <v>27436</v>
      </c>
      <c r="R16" s="77">
        <f t="shared" si="2"/>
        <v>11</v>
      </c>
      <c r="S16" s="77">
        <f t="shared" si="3"/>
        <v>2</v>
      </c>
      <c r="T16" s="77">
        <f t="shared" si="4"/>
        <v>1975</v>
      </c>
      <c r="U16" s="103">
        <f t="shared" ca="1" si="5"/>
        <v>51.701369863013696</v>
      </c>
      <c r="V16" s="13" t="s">
        <v>1450</v>
      </c>
      <c r="W16" s="13" t="s">
        <v>2248</v>
      </c>
      <c r="X16" s="12">
        <v>0</v>
      </c>
      <c r="Y16" s="108" t="s">
        <v>266</v>
      </c>
      <c r="Z16" s="12" t="s">
        <v>263</v>
      </c>
      <c r="AA16" s="12" t="s">
        <v>636</v>
      </c>
      <c r="AB16" s="12" t="s">
        <v>2314</v>
      </c>
      <c r="AC16" s="12" t="s">
        <v>313</v>
      </c>
      <c r="AD16" s="12" t="s">
        <v>349</v>
      </c>
      <c r="AE16" s="12">
        <v>90</v>
      </c>
      <c r="AF16" s="13" t="s">
        <v>375</v>
      </c>
      <c r="AG16" s="12" t="s">
        <v>290</v>
      </c>
      <c r="AH16" s="104" t="s">
        <v>1398</v>
      </c>
      <c r="AI16" s="12" t="s">
        <v>317</v>
      </c>
      <c r="AJ16" s="12" t="s">
        <v>318</v>
      </c>
      <c r="AK16" s="12">
        <v>4441467596</v>
      </c>
      <c r="AL16" s="104" t="s">
        <v>3152</v>
      </c>
      <c r="AM16" s="12">
        <v>0</v>
      </c>
      <c r="AN16" s="12">
        <v>0</v>
      </c>
      <c r="AO16" s="12" t="s">
        <v>398</v>
      </c>
      <c r="AP16" s="12"/>
      <c r="AQ16" s="12">
        <v>0</v>
      </c>
      <c r="AR16" s="12">
        <v>0</v>
      </c>
      <c r="AS16" s="12">
        <v>0</v>
      </c>
      <c r="AT16" s="12">
        <v>0</v>
      </c>
      <c r="AU16" s="12">
        <v>0</v>
      </c>
      <c r="AV16" s="12">
        <v>0</v>
      </c>
      <c r="AW16" s="12" t="s">
        <v>328</v>
      </c>
      <c r="AX16" s="12" t="s">
        <v>329</v>
      </c>
      <c r="AY16" s="12" t="s">
        <v>330</v>
      </c>
      <c r="AZ16" s="12"/>
      <c r="BA16" s="12"/>
      <c r="BB16" s="12"/>
      <c r="BC16" s="12"/>
      <c r="BD16" s="12">
        <v>0</v>
      </c>
      <c r="BE16" s="12">
        <v>0</v>
      </c>
      <c r="BF16" s="12">
        <v>0</v>
      </c>
      <c r="BG16" s="12">
        <v>0</v>
      </c>
      <c r="BH16" s="12">
        <v>0</v>
      </c>
      <c r="BI16" s="12">
        <v>2</v>
      </c>
      <c r="BJ16" s="12" t="s">
        <v>3831</v>
      </c>
      <c r="BK16" s="12"/>
      <c r="BL16" s="105"/>
      <c r="BM16" s="12"/>
      <c r="BN16" s="12"/>
      <c r="BO16" s="105"/>
      <c r="BP16" s="12"/>
      <c r="BQ16" s="12"/>
      <c r="BR16" s="12"/>
      <c r="BS16" s="12"/>
      <c r="BT16" s="12"/>
      <c r="BU16" s="12"/>
      <c r="BV16" s="12"/>
      <c r="BW16" s="12"/>
      <c r="BX16" s="12"/>
      <c r="BY16" s="12"/>
      <c r="BZ16" s="12"/>
      <c r="CA16" s="12"/>
      <c r="CB16" s="12"/>
      <c r="CC16" s="12"/>
      <c r="CD16" s="78"/>
    </row>
    <row r="17" spans="1:82" ht="13.9" customHeight="1" x14ac:dyDescent="0.2">
      <c r="A17" s="12">
        <v>123</v>
      </c>
      <c r="B17" s="12" t="s">
        <v>4042</v>
      </c>
      <c r="C17" s="78" t="s">
        <v>335</v>
      </c>
      <c r="D17" s="99" t="s">
        <v>86</v>
      </c>
      <c r="E17" s="99" t="s">
        <v>6483</v>
      </c>
      <c r="F17" s="100">
        <v>40770</v>
      </c>
      <c r="G17" s="100">
        <v>44921</v>
      </c>
      <c r="H17" s="101">
        <f t="shared" si="0"/>
        <v>45011</v>
      </c>
      <c r="I17" s="101" t="s">
        <v>290</v>
      </c>
      <c r="J17" s="12" t="s">
        <v>1236</v>
      </c>
      <c r="K17" s="12" t="s">
        <v>4492</v>
      </c>
      <c r="L17" s="12" t="s">
        <v>1814</v>
      </c>
      <c r="M17" s="102" t="str">
        <f t="shared" si="1"/>
        <v>GUERRERO NERI JUAN</v>
      </c>
      <c r="N17" s="102" t="s">
        <v>6828</v>
      </c>
      <c r="O17" s="102" t="s">
        <v>4689</v>
      </c>
      <c r="P17" s="12" t="s">
        <v>1953</v>
      </c>
      <c r="Q17" s="100">
        <v>29150</v>
      </c>
      <c r="R17" s="77">
        <f t="shared" si="2"/>
        <v>22</v>
      </c>
      <c r="S17" s="77">
        <f t="shared" si="3"/>
        <v>10</v>
      </c>
      <c r="T17" s="77">
        <f t="shared" si="4"/>
        <v>1979</v>
      </c>
      <c r="U17" s="103">
        <f t="shared" ca="1" si="5"/>
        <v>47.005479452054793</v>
      </c>
      <c r="V17" s="13" t="s">
        <v>342</v>
      </c>
      <c r="W17" s="13" t="s">
        <v>2100</v>
      </c>
      <c r="X17" s="12" t="s">
        <v>1497</v>
      </c>
      <c r="Y17" s="12" t="s">
        <v>121</v>
      </c>
      <c r="Z17" s="12" t="s">
        <v>152</v>
      </c>
      <c r="AA17" s="12" t="s">
        <v>2271</v>
      </c>
      <c r="AB17" s="12" t="s">
        <v>842</v>
      </c>
      <c r="AC17" s="12" t="s">
        <v>313</v>
      </c>
      <c r="AD17" s="12" t="s">
        <v>349</v>
      </c>
      <c r="AE17" s="12">
        <v>90</v>
      </c>
      <c r="AF17" s="13" t="s">
        <v>315</v>
      </c>
      <c r="AG17" s="12" t="s">
        <v>290</v>
      </c>
      <c r="AH17" s="104" t="s">
        <v>2342</v>
      </c>
      <c r="AI17" s="12" t="s">
        <v>317</v>
      </c>
      <c r="AJ17" s="12" t="s">
        <v>318</v>
      </c>
      <c r="AK17" s="12">
        <v>4448369934</v>
      </c>
      <c r="AL17" s="104" t="s">
        <v>3006</v>
      </c>
      <c r="AM17" s="12">
        <v>0</v>
      </c>
      <c r="AN17" s="12">
        <v>0</v>
      </c>
      <c r="AO17" s="12" t="s">
        <v>398</v>
      </c>
      <c r="AP17" s="12"/>
      <c r="AQ17" s="12">
        <v>0</v>
      </c>
      <c r="AR17" s="12">
        <v>0</v>
      </c>
      <c r="AS17" s="12">
        <v>0</v>
      </c>
      <c r="AT17" s="12">
        <v>0</v>
      </c>
      <c r="AU17" s="12">
        <v>0</v>
      </c>
      <c r="AV17" s="12">
        <v>0</v>
      </c>
      <c r="AW17" s="12" t="s">
        <v>328</v>
      </c>
      <c r="AX17" s="12" t="s">
        <v>329</v>
      </c>
      <c r="AY17" s="12" t="s">
        <v>330</v>
      </c>
      <c r="AZ17" s="12"/>
      <c r="BA17" s="12"/>
      <c r="BB17" s="12"/>
      <c r="BC17" s="12"/>
      <c r="BD17" s="12" t="s">
        <v>3500</v>
      </c>
      <c r="BE17" s="12" t="s">
        <v>381</v>
      </c>
      <c r="BF17" s="12" t="s">
        <v>3679</v>
      </c>
      <c r="BG17" s="12" t="s">
        <v>362</v>
      </c>
      <c r="BH17" s="12" t="s">
        <v>362</v>
      </c>
      <c r="BI17" s="12">
        <v>3</v>
      </c>
      <c r="BJ17" s="100">
        <v>36546</v>
      </c>
      <c r="BK17" s="12" t="s">
        <v>3888</v>
      </c>
      <c r="BL17" s="105">
        <f ca="1">(+TODAY()-BJ17)/365</f>
        <v>26.742465753424657</v>
      </c>
      <c r="BM17" s="100">
        <v>37528</v>
      </c>
      <c r="BN17" s="12" t="s">
        <v>3888</v>
      </c>
      <c r="BO17" s="105">
        <f ca="1">(+TODAY()-BM17)/365</f>
        <v>24.052054794520547</v>
      </c>
      <c r="BP17" s="100">
        <v>38974</v>
      </c>
      <c r="BQ17" s="12"/>
      <c r="BR17" s="12"/>
      <c r="BS17" s="12"/>
      <c r="BT17" s="12"/>
      <c r="BU17" s="12"/>
      <c r="BV17" s="12"/>
      <c r="BW17" s="12"/>
      <c r="BX17" s="12"/>
      <c r="BY17" s="12"/>
      <c r="BZ17" s="12"/>
      <c r="CA17" s="12"/>
      <c r="CB17" s="12"/>
      <c r="CC17" s="12"/>
      <c r="CD17" s="78"/>
    </row>
    <row r="18" spans="1:82" s="116" customFormat="1" ht="13.9" customHeight="1" x14ac:dyDescent="0.2">
      <c r="A18" s="109">
        <v>747</v>
      </c>
      <c r="B18" s="109" t="s">
        <v>4104</v>
      </c>
      <c r="C18" s="110" t="s">
        <v>335</v>
      </c>
      <c r="D18" s="111" t="s">
        <v>86</v>
      </c>
      <c r="E18" s="111" t="s">
        <v>6735</v>
      </c>
      <c r="F18" s="112">
        <v>40770</v>
      </c>
      <c r="G18" s="112">
        <v>45593</v>
      </c>
      <c r="H18" s="113">
        <f t="shared" si="0"/>
        <v>45683</v>
      </c>
      <c r="I18" s="113" t="s">
        <v>290</v>
      </c>
      <c r="J18" s="109" t="s">
        <v>4378</v>
      </c>
      <c r="K18" s="109" t="s">
        <v>4385</v>
      </c>
      <c r="L18" s="109" t="s">
        <v>1823</v>
      </c>
      <c r="M18" s="128" t="str">
        <f t="shared" si="1"/>
        <v>RAMOS  ROCHA JESUS DANIEL</v>
      </c>
      <c r="N18" s="128" t="s">
        <v>7140</v>
      </c>
      <c r="O18" s="128" t="s">
        <v>4700</v>
      </c>
      <c r="P18" s="109" t="s">
        <v>1953</v>
      </c>
      <c r="Q18" s="112">
        <v>31445</v>
      </c>
      <c r="R18" s="125">
        <f t="shared" si="2"/>
        <v>2</v>
      </c>
      <c r="S18" s="125">
        <f t="shared" si="3"/>
        <v>2</v>
      </c>
      <c r="T18" s="125">
        <f t="shared" si="4"/>
        <v>1986</v>
      </c>
      <c r="U18" s="142">
        <f t="shared" ca="1" si="5"/>
        <v>40.717808219178082</v>
      </c>
      <c r="V18" s="114" t="s">
        <v>342</v>
      </c>
      <c r="W18" s="114" t="s">
        <v>2111</v>
      </c>
      <c r="X18" s="109" t="s">
        <v>454</v>
      </c>
      <c r="Y18" s="109" t="s">
        <v>159</v>
      </c>
      <c r="Z18" s="109" t="s">
        <v>152</v>
      </c>
      <c r="AA18" s="109" t="s">
        <v>2271</v>
      </c>
      <c r="AB18" s="109" t="s">
        <v>842</v>
      </c>
      <c r="AC18" s="109" t="s">
        <v>313</v>
      </c>
      <c r="AD18" s="109" t="s">
        <v>349</v>
      </c>
      <c r="AE18" s="109">
        <v>90</v>
      </c>
      <c r="AF18" s="114" t="s">
        <v>315</v>
      </c>
      <c r="AG18" s="109" t="s">
        <v>290</v>
      </c>
      <c r="AH18" s="115" t="s">
        <v>2342</v>
      </c>
      <c r="AI18" s="109" t="s">
        <v>317</v>
      </c>
      <c r="AJ18" s="109" t="s">
        <v>318</v>
      </c>
      <c r="AK18" s="109">
        <v>4445463174</v>
      </c>
      <c r="AL18" s="115" t="s">
        <v>3017</v>
      </c>
      <c r="AM18" s="109" t="s">
        <v>2488</v>
      </c>
      <c r="AN18" s="109" t="s">
        <v>381</v>
      </c>
      <c r="AO18" s="109" t="s">
        <v>398</v>
      </c>
      <c r="AP18" s="109"/>
      <c r="AQ18" s="109" t="s">
        <v>3279</v>
      </c>
      <c r="AR18" s="109" t="s">
        <v>699</v>
      </c>
      <c r="AS18" s="109" t="s">
        <v>328</v>
      </c>
      <c r="AT18" s="109" t="s">
        <v>3375</v>
      </c>
      <c r="AU18" s="109" t="s">
        <v>483</v>
      </c>
      <c r="AV18" s="109">
        <v>78480</v>
      </c>
      <c r="AW18" s="109" t="s">
        <v>357</v>
      </c>
      <c r="AX18" s="109">
        <v>0</v>
      </c>
      <c r="AY18" s="109" t="s">
        <v>357</v>
      </c>
      <c r="AZ18" s="109"/>
      <c r="BA18" s="109"/>
      <c r="BB18" s="109"/>
      <c r="BC18" s="109"/>
      <c r="BD18" s="109" t="s">
        <v>2488</v>
      </c>
      <c r="BE18" s="109" t="s">
        <v>381</v>
      </c>
      <c r="BF18" s="109">
        <v>4442208268</v>
      </c>
      <c r="BG18" s="109" t="s">
        <v>333</v>
      </c>
      <c r="BH18" s="109" t="s">
        <v>334</v>
      </c>
      <c r="BI18" s="109" t="s">
        <v>3831</v>
      </c>
      <c r="BJ18" s="109" t="s">
        <v>3888</v>
      </c>
      <c r="BK18" s="109" t="s">
        <v>3911</v>
      </c>
      <c r="BL18" s="111">
        <v>13</v>
      </c>
      <c r="BM18" s="109"/>
      <c r="BN18" s="109" t="s">
        <v>571</v>
      </c>
      <c r="BO18" s="111">
        <v>9</v>
      </c>
      <c r="BP18" s="109"/>
      <c r="BQ18" s="109" t="s">
        <v>571</v>
      </c>
      <c r="BR18" s="109">
        <v>6</v>
      </c>
      <c r="BS18" s="109"/>
      <c r="BT18" s="109" t="s">
        <v>571</v>
      </c>
      <c r="BU18" s="109"/>
      <c r="BV18" s="109"/>
      <c r="BW18" s="109" t="s">
        <v>571</v>
      </c>
      <c r="BX18" s="109">
        <v>0</v>
      </c>
      <c r="BY18" s="109"/>
      <c r="BZ18" s="109"/>
      <c r="CA18" s="109"/>
      <c r="CB18" s="109"/>
      <c r="CC18" s="109"/>
      <c r="CD18" s="110"/>
    </row>
    <row r="19" spans="1:82" ht="13.9" customHeight="1" x14ac:dyDescent="0.2">
      <c r="A19" s="12">
        <v>124</v>
      </c>
      <c r="B19" s="12" t="s">
        <v>4219</v>
      </c>
      <c r="C19" s="104" t="s">
        <v>299</v>
      </c>
      <c r="D19" s="99" t="s">
        <v>80</v>
      </c>
      <c r="E19" s="99" t="s">
        <v>1660</v>
      </c>
      <c r="F19" s="100">
        <v>40819</v>
      </c>
      <c r="G19" s="100">
        <v>44621</v>
      </c>
      <c r="H19" s="101">
        <f t="shared" si="0"/>
        <v>44711</v>
      </c>
      <c r="I19" s="101" t="s">
        <v>291</v>
      </c>
      <c r="J19" s="12" t="s">
        <v>960</v>
      </c>
      <c r="K19" s="12" t="s">
        <v>1079</v>
      </c>
      <c r="L19" s="12" t="s">
        <v>1841</v>
      </c>
      <c r="M19" s="102" t="str">
        <f t="shared" si="1"/>
        <v>TORRES CASTILLO MARTHA SILVIA</v>
      </c>
      <c r="N19" s="102" t="s">
        <v>6829</v>
      </c>
      <c r="O19" s="102" t="s">
        <v>4722</v>
      </c>
      <c r="P19" s="12" t="s">
        <v>1954</v>
      </c>
      <c r="Q19" s="100">
        <v>25345</v>
      </c>
      <c r="R19" s="77">
        <f t="shared" si="2"/>
        <v>22</v>
      </c>
      <c r="S19" s="77">
        <f t="shared" si="3"/>
        <v>5</v>
      </c>
      <c r="T19" s="77">
        <f t="shared" si="4"/>
        <v>1969</v>
      </c>
      <c r="U19" s="103">
        <f t="shared" ca="1" si="5"/>
        <v>57.43013698630137</v>
      </c>
      <c r="V19" s="13" t="s">
        <v>308</v>
      </c>
      <c r="W19" s="13" t="s">
        <v>2133</v>
      </c>
      <c r="X19" s="12" t="s">
        <v>1497</v>
      </c>
      <c r="Y19" s="119" t="s">
        <v>173</v>
      </c>
      <c r="Z19" s="12" t="s">
        <v>170</v>
      </c>
      <c r="AA19" s="12" t="s">
        <v>636</v>
      </c>
      <c r="AB19" s="12" t="s">
        <v>1368</v>
      </c>
      <c r="AC19" s="12" t="s">
        <v>313</v>
      </c>
      <c r="AD19" s="12" t="s">
        <v>314</v>
      </c>
      <c r="AE19" s="12">
        <v>90</v>
      </c>
      <c r="AF19" s="13" t="s">
        <v>315</v>
      </c>
      <c r="AG19" s="12" t="s">
        <v>291</v>
      </c>
      <c r="AH19" s="104" t="s">
        <v>316</v>
      </c>
      <c r="AI19" s="12" t="s">
        <v>317</v>
      </c>
      <c r="AJ19" s="12" t="s">
        <v>318</v>
      </c>
      <c r="AK19" s="12" t="s">
        <v>2749</v>
      </c>
      <c r="AL19" s="104" t="s">
        <v>3039</v>
      </c>
      <c r="AM19" s="12" t="s">
        <v>2510</v>
      </c>
      <c r="AN19" s="12" t="s">
        <v>832</v>
      </c>
      <c r="AO19" s="12" t="s">
        <v>398</v>
      </c>
      <c r="AP19" s="12"/>
      <c r="AQ19" s="12">
        <v>0</v>
      </c>
      <c r="AR19" s="12">
        <v>0</v>
      </c>
      <c r="AS19" s="12">
        <v>0</v>
      </c>
      <c r="AT19" s="12">
        <v>0</v>
      </c>
      <c r="AU19" s="12">
        <v>0</v>
      </c>
      <c r="AV19" s="12">
        <v>0</v>
      </c>
      <c r="AW19" s="12" t="s">
        <v>328</v>
      </c>
      <c r="AX19" s="12" t="s">
        <v>329</v>
      </c>
      <c r="AY19" s="12" t="s">
        <v>330</v>
      </c>
      <c r="AZ19" s="12" t="s">
        <v>3425</v>
      </c>
      <c r="BA19" s="12" t="s">
        <v>3439</v>
      </c>
      <c r="BB19" s="100">
        <v>44432</v>
      </c>
      <c r="BC19" s="12" t="s">
        <v>1368</v>
      </c>
      <c r="BD19" s="12" t="s">
        <v>3516</v>
      </c>
      <c r="BE19" s="12" t="s">
        <v>401</v>
      </c>
      <c r="BF19" s="12" t="s">
        <v>3702</v>
      </c>
      <c r="BG19" s="12" t="s">
        <v>333</v>
      </c>
      <c r="BH19" s="12" t="s">
        <v>334</v>
      </c>
      <c r="BI19" s="12">
        <v>1</v>
      </c>
      <c r="BJ19" s="100">
        <v>37946</v>
      </c>
      <c r="BK19" s="12" t="s">
        <v>3911</v>
      </c>
      <c r="BL19" s="105">
        <f ca="1">(+TODAY()-BJ19)/365</f>
        <v>22.906849315068492</v>
      </c>
      <c r="BM19" s="12"/>
      <c r="BN19" s="12">
        <v>0</v>
      </c>
      <c r="BO19" s="105">
        <v>0</v>
      </c>
      <c r="BP19" s="12"/>
      <c r="BQ19" s="12">
        <v>0</v>
      </c>
      <c r="BR19" s="12">
        <v>0</v>
      </c>
      <c r="BS19" s="12"/>
      <c r="BT19" s="12">
        <v>0</v>
      </c>
      <c r="BU19" s="12">
        <v>0</v>
      </c>
      <c r="BV19" s="12"/>
      <c r="BW19" s="12">
        <v>0</v>
      </c>
      <c r="BX19" s="12">
        <v>0</v>
      </c>
      <c r="BY19" s="12"/>
      <c r="BZ19" s="12">
        <v>0</v>
      </c>
      <c r="CA19" s="12"/>
      <c r="CB19" s="12"/>
      <c r="CC19" s="12"/>
      <c r="CD19" s="78"/>
    </row>
    <row r="20" spans="1:82" ht="13.9" customHeight="1" x14ac:dyDescent="0.2">
      <c r="A20" s="12">
        <v>125</v>
      </c>
      <c r="B20" s="12" t="s">
        <v>4174</v>
      </c>
      <c r="C20" s="106" t="s">
        <v>1390</v>
      </c>
      <c r="D20" s="107" t="s">
        <v>281</v>
      </c>
      <c r="E20" s="99" t="s">
        <v>1696</v>
      </c>
      <c r="F20" s="100">
        <v>40940</v>
      </c>
      <c r="G20" s="100">
        <v>44546</v>
      </c>
      <c r="H20" s="101">
        <f t="shared" si="0"/>
        <v>44636</v>
      </c>
      <c r="I20" s="101" t="s">
        <v>291</v>
      </c>
      <c r="J20" s="12" t="s">
        <v>1212</v>
      </c>
      <c r="K20" s="12" t="s">
        <v>1280</v>
      </c>
      <c r="L20" s="12" t="s">
        <v>1931</v>
      </c>
      <c r="M20" s="102" t="str">
        <f t="shared" si="1"/>
        <v>ALVAREZ RAMIREZ ENRIQUE</v>
      </c>
      <c r="N20" s="102" t="s">
        <v>6830</v>
      </c>
      <c r="O20" s="102" t="s">
        <v>4838</v>
      </c>
      <c r="P20" s="12" t="s">
        <v>1953</v>
      </c>
      <c r="Q20" s="100">
        <v>26695</v>
      </c>
      <c r="R20" s="77">
        <f t="shared" si="2"/>
        <v>31</v>
      </c>
      <c r="S20" s="77">
        <f t="shared" si="3"/>
        <v>1</v>
      </c>
      <c r="T20" s="77">
        <f t="shared" si="4"/>
        <v>1973</v>
      </c>
      <c r="U20" s="103">
        <f t="shared" ca="1" si="5"/>
        <v>53.731506849315068</v>
      </c>
      <c r="V20" s="13" t="s">
        <v>342</v>
      </c>
      <c r="W20" s="13" t="s">
        <v>2249</v>
      </c>
      <c r="X20" s="12">
        <v>0</v>
      </c>
      <c r="Y20" s="108" t="s">
        <v>267</v>
      </c>
      <c r="Z20" s="12" t="s">
        <v>263</v>
      </c>
      <c r="AA20" s="12" t="s">
        <v>636</v>
      </c>
      <c r="AB20" s="12" t="s">
        <v>2284</v>
      </c>
      <c r="AC20" s="12" t="s">
        <v>313</v>
      </c>
      <c r="AD20" s="12" t="s">
        <v>349</v>
      </c>
      <c r="AE20" s="12">
        <v>90</v>
      </c>
      <c r="AF20" s="13" t="s">
        <v>375</v>
      </c>
      <c r="AG20" s="12" t="s">
        <v>291</v>
      </c>
      <c r="AH20" s="104" t="s">
        <v>1398</v>
      </c>
      <c r="AI20" s="12" t="s">
        <v>317</v>
      </c>
      <c r="AJ20" s="12" t="s">
        <v>318</v>
      </c>
      <c r="AK20" s="12" t="s">
        <v>2847</v>
      </c>
      <c r="AL20" s="104" t="s">
        <v>3153</v>
      </c>
      <c r="AM20" s="12">
        <v>0</v>
      </c>
      <c r="AN20" s="12">
        <v>0</v>
      </c>
      <c r="AO20" s="12" t="s">
        <v>398</v>
      </c>
      <c r="AP20" s="12"/>
      <c r="AQ20" s="12">
        <v>0</v>
      </c>
      <c r="AR20" s="12">
        <v>0</v>
      </c>
      <c r="AS20" s="12">
        <v>0</v>
      </c>
      <c r="AT20" s="12">
        <v>0</v>
      </c>
      <c r="AU20" s="12">
        <v>0</v>
      </c>
      <c r="AV20" s="12">
        <v>0</v>
      </c>
      <c r="AW20" s="12" t="s">
        <v>328</v>
      </c>
      <c r="AX20" s="12" t="s">
        <v>329</v>
      </c>
      <c r="AY20" s="12" t="s">
        <v>330</v>
      </c>
      <c r="AZ20" s="12"/>
      <c r="BA20" s="12"/>
      <c r="BB20" s="12"/>
      <c r="BC20" s="12"/>
      <c r="BD20" s="12">
        <v>0</v>
      </c>
      <c r="BE20" s="12">
        <v>0</v>
      </c>
      <c r="BF20" s="12">
        <v>0</v>
      </c>
      <c r="BG20" s="12" t="s">
        <v>362</v>
      </c>
      <c r="BH20" s="12" t="s">
        <v>362</v>
      </c>
      <c r="BI20" s="12">
        <v>1</v>
      </c>
      <c r="BJ20" s="12"/>
      <c r="BK20" s="12"/>
      <c r="BL20" s="105"/>
      <c r="BM20" s="12"/>
      <c r="BN20" s="12"/>
      <c r="BO20" s="105"/>
      <c r="BP20" s="12"/>
      <c r="BQ20" s="12"/>
      <c r="BR20" s="12"/>
      <c r="BS20" s="12"/>
      <c r="BT20" s="12"/>
      <c r="BU20" s="12"/>
      <c r="BV20" s="12"/>
      <c r="BW20" s="12"/>
      <c r="BX20" s="12"/>
      <c r="BY20" s="12"/>
      <c r="BZ20" s="12"/>
      <c r="CA20" s="12"/>
      <c r="CB20" s="12"/>
      <c r="CC20" s="12"/>
      <c r="CD20" s="78"/>
    </row>
    <row r="21" spans="1:82" ht="13.9" customHeight="1" x14ac:dyDescent="0.2">
      <c r="A21" s="12">
        <v>126</v>
      </c>
      <c r="B21" s="12" t="s">
        <v>4175</v>
      </c>
      <c r="C21" s="106" t="s">
        <v>1390</v>
      </c>
      <c r="D21" s="107" t="s">
        <v>281</v>
      </c>
      <c r="E21" s="99" t="s">
        <v>1697</v>
      </c>
      <c r="F21" s="100">
        <v>41149</v>
      </c>
      <c r="G21" s="100">
        <v>44546</v>
      </c>
      <c r="H21" s="101">
        <f t="shared" si="0"/>
        <v>44636</v>
      </c>
      <c r="I21" s="101" t="s">
        <v>291</v>
      </c>
      <c r="J21" s="12" t="s">
        <v>4388</v>
      </c>
      <c r="K21" s="12" t="s">
        <v>1239</v>
      </c>
      <c r="L21" s="12" t="s">
        <v>1932</v>
      </c>
      <c r="M21" s="102" t="str">
        <f t="shared" si="1"/>
        <v>SOTO VAZQUEZ VERONICA ELIZABETH</v>
      </c>
      <c r="N21" s="102" t="s">
        <v>6831</v>
      </c>
      <c r="O21" s="102" t="s">
        <v>4839</v>
      </c>
      <c r="P21" s="12" t="s">
        <v>1954</v>
      </c>
      <c r="Q21" s="100">
        <v>31281</v>
      </c>
      <c r="R21" s="77">
        <f t="shared" si="2"/>
        <v>22</v>
      </c>
      <c r="S21" s="77">
        <f t="shared" si="3"/>
        <v>8</v>
      </c>
      <c r="T21" s="77">
        <f t="shared" si="4"/>
        <v>1985</v>
      </c>
      <c r="U21" s="103">
        <f t="shared" ca="1" si="5"/>
        <v>41.167123287671231</v>
      </c>
      <c r="V21" s="13" t="s">
        <v>308</v>
      </c>
      <c r="W21" s="13" t="s">
        <v>2250</v>
      </c>
      <c r="X21" s="12" t="s">
        <v>2324</v>
      </c>
      <c r="Y21" s="12" t="s">
        <v>268</v>
      </c>
      <c r="Z21" s="12" t="s">
        <v>263</v>
      </c>
      <c r="AA21" s="12" t="s">
        <v>636</v>
      </c>
      <c r="AB21" s="12" t="s">
        <v>2315</v>
      </c>
      <c r="AC21" s="12" t="s">
        <v>313</v>
      </c>
      <c r="AD21" s="12" t="s">
        <v>349</v>
      </c>
      <c r="AE21" s="12">
        <v>90</v>
      </c>
      <c r="AF21" s="13" t="s">
        <v>375</v>
      </c>
      <c r="AG21" s="12" t="s">
        <v>291</v>
      </c>
      <c r="AH21" s="104" t="s">
        <v>1398</v>
      </c>
      <c r="AI21" s="12" t="s">
        <v>317</v>
      </c>
      <c r="AJ21" s="12" t="s">
        <v>318</v>
      </c>
      <c r="AK21" s="12" t="s">
        <v>2848</v>
      </c>
      <c r="AL21" s="104" t="s">
        <v>3154</v>
      </c>
      <c r="AM21" s="12">
        <v>0</v>
      </c>
      <c r="AN21" s="12">
        <v>0</v>
      </c>
      <c r="AO21" s="12" t="s">
        <v>398</v>
      </c>
      <c r="AP21" s="12"/>
      <c r="AQ21" s="12">
        <v>0</v>
      </c>
      <c r="AR21" s="12">
        <v>0</v>
      </c>
      <c r="AS21" s="12">
        <v>0</v>
      </c>
      <c r="AT21" s="12">
        <v>0</v>
      </c>
      <c r="AU21" s="12">
        <v>0</v>
      </c>
      <c r="AV21" s="12">
        <v>0</v>
      </c>
      <c r="AW21" s="12" t="s">
        <v>328</v>
      </c>
      <c r="AX21" s="12" t="s">
        <v>329</v>
      </c>
      <c r="AY21" s="12" t="s">
        <v>330</v>
      </c>
      <c r="AZ21" s="12"/>
      <c r="BA21" s="12"/>
      <c r="BB21" s="12"/>
      <c r="BC21" s="12"/>
      <c r="BD21" s="12" t="s">
        <v>3568</v>
      </c>
      <c r="BE21" s="12" t="s">
        <v>439</v>
      </c>
      <c r="BF21" s="12" t="s">
        <v>3798</v>
      </c>
      <c r="BG21" s="12" t="s">
        <v>488</v>
      </c>
      <c r="BH21" s="12" t="s">
        <v>362</v>
      </c>
      <c r="BI21" s="12" t="s">
        <v>3831</v>
      </c>
      <c r="BJ21" s="12" t="s">
        <v>3831</v>
      </c>
      <c r="BK21" s="12"/>
      <c r="BL21" s="105"/>
      <c r="BM21" s="12"/>
      <c r="BN21" s="12"/>
      <c r="BO21" s="105"/>
      <c r="BP21" s="12"/>
      <c r="BQ21" s="12"/>
      <c r="BR21" s="12"/>
      <c r="BS21" s="12"/>
      <c r="BT21" s="12"/>
      <c r="BU21" s="12"/>
      <c r="BV21" s="12"/>
      <c r="BW21" s="12"/>
      <c r="BX21" s="12"/>
      <c r="BY21" s="12"/>
      <c r="BZ21" s="12"/>
      <c r="CA21" s="12"/>
      <c r="CB21" s="12"/>
      <c r="CC21" s="12"/>
      <c r="CD21" s="78"/>
    </row>
    <row r="22" spans="1:82" ht="13.9" customHeight="1" x14ac:dyDescent="0.2">
      <c r="A22" s="12">
        <v>127</v>
      </c>
      <c r="B22" s="12" t="s">
        <v>4095</v>
      </c>
      <c r="C22" s="78" t="s">
        <v>335</v>
      </c>
      <c r="D22" s="99" t="s">
        <v>86</v>
      </c>
      <c r="E22" s="99" t="s">
        <v>6484</v>
      </c>
      <c r="F22" s="100">
        <v>41190</v>
      </c>
      <c r="G22" s="100">
        <v>44921</v>
      </c>
      <c r="H22" s="101">
        <f t="shared" si="0"/>
        <v>45011</v>
      </c>
      <c r="I22" s="101" t="s">
        <v>290</v>
      </c>
      <c r="J22" s="12" t="s">
        <v>960</v>
      </c>
      <c r="K22" s="12" t="s">
        <v>4493</v>
      </c>
      <c r="L22" s="12" t="s">
        <v>1784</v>
      </c>
      <c r="M22" s="102" t="str">
        <f t="shared" si="1"/>
        <v>TORRES MOYEDA JUAN JOSE</v>
      </c>
      <c r="N22" s="102" t="s">
        <v>6832</v>
      </c>
      <c r="O22" s="102" t="s">
        <v>4690</v>
      </c>
      <c r="P22" s="12" t="s">
        <v>1953</v>
      </c>
      <c r="Q22" s="100">
        <v>31686</v>
      </c>
      <c r="R22" s="77">
        <f t="shared" si="2"/>
        <v>1</v>
      </c>
      <c r="S22" s="77">
        <f t="shared" si="3"/>
        <v>10</v>
      </c>
      <c r="T22" s="77">
        <f t="shared" si="4"/>
        <v>1986</v>
      </c>
      <c r="U22" s="103">
        <f t="shared" ca="1" si="5"/>
        <v>40.057534246575344</v>
      </c>
      <c r="V22" s="13" t="s">
        <v>389</v>
      </c>
      <c r="W22" s="13" t="s">
        <v>2101</v>
      </c>
      <c r="X22" s="12" t="s">
        <v>1497</v>
      </c>
      <c r="Y22" s="12" t="s">
        <v>135</v>
      </c>
      <c r="Z22" s="12" t="s">
        <v>153</v>
      </c>
      <c r="AA22" s="12" t="s">
        <v>347</v>
      </c>
      <c r="AB22" s="12" t="s">
        <v>842</v>
      </c>
      <c r="AC22" s="12" t="s">
        <v>313</v>
      </c>
      <c r="AD22" s="12" t="s">
        <v>349</v>
      </c>
      <c r="AE22" s="12">
        <v>90</v>
      </c>
      <c r="AF22" s="13" t="s">
        <v>315</v>
      </c>
      <c r="AG22" s="12" t="s">
        <v>290</v>
      </c>
      <c r="AH22" s="104" t="s">
        <v>2342</v>
      </c>
      <c r="AI22" s="12" t="s">
        <v>317</v>
      </c>
      <c r="AJ22" s="12" t="s">
        <v>318</v>
      </c>
      <c r="AK22" s="12">
        <v>0</v>
      </c>
      <c r="AL22" s="104" t="s">
        <v>3007</v>
      </c>
      <c r="AM22" s="12">
        <v>0</v>
      </c>
      <c r="AN22" s="12">
        <v>0</v>
      </c>
      <c r="AO22" s="12" t="s">
        <v>398</v>
      </c>
      <c r="AP22" s="12"/>
      <c r="AQ22" s="12">
        <v>0</v>
      </c>
      <c r="AR22" s="12">
        <v>0</v>
      </c>
      <c r="AS22" s="12">
        <v>0</v>
      </c>
      <c r="AT22" s="12">
        <v>0</v>
      </c>
      <c r="AU22" s="12">
        <v>0</v>
      </c>
      <c r="AV22" s="12">
        <v>0</v>
      </c>
      <c r="AW22" s="12" t="s">
        <v>328</v>
      </c>
      <c r="AX22" s="12" t="s">
        <v>329</v>
      </c>
      <c r="AY22" s="12" t="s">
        <v>330</v>
      </c>
      <c r="AZ22" s="12"/>
      <c r="BA22" s="12"/>
      <c r="BB22" s="12"/>
      <c r="BC22" s="12"/>
      <c r="BD22" s="12" t="s">
        <v>3501</v>
      </c>
      <c r="BE22" s="12" t="s">
        <v>325</v>
      </c>
      <c r="BF22" s="12" t="s">
        <v>3680</v>
      </c>
      <c r="BG22" s="12" t="s">
        <v>362</v>
      </c>
      <c r="BH22" s="12" t="s">
        <v>362</v>
      </c>
      <c r="BI22" s="12">
        <v>3</v>
      </c>
      <c r="BJ22" s="100">
        <v>40304</v>
      </c>
      <c r="BK22" s="12" t="s">
        <v>3888</v>
      </c>
      <c r="BL22" s="105">
        <f ca="1">(+TODAY()-BJ22)/365</f>
        <v>16.446575342465753</v>
      </c>
      <c r="BM22" s="100">
        <v>41064</v>
      </c>
      <c r="BN22" s="12" t="s">
        <v>3888</v>
      </c>
      <c r="BO22" s="105">
        <f ca="1">(+TODAY()-BM22)/365</f>
        <v>14.364383561643836</v>
      </c>
      <c r="BP22" s="100">
        <v>41794</v>
      </c>
      <c r="BQ22" s="12"/>
      <c r="BR22" s="12"/>
      <c r="BS22" s="12"/>
      <c r="BT22" s="12"/>
      <c r="BU22" s="12"/>
      <c r="BV22" s="12"/>
      <c r="BW22" s="12"/>
      <c r="BX22" s="12"/>
      <c r="BY22" s="12"/>
      <c r="BZ22" s="12"/>
      <c r="CA22" s="12"/>
      <c r="CB22" s="12"/>
      <c r="CC22" s="12"/>
      <c r="CD22" s="78"/>
    </row>
    <row r="23" spans="1:82" ht="13.9" customHeight="1" x14ac:dyDescent="0.2">
      <c r="A23" s="12">
        <v>128</v>
      </c>
      <c r="B23" s="12" t="s">
        <v>4176</v>
      </c>
      <c r="C23" s="106" t="s">
        <v>1390</v>
      </c>
      <c r="D23" s="107" t="s">
        <v>281</v>
      </c>
      <c r="E23" s="99" t="s">
        <v>1698</v>
      </c>
      <c r="F23" s="100">
        <v>41372</v>
      </c>
      <c r="G23" s="100">
        <v>44546</v>
      </c>
      <c r="H23" s="101">
        <f t="shared" si="0"/>
        <v>44636</v>
      </c>
      <c r="I23" s="101" t="s">
        <v>291</v>
      </c>
      <c r="J23" s="12" t="s">
        <v>4309</v>
      </c>
      <c r="K23" s="12" t="s">
        <v>4537</v>
      </c>
      <c r="L23" s="12" t="s">
        <v>1933</v>
      </c>
      <c r="M23" s="102" t="str">
        <f t="shared" si="1"/>
        <v>SALAS LEURA CRISTINA</v>
      </c>
      <c r="N23" s="102" t="s">
        <v>6833</v>
      </c>
      <c r="O23" s="102" t="s">
        <v>4840</v>
      </c>
      <c r="P23" s="12" t="s">
        <v>1954</v>
      </c>
      <c r="Q23" s="100">
        <v>26540</v>
      </c>
      <c r="R23" s="77">
        <f t="shared" si="2"/>
        <v>29</v>
      </c>
      <c r="S23" s="77">
        <f t="shared" si="3"/>
        <v>8</v>
      </c>
      <c r="T23" s="77">
        <f t="shared" si="4"/>
        <v>1972</v>
      </c>
      <c r="U23" s="103">
        <f t="shared" ca="1" si="5"/>
        <v>54.156164383561645</v>
      </c>
      <c r="V23" s="13" t="s">
        <v>1450</v>
      </c>
      <c r="W23" s="13" t="s">
        <v>2251</v>
      </c>
      <c r="X23" s="12">
        <v>0</v>
      </c>
      <c r="Y23" s="12" t="s">
        <v>269</v>
      </c>
      <c r="Z23" s="12" t="s">
        <v>263</v>
      </c>
      <c r="AA23" s="12" t="s">
        <v>636</v>
      </c>
      <c r="AB23" s="12" t="s">
        <v>2316</v>
      </c>
      <c r="AC23" s="12" t="s">
        <v>313</v>
      </c>
      <c r="AD23" s="12" t="s">
        <v>349</v>
      </c>
      <c r="AE23" s="12">
        <v>90</v>
      </c>
      <c r="AF23" s="13" t="s">
        <v>375</v>
      </c>
      <c r="AG23" s="12" t="s">
        <v>291</v>
      </c>
      <c r="AH23" s="104" t="s">
        <v>1398</v>
      </c>
      <c r="AI23" s="12" t="s">
        <v>317</v>
      </c>
      <c r="AJ23" s="12" t="s">
        <v>318</v>
      </c>
      <c r="AK23" s="12" t="s">
        <v>2849</v>
      </c>
      <c r="AL23" s="104" t="s">
        <v>3155</v>
      </c>
      <c r="AM23" s="12">
        <v>0</v>
      </c>
      <c r="AN23" s="12">
        <v>0</v>
      </c>
      <c r="AO23" s="12" t="s">
        <v>398</v>
      </c>
      <c r="AP23" s="12"/>
      <c r="AQ23" s="12">
        <v>0</v>
      </c>
      <c r="AR23" s="12">
        <v>0</v>
      </c>
      <c r="AS23" s="12">
        <v>0</v>
      </c>
      <c r="AT23" s="12">
        <v>0</v>
      </c>
      <c r="AU23" s="12">
        <v>0</v>
      </c>
      <c r="AV23" s="12">
        <v>0</v>
      </c>
      <c r="AW23" s="12" t="s">
        <v>328</v>
      </c>
      <c r="AX23" s="12" t="s">
        <v>329</v>
      </c>
      <c r="AY23" s="12" t="s">
        <v>330</v>
      </c>
      <c r="AZ23" s="12"/>
      <c r="BA23" s="12"/>
      <c r="BB23" s="12"/>
      <c r="BC23" s="12"/>
      <c r="BD23" s="12" t="s">
        <v>3569</v>
      </c>
      <c r="BE23" s="12" t="s">
        <v>3178</v>
      </c>
      <c r="BF23" s="12" t="s">
        <v>3799</v>
      </c>
      <c r="BG23" s="12" t="s">
        <v>333</v>
      </c>
      <c r="BH23" s="12" t="s">
        <v>362</v>
      </c>
      <c r="BI23" s="12">
        <v>2</v>
      </c>
      <c r="BJ23" s="12"/>
      <c r="BK23" s="12"/>
      <c r="BL23" s="105"/>
      <c r="BM23" s="12"/>
      <c r="BN23" s="12"/>
      <c r="BO23" s="105"/>
      <c r="BP23" s="12"/>
      <c r="BQ23" s="12"/>
      <c r="BR23" s="12"/>
      <c r="BS23" s="12"/>
      <c r="BT23" s="12"/>
      <c r="BU23" s="12"/>
      <c r="BV23" s="12"/>
      <c r="BW23" s="12"/>
      <c r="BX23" s="12"/>
      <c r="BY23" s="12"/>
      <c r="BZ23" s="12"/>
      <c r="CA23" s="12"/>
      <c r="CB23" s="12"/>
      <c r="CC23" s="12"/>
      <c r="CD23" s="78"/>
    </row>
    <row r="24" spans="1:82" ht="13.9" customHeight="1" x14ac:dyDescent="0.2">
      <c r="A24" s="12">
        <v>129</v>
      </c>
      <c r="B24" s="12" t="s">
        <v>4220</v>
      </c>
      <c r="C24" s="104" t="s">
        <v>299</v>
      </c>
      <c r="D24" s="99" t="s">
        <v>80</v>
      </c>
      <c r="E24" s="99" t="s">
        <v>1661</v>
      </c>
      <c r="F24" s="100">
        <v>41418</v>
      </c>
      <c r="G24" s="100">
        <v>44621</v>
      </c>
      <c r="H24" s="101">
        <f t="shared" si="0"/>
        <v>44711</v>
      </c>
      <c r="I24" s="101" t="s">
        <v>291</v>
      </c>
      <c r="J24" s="12" t="s">
        <v>628</v>
      </c>
      <c r="K24" s="12" t="s">
        <v>836</v>
      </c>
      <c r="L24" s="12" t="s">
        <v>1842</v>
      </c>
      <c r="M24" s="102" t="str">
        <f t="shared" si="1"/>
        <v>LIMON MENDEZ HECTOR</v>
      </c>
      <c r="N24" s="102" t="s">
        <v>6834</v>
      </c>
      <c r="O24" s="102" t="s">
        <v>4723</v>
      </c>
      <c r="P24" s="12" t="s">
        <v>1953</v>
      </c>
      <c r="Q24" s="100">
        <v>24069</v>
      </c>
      <c r="R24" s="77">
        <f t="shared" si="2"/>
        <v>23</v>
      </c>
      <c r="S24" s="77">
        <f t="shared" si="3"/>
        <v>11</v>
      </c>
      <c r="T24" s="77">
        <f t="shared" si="4"/>
        <v>1965</v>
      </c>
      <c r="U24" s="103">
        <f t="shared" ca="1" si="5"/>
        <v>60.926027397260277</v>
      </c>
      <c r="V24" s="13" t="s">
        <v>342</v>
      </c>
      <c r="W24" s="13" t="s">
        <v>2134</v>
      </c>
      <c r="X24" s="12" t="s">
        <v>1497</v>
      </c>
      <c r="Y24" s="12" t="s">
        <v>175</v>
      </c>
      <c r="Z24" s="12" t="s">
        <v>174</v>
      </c>
      <c r="AA24" s="12" t="s">
        <v>2273</v>
      </c>
      <c r="AB24" s="12" t="s">
        <v>2301</v>
      </c>
      <c r="AC24" s="12" t="s">
        <v>313</v>
      </c>
      <c r="AD24" s="12" t="s">
        <v>314</v>
      </c>
      <c r="AE24" s="12">
        <v>90</v>
      </c>
      <c r="AF24" s="13" t="s">
        <v>315</v>
      </c>
      <c r="AG24" s="12" t="s">
        <v>291</v>
      </c>
      <c r="AH24" s="104" t="s">
        <v>316</v>
      </c>
      <c r="AI24" s="12" t="s">
        <v>317</v>
      </c>
      <c r="AJ24" s="12" t="s">
        <v>318</v>
      </c>
      <c r="AK24" s="12" t="s">
        <v>2750</v>
      </c>
      <c r="AL24" s="104" t="s">
        <v>3040</v>
      </c>
      <c r="AM24" s="12" t="s">
        <v>2511</v>
      </c>
      <c r="AN24" s="12" t="s">
        <v>1531</v>
      </c>
      <c r="AO24" s="12" t="s">
        <v>398</v>
      </c>
      <c r="AP24" s="12"/>
      <c r="AQ24" s="12">
        <v>0</v>
      </c>
      <c r="AR24" s="12">
        <v>0</v>
      </c>
      <c r="AS24" s="12">
        <v>0</v>
      </c>
      <c r="AT24" s="12">
        <v>0</v>
      </c>
      <c r="AU24" s="12">
        <v>0</v>
      </c>
      <c r="AV24" s="12">
        <v>0</v>
      </c>
      <c r="AW24" s="12" t="s">
        <v>328</v>
      </c>
      <c r="AX24" s="12" t="s">
        <v>329</v>
      </c>
      <c r="AY24" s="12" t="s">
        <v>330</v>
      </c>
      <c r="AZ24" s="12" t="s">
        <v>3425</v>
      </c>
      <c r="BA24" s="12" t="s">
        <v>3440</v>
      </c>
      <c r="BB24" s="12"/>
      <c r="BC24" s="12" t="s">
        <v>3457</v>
      </c>
      <c r="BD24" s="12" t="s">
        <v>3517</v>
      </c>
      <c r="BE24" s="12" t="s">
        <v>381</v>
      </c>
      <c r="BF24" s="12" t="s">
        <v>3703</v>
      </c>
      <c r="BG24" s="12" t="s">
        <v>488</v>
      </c>
      <c r="BH24" s="12" t="s">
        <v>334</v>
      </c>
      <c r="BI24" s="12">
        <v>2</v>
      </c>
      <c r="BJ24" s="12" t="s">
        <v>3877</v>
      </c>
      <c r="BK24" s="12" t="s">
        <v>3911</v>
      </c>
      <c r="BL24" s="105" t="s">
        <v>3950</v>
      </c>
      <c r="BM24" s="12"/>
      <c r="BN24" s="12" t="s">
        <v>571</v>
      </c>
      <c r="BO24" s="105" t="s">
        <v>3951</v>
      </c>
      <c r="BP24" s="12"/>
      <c r="BQ24" s="12">
        <v>0</v>
      </c>
      <c r="BR24" s="12">
        <v>0</v>
      </c>
      <c r="BS24" s="12"/>
      <c r="BT24" s="12">
        <v>0</v>
      </c>
      <c r="BU24" s="12">
        <v>0</v>
      </c>
      <c r="BV24" s="12"/>
      <c r="BW24" s="12">
        <v>0</v>
      </c>
      <c r="BX24" s="12">
        <v>0</v>
      </c>
      <c r="BY24" s="12"/>
      <c r="BZ24" s="12">
        <v>0</v>
      </c>
      <c r="CA24" s="12"/>
      <c r="CB24" s="12"/>
      <c r="CC24" s="12"/>
      <c r="CD24" s="78"/>
    </row>
    <row r="25" spans="1:82" ht="13.9" customHeight="1" x14ac:dyDescent="0.2">
      <c r="A25" s="12">
        <v>130</v>
      </c>
      <c r="B25" s="12" t="s">
        <v>4221</v>
      </c>
      <c r="C25" s="104" t="s">
        <v>299</v>
      </c>
      <c r="D25" s="99" t="s">
        <v>80</v>
      </c>
      <c r="E25" s="99" t="s">
        <v>1662</v>
      </c>
      <c r="F25" s="100">
        <v>41730</v>
      </c>
      <c r="G25" s="100">
        <v>44562</v>
      </c>
      <c r="H25" s="101">
        <f t="shared" si="0"/>
        <v>44652</v>
      </c>
      <c r="I25" s="101" t="s">
        <v>291</v>
      </c>
      <c r="J25" s="12" t="s">
        <v>4387</v>
      </c>
      <c r="K25" s="12" t="s">
        <v>4501</v>
      </c>
      <c r="L25" s="12" t="s">
        <v>1843</v>
      </c>
      <c r="M25" s="102" t="str">
        <f t="shared" si="1"/>
        <v>LOREDO QUINTANA ISMAEL</v>
      </c>
      <c r="N25" s="102" t="s">
        <v>6835</v>
      </c>
      <c r="O25" s="102" t="s">
        <v>4724</v>
      </c>
      <c r="P25" s="12" t="s">
        <v>1953</v>
      </c>
      <c r="Q25" s="100">
        <v>32676</v>
      </c>
      <c r="R25" s="77">
        <f t="shared" si="2"/>
        <v>17</v>
      </c>
      <c r="S25" s="77">
        <f t="shared" si="3"/>
        <v>6</v>
      </c>
      <c r="T25" s="77">
        <f t="shared" si="4"/>
        <v>1989</v>
      </c>
      <c r="U25" s="103">
        <f t="shared" ca="1" si="5"/>
        <v>37.345205479452055</v>
      </c>
      <c r="V25" s="13" t="s">
        <v>389</v>
      </c>
      <c r="W25" s="13" t="s">
        <v>2135</v>
      </c>
      <c r="X25" s="12" t="s">
        <v>1497</v>
      </c>
      <c r="Y25" s="12" t="s">
        <v>176</v>
      </c>
      <c r="Z25" s="12" t="s">
        <v>170</v>
      </c>
      <c r="AA25" s="12" t="s">
        <v>432</v>
      </c>
      <c r="AB25" s="12" t="s">
        <v>2299</v>
      </c>
      <c r="AC25" s="12" t="s">
        <v>313</v>
      </c>
      <c r="AD25" s="12" t="s">
        <v>314</v>
      </c>
      <c r="AE25" s="12">
        <v>90</v>
      </c>
      <c r="AF25" s="13" t="s">
        <v>315</v>
      </c>
      <c r="AG25" s="12" t="s">
        <v>291</v>
      </c>
      <c r="AH25" s="104" t="s">
        <v>316</v>
      </c>
      <c r="AI25" s="12" t="s">
        <v>317</v>
      </c>
      <c r="AJ25" s="12" t="s">
        <v>318</v>
      </c>
      <c r="AK25" s="12" t="s">
        <v>2751</v>
      </c>
      <c r="AL25" s="104" t="s">
        <v>3041</v>
      </c>
      <c r="AM25" s="12" t="s">
        <v>2512</v>
      </c>
      <c r="AN25" s="12" t="s">
        <v>3180</v>
      </c>
      <c r="AO25" s="12" t="s">
        <v>398</v>
      </c>
      <c r="AP25" s="12"/>
      <c r="AQ25" s="12">
        <v>0</v>
      </c>
      <c r="AR25" s="12">
        <v>0</v>
      </c>
      <c r="AS25" s="12">
        <v>0</v>
      </c>
      <c r="AT25" s="12">
        <v>0</v>
      </c>
      <c r="AU25" s="12">
        <v>0</v>
      </c>
      <c r="AV25" s="12">
        <v>0</v>
      </c>
      <c r="AW25" s="12" t="s">
        <v>328</v>
      </c>
      <c r="AX25" s="12" t="s">
        <v>329</v>
      </c>
      <c r="AY25" s="12" t="s">
        <v>330</v>
      </c>
      <c r="AZ25" s="12"/>
      <c r="BA25" s="12"/>
      <c r="BB25" s="12"/>
      <c r="BC25" s="12"/>
      <c r="BD25" s="12" t="s">
        <v>3518</v>
      </c>
      <c r="BE25" s="12" t="s">
        <v>439</v>
      </c>
      <c r="BF25" s="12" t="s">
        <v>3704</v>
      </c>
      <c r="BG25" s="12">
        <v>0</v>
      </c>
      <c r="BH25" s="12">
        <v>0</v>
      </c>
      <c r="BI25" s="12" t="s">
        <v>362</v>
      </c>
      <c r="BJ25" s="12" t="s">
        <v>3888</v>
      </c>
      <c r="BK25" s="12" t="s">
        <v>3911</v>
      </c>
      <c r="BL25" s="105">
        <v>0</v>
      </c>
      <c r="BM25" s="12"/>
      <c r="BN25" s="12">
        <v>0</v>
      </c>
      <c r="BO25" s="105">
        <v>0</v>
      </c>
      <c r="BP25" s="12"/>
      <c r="BQ25" s="12">
        <v>0</v>
      </c>
      <c r="BR25" s="12">
        <v>0</v>
      </c>
      <c r="BS25" s="12"/>
      <c r="BT25" s="12">
        <v>0</v>
      </c>
      <c r="BU25" s="12">
        <v>0</v>
      </c>
      <c r="BV25" s="12"/>
      <c r="BW25" s="12">
        <v>0</v>
      </c>
      <c r="BX25" s="12">
        <v>0</v>
      </c>
      <c r="BY25" s="12"/>
      <c r="BZ25" s="12">
        <v>0</v>
      </c>
      <c r="CA25" s="12"/>
      <c r="CB25" s="12"/>
      <c r="CC25" s="12"/>
      <c r="CD25" s="78"/>
    </row>
    <row r="26" spans="1:82" ht="13.9" customHeight="1" x14ac:dyDescent="0.2">
      <c r="A26" s="12">
        <v>131</v>
      </c>
      <c r="B26" s="12" t="s">
        <v>4177</v>
      </c>
      <c r="C26" s="106" t="s">
        <v>1390</v>
      </c>
      <c r="D26" s="107" t="s">
        <v>281</v>
      </c>
      <c r="E26" s="99" t="s">
        <v>6485</v>
      </c>
      <c r="F26" s="100">
        <v>41778</v>
      </c>
      <c r="G26" s="100">
        <v>44593</v>
      </c>
      <c r="H26" s="101">
        <f t="shared" si="0"/>
        <v>44683</v>
      </c>
      <c r="I26" s="101" t="s">
        <v>291</v>
      </c>
      <c r="J26" s="12" t="s">
        <v>960</v>
      </c>
      <c r="K26" s="12" t="s">
        <v>4538</v>
      </c>
      <c r="L26" s="12" t="s">
        <v>1934</v>
      </c>
      <c r="M26" s="102" t="str">
        <f t="shared" si="1"/>
        <v>TORRES VALDES JESUS ARMANDO</v>
      </c>
      <c r="N26" s="102" t="s">
        <v>6836</v>
      </c>
      <c r="O26" s="102" t="s">
        <v>4841</v>
      </c>
      <c r="P26" s="12" t="s">
        <v>1953</v>
      </c>
      <c r="Q26" s="100">
        <v>32562</v>
      </c>
      <c r="R26" s="77">
        <f t="shared" si="2"/>
        <v>23</v>
      </c>
      <c r="S26" s="77">
        <f t="shared" si="3"/>
        <v>2</v>
      </c>
      <c r="T26" s="77">
        <f t="shared" si="4"/>
        <v>1989</v>
      </c>
      <c r="U26" s="103">
        <f t="shared" ca="1" si="5"/>
        <v>37.657534246575345</v>
      </c>
      <c r="V26" s="13" t="s">
        <v>342</v>
      </c>
      <c r="W26" s="13" t="s">
        <v>2252</v>
      </c>
      <c r="X26" s="12" t="s">
        <v>2324</v>
      </c>
      <c r="Y26" s="108" t="s">
        <v>270</v>
      </c>
      <c r="Z26" s="12" t="s">
        <v>263</v>
      </c>
      <c r="AA26" s="12" t="s">
        <v>636</v>
      </c>
      <c r="AB26" s="12" t="s">
        <v>2302</v>
      </c>
      <c r="AC26" s="12" t="s">
        <v>313</v>
      </c>
      <c r="AD26" s="12" t="s">
        <v>349</v>
      </c>
      <c r="AE26" s="12">
        <v>90</v>
      </c>
      <c r="AF26" s="13" t="s">
        <v>375</v>
      </c>
      <c r="AG26" s="12" t="s">
        <v>291</v>
      </c>
      <c r="AH26" s="104" t="s">
        <v>1398</v>
      </c>
      <c r="AI26" s="12" t="s">
        <v>317</v>
      </c>
      <c r="AJ26" s="12" t="s">
        <v>318</v>
      </c>
      <c r="AK26" s="12" t="s">
        <v>2850</v>
      </c>
      <c r="AL26" s="104" t="s">
        <v>3156</v>
      </c>
      <c r="AM26" s="12" t="s">
        <v>2616</v>
      </c>
      <c r="AN26" s="12">
        <v>0</v>
      </c>
      <c r="AO26" s="12" t="s">
        <v>398</v>
      </c>
      <c r="AP26" s="12"/>
      <c r="AQ26" s="12">
        <v>0</v>
      </c>
      <c r="AR26" s="12">
        <v>0</v>
      </c>
      <c r="AS26" s="12">
        <v>0</v>
      </c>
      <c r="AT26" s="12">
        <v>0</v>
      </c>
      <c r="AU26" s="12">
        <v>0</v>
      </c>
      <c r="AV26" s="12">
        <v>0</v>
      </c>
      <c r="AW26" s="12" t="s">
        <v>328</v>
      </c>
      <c r="AX26" s="12" t="s">
        <v>329</v>
      </c>
      <c r="AY26" s="12" t="s">
        <v>330</v>
      </c>
      <c r="AZ26" s="12"/>
      <c r="BA26" s="12"/>
      <c r="BB26" s="12"/>
      <c r="BC26" s="12"/>
      <c r="BD26" s="12" t="s">
        <v>2616</v>
      </c>
      <c r="BE26" s="12">
        <v>0</v>
      </c>
      <c r="BF26" s="12" t="s">
        <v>3800</v>
      </c>
      <c r="BG26" s="12">
        <v>0</v>
      </c>
      <c r="BH26" s="12">
        <v>0</v>
      </c>
      <c r="BI26" s="12">
        <v>2</v>
      </c>
      <c r="BJ26" s="12"/>
      <c r="BK26" s="12"/>
      <c r="BL26" s="105"/>
      <c r="BM26" s="12"/>
      <c r="BN26" s="12"/>
      <c r="BO26" s="105"/>
      <c r="BP26" s="12"/>
      <c r="BQ26" s="12"/>
      <c r="BR26" s="12"/>
      <c r="BS26" s="12"/>
      <c r="BT26" s="12"/>
      <c r="BU26" s="12"/>
      <c r="BV26" s="12"/>
      <c r="BW26" s="12"/>
      <c r="BX26" s="12"/>
      <c r="BY26" s="12"/>
      <c r="BZ26" s="12"/>
      <c r="CA26" s="12"/>
      <c r="CB26" s="12"/>
      <c r="CC26" s="12"/>
      <c r="CD26" s="78"/>
    </row>
    <row r="27" spans="1:82" s="116" customFormat="1" ht="13.9" customHeight="1" x14ac:dyDescent="0.2">
      <c r="A27" s="109">
        <v>132</v>
      </c>
      <c r="B27" s="109" t="s">
        <v>4043</v>
      </c>
      <c r="C27" s="110" t="s">
        <v>335</v>
      </c>
      <c r="D27" s="111" t="s">
        <v>86</v>
      </c>
      <c r="E27" s="111" t="s">
        <v>6486</v>
      </c>
      <c r="F27" s="112">
        <v>41841</v>
      </c>
      <c r="G27" s="112">
        <v>44921</v>
      </c>
      <c r="H27" s="113">
        <f t="shared" si="0"/>
        <v>45011</v>
      </c>
      <c r="I27" s="113" t="s">
        <v>290</v>
      </c>
      <c r="J27" s="109" t="s">
        <v>704</v>
      </c>
      <c r="K27" s="109" t="s">
        <v>4346</v>
      </c>
      <c r="L27" s="109" t="s">
        <v>1815</v>
      </c>
      <c r="M27" s="128" t="str">
        <f t="shared" si="1"/>
        <v>GONZALEZ MORALES JOSE SALVADOR</v>
      </c>
      <c r="N27" s="128" t="s">
        <v>6837</v>
      </c>
      <c r="O27" s="128" t="s">
        <v>4691</v>
      </c>
      <c r="P27" s="109" t="s">
        <v>1953</v>
      </c>
      <c r="Q27" s="112">
        <v>33606</v>
      </c>
      <c r="R27" s="125">
        <f t="shared" si="2"/>
        <v>3</v>
      </c>
      <c r="S27" s="125">
        <f t="shared" si="3"/>
        <v>1</v>
      </c>
      <c r="T27" s="125">
        <f t="shared" si="4"/>
        <v>1992</v>
      </c>
      <c r="U27" s="142">
        <f t="shared" ca="1" si="5"/>
        <v>34.797260273972604</v>
      </c>
      <c r="V27" s="114" t="s">
        <v>342</v>
      </c>
      <c r="W27" s="114" t="s">
        <v>2102</v>
      </c>
      <c r="X27" s="109" t="s">
        <v>1497</v>
      </c>
      <c r="Y27" s="109" t="s">
        <v>154</v>
      </c>
      <c r="Z27" s="109" t="s">
        <v>153</v>
      </c>
      <c r="AA27" s="109" t="s">
        <v>347</v>
      </c>
      <c r="AB27" s="109" t="s">
        <v>842</v>
      </c>
      <c r="AC27" s="109" t="s">
        <v>313</v>
      </c>
      <c r="AD27" s="109" t="s">
        <v>349</v>
      </c>
      <c r="AE27" s="109">
        <v>90</v>
      </c>
      <c r="AF27" s="114" t="s">
        <v>315</v>
      </c>
      <c r="AG27" s="109" t="s">
        <v>290</v>
      </c>
      <c r="AH27" s="115" t="s">
        <v>2342</v>
      </c>
      <c r="AI27" s="109" t="s">
        <v>317</v>
      </c>
      <c r="AJ27" s="109" t="s">
        <v>318</v>
      </c>
      <c r="AK27" s="109">
        <v>4443325564</v>
      </c>
      <c r="AL27" s="115" t="s">
        <v>3008</v>
      </c>
      <c r="AM27" s="109">
        <v>0</v>
      </c>
      <c r="AN27" s="109">
        <v>0</v>
      </c>
      <c r="AO27" s="109" t="s">
        <v>398</v>
      </c>
      <c r="AP27" s="109"/>
      <c r="AQ27" s="109">
        <v>0</v>
      </c>
      <c r="AR27" s="109">
        <v>0</v>
      </c>
      <c r="AS27" s="109">
        <v>0</v>
      </c>
      <c r="AT27" s="109">
        <v>0</v>
      </c>
      <c r="AU27" s="109">
        <v>0</v>
      </c>
      <c r="AV27" s="109">
        <v>0</v>
      </c>
      <c r="AW27" s="109" t="s">
        <v>328</v>
      </c>
      <c r="AX27" s="109" t="s">
        <v>329</v>
      </c>
      <c r="AY27" s="109" t="s">
        <v>330</v>
      </c>
      <c r="AZ27" s="109"/>
      <c r="BA27" s="109"/>
      <c r="BB27" s="109"/>
      <c r="BC27" s="109"/>
      <c r="BD27" s="109" t="s">
        <v>3502</v>
      </c>
      <c r="BE27" s="109" t="s">
        <v>381</v>
      </c>
      <c r="BF27" s="109" t="s">
        <v>3681</v>
      </c>
      <c r="BG27" s="109" t="s">
        <v>362</v>
      </c>
      <c r="BH27" s="109" t="s">
        <v>362</v>
      </c>
      <c r="BI27" s="109">
        <v>1</v>
      </c>
      <c r="BJ27" s="112">
        <v>41061</v>
      </c>
      <c r="BK27" s="109" t="s">
        <v>3888</v>
      </c>
      <c r="BL27" s="111">
        <f ca="1">(+TODAY()-BJ27)/365</f>
        <v>14.372602739726027</v>
      </c>
      <c r="BM27" s="109"/>
      <c r="BN27" s="109"/>
      <c r="BO27" s="111"/>
      <c r="BP27" s="109"/>
      <c r="BQ27" s="109"/>
      <c r="BR27" s="109"/>
      <c r="BS27" s="109"/>
      <c r="BT27" s="109"/>
      <c r="BU27" s="109"/>
      <c r="BV27" s="109"/>
      <c r="BW27" s="109"/>
      <c r="BX27" s="109"/>
      <c r="BY27" s="109"/>
      <c r="BZ27" s="109"/>
      <c r="CA27" s="109"/>
      <c r="CB27" s="109"/>
      <c r="CC27" s="109"/>
      <c r="CD27" s="110"/>
    </row>
    <row r="28" spans="1:82" ht="13.9" customHeight="1" x14ac:dyDescent="0.2">
      <c r="A28" s="12">
        <v>133</v>
      </c>
      <c r="B28" s="12" t="s">
        <v>4136</v>
      </c>
      <c r="C28" s="78" t="s">
        <v>335</v>
      </c>
      <c r="D28" s="107" t="s">
        <v>105</v>
      </c>
      <c r="E28" s="99" t="s">
        <v>1679</v>
      </c>
      <c r="F28" s="100">
        <v>41890</v>
      </c>
      <c r="G28" s="100">
        <v>44926</v>
      </c>
      <c r="H28" s="101">
        <f t="shared" si="0"/>
        <v>45016</v>
      </c>
      <c r="I28" s="101" t="s">
        <v>291</v>
      </c>
      <c r="J28" s="12" t="s">
        <v>4408</v>
      </c>
      <c r="K28" s="12" t="s">
        <v>4517</v>
      </c>
      <c r="L28" s="12" t="s">
        <v>1894</v>
      </c>
      <c r="M28" s="153" t="str">
        <f t="shared" si="1"/>
        <v>ALMANZA HUERTA NOEMY VIRGINIA</v>
      </c>
      <c r="N28" s="102" t="s">
        <v>6838</v>
      </c>
      <c r="O28" s="102" t="s">
        <v>4780</v>
      </c>
      <c r="P28" s="12" t="s">
        <v>1954</v>
      </c>
      <c r="Q28" s="100">
        <v>33540</v>
      </c>
      <c r="R28" s="77">
        <f t="shared" si="2"/>
        <v>29</v>
      </c>
      <c r="S28" s="77">
        <f t="shared" si="3"/>
        <v>10</v>
      </c>
      <c r="T28" s="77">
        <f t="shared" si="4"/>
        <v>1991</v>
      </c>
      <c r="U28" s="103">
        <f t="shared" ca="1" si="5"/>
        <v>34.978082191780821</v>
      </c>
      <c r="V28" s="13" t="s">
        <v>308</v>
      </c>
      <c r="W28" s="13" t="s">
        <v>2191</v>
      </c>
      <c r="X28" s="12" t="s">
        <v>2321</v>
      </c>
      <c r="Y28" s="108" t="s">
        <v>224</v>
      </c>
      <c r="Z28" s="12" t="s">
        <v>223</v>
      </c>
      <c r="AA28" s="12" t="s">
        <v>2274</v>
      </c>
      <c r="AB28" s="12" t="s">
        <v>858</v>
      </c>
      <c r="AC28" s="12" t="s">
        <v>313</v>
      </c>
      <c r="AD28" s="12" t="s">
        <v>349</v>
      </c>
      <c r="AE28" s="12">
        <v>90</v>
      </c>
      <c r="AF28" s="13" t="s">
        <v>859</v>
      </c>
      <c r="AG28" s="12" t="s">
        <v>291</v>
      </c>
      <c r="AH28" s="104" t="s">
        <v>2337</v>
      </c>
      <c r="AI28" s="12" t="s">
        <v>317</v>
      </c>
      <c r="AJ28" s="12" t="s">
        <v>318</v>
      </c>
      <c r="AK28" s="12" t="s">
        <v>2799</v>
      </c>
      <c r="AL28" s="104" t="s">
        <v>3095</v>
      </c>
      <c r="AM28" s="12" t="s">
        <v>2564</v>
      </c>
      <c r="AN28" s="12" t="s">
        <v>325</v>
      </c>
      <c r="AO28" s="12" t="s">
        <v>398</v>
      </c>
      <c r="AP28" s="12"/>
      <c r="AQ28" s="12">
        <v>0</v>
      </c>
      <c r="AR28" s="12">
        <v>0</v>
      </c>
      <c r="AS28" s="12">
        <v>0</v>
      </c>
      <c r="AT28" s="12">
        <v>0</v>
      </c>
      <c r="AU28" s="12">
        <v>0</v>
      </c>
      <c r="AV28" s="12">
        <v>0</v>
      </c>
      <c r="AW28" s="12" t="s">
        <v>328</v>
      </c>
      <c r="AX28" s="12" t="s">
        <v>357</v>
      </c>
      <c r="AY28" s="12" t="s">
        <v>330</v>
      </c>
      <c r="AZ28" s="12"/>
      <c r="BA28" s="12"/>
      <c r="BB28" s="12"/>
      <c r="BC28" s="12"/>
      <c r="BD28" s="12" t="s">
        <v>3543</v>
      </c>
      <c r="BE28" s="12" t="s">
        <v>325</v>
      </c>
      <c r="BF28" s="12" t="s">
        <v>3751</v>
      </c>
      <c r="BG28" s="12" t="s">
        <v>488</v>
      </c>
      <c r="BH28" s="12" t="s">
        <v>3814</v>
      </c>
      <c r="BI28" s="12" t="s">
        <v>3831</v>
      </c>
      <c r="BJ28" s="12" t="s">
        <v>3888</v>
      </c>
      <c r="BK28" s="12" t="s">
        <v>3911</v>
      </c>
      <c r="BL28" s="105">
        <v>0</v>
      </c>
      <c r="BM28" s="12"/>
      <c r="BN28" s="12">
        <v>0</v>
      </c>
      <c r="BO28" s="105">
        <v>0</v>
      </c>
      <c r="BP28" s="12"/>
      <c r="BQ28" s="12">
        <v>0</v>
      </c>
      <c r="BR28" s="12">
        <v>0</v>
      </c>
      <c r="BS28" s="12"/>
      <c r="BT28" s="12">
        <v>0</v>
      </c>
      <c r="BU28" s="12">
        <v>0</v>
      </c>
      <c r="BV28" s="12"/>
      <c r="BW28" s="12">
        <v>0</v>
      </c>
      <c r="BX28" s="12">
        <v>0</v>
      </c>
      <c r="BY28" s="12"/>
      <c r="BZ28" s="12">
        <v>0</v>
      </c>
      <c r="CA28" s="12"/>
      <c r="CB28" s="12"/>
      <c r="CC28" s="12"/>
      <c r="CD28" s="78"/>
    </row>
    <row r="29" spans="1:82" ht="13.9" customHeight="1" x14ac:dyDescent="0.2">
      <c r="A29" s="12">
        <v>395</v>
      </c>
      <c r="B29" s="12" t="s">
        <v>4185</v>
      </c>
      <c r="C29" s="106" t="s">
        <v>1390</v>
      </c>
      <c r="D29" s="107" t="s">
        <v>281</v>
      </c>
      <c r="E29" s="99" t="s">
        <v>6487</v>
      </c>
      <c r="F29" s="100">
        <v>41913</v>
      </c>
      <c r="G29" s="100">
        <v>44546</v>
      </c>
      <c r="H29" s="101">
        <f t="shared" si="0"/>
        <v>44636</v>
      </c>
      <c r="I29" s="101" t="s">
        <v>291</v>
      </c>
      <c r="J29" s="12" t="s">
        <v>4431</v>
      </c>
      <c r="K29" s="12" t="s">
        <v>4440</v>
      </c>
      <c r="L29" s="12" t="s">
        <v>1941</v>
      </c>
      <c r="M29" s="102" t="str">
        <f t="shared" si="1"/>
        <v>MADRIGAL GUTIERREZ CECILIA</v>
      </c>
      <c r="N29" s="102" t="s">
        <v>6839</v>
      </c>
      <c r="O29" s="102" t="s">
        <v>4848</v>
      </c>
      <c r="P29" s="12" t="s">
        <v>1954</v>
      </c>
      <c r="Q29" s="100">
        <v>30469</v>
      </c>
      <c r="R29" s="77">
        <f t="shared" si="2"/>
        <v>2</v>
      </c>
      <c r="S29" s="77">
        <f t="shared" si="3"/>
        <v>6</v>
      </c>
      <c r="T29" s="77">
        <f t="shared" si="4"/>
        <v>1983</v>
      </c>
      <c r="U29" s="103">
        <f t="shared" ca="1" si="5"/>
        <v>43.391780821917806</v>
      </c>
      <c r="V29" s="13" t="s">
        <v>1450</v>
      </c>
      <c r="W29" s="13" t="s">
        <v>2259</v>
      </c>
      <c r="X29" s="12" t="s">
        <v>1426</v>
      </c>
      <c r="Y29" s="108" t="s">
        <v>277</v>
      </c>
      <c r="Z29" s="12" t="s">
        <v>263</v>
      </c>
      <c r="AA29" s="12" t="s">
        <v>636</v>
      </c>
      <c r="AB29" s="12" t="s">
        <v>2317</v>
      </c>
      <c r="AC29" s="12" t="s">
        <v>313</v>
      </c>
      <c r="AD29" s="12" t="s">
        <v>349</v>
      </c>
      <c r="AE29" s="12">
        <v>90</v>
      </c>
      <c r="AF29" s="13" t="s">
        <v>375</v>
      </c>
      <c r="AG29" s="12" t="s">
        <v>291</v>
      </c>
      <c r="AH29" s="104" t="s">
        <v>1398</v>
      </c>
      <c r="AI29" s="12" t="s">
        <v>317</v>
      </c>
      <c r="AJ29" s="12" t="s">
        <v>318</v>
      </c>
      <c r="AK29" s="12" t="s">
        <v>2857</v>
      </c>
      <c r="AL29" s="104" t="s">
        <v>3163</v>
      </c>
      <c r="AM29" s="12">
        <v>0</v>
      </c>
      <c r="AN29" s="12">
        <v>0</v>
      </c>
      <c r="AO29" s="12" t="s">
        <v>398</v>
      </c>
      <c r="AP29" s="12"/>
      <c r="AQ29" s="12">
        <v>0</v>
      </c>
      <c r="AR29" s="12">
        <v>0</v>
      </c>
      <c r="AS29" s="12">
        <v>0</v>
      </c>
      <c r="AT29" s="12">
        <v>0</v>
      </c>
      <c r="AU29" s="12">
        <v>0</v>
      </c>
      <c r="AV29" s="12">
        <v>0</v>
      </c>
      <c r="AW29" s="12" t="s">
        <v>328</v>
      </c>
      <c r="AX29" s="12" t="s">
        <v>329</v>
      </c>
      <c r="AY29" s="12" t="s">
        <v>330</v>
      </c>
      <c r="AZ29" s="12"/>
      <c r="BA29" s="12"/>
      <c r="BB29" s="12"/>
      <c r="BC29" s="12"/>
      <c r="BD29" s="12" t="s">
        <v>3573</v>
      </c>
      <c r="BE29" s="12" t="s">
        <v>3178</v>
      </c>
      <c r="BF29" s="12" t="s">
        <v>3806</v>
      </c>
      <c r="BG29" s="12" t="s">
        <v>362</v>
      </c>
      <c r="BH29" s="12" t="s">
        <v>362</v>
      </c>
      <c r="BI29" s="12" t="s">
        <v>3831</v>
      </c>
      <c r="BJ29" s="12" t="s">
        <v>3831</v>
      </c>
      <c r="BK29" s="12"/>
      <c r="BL29" s="105"/>
      <c r="BM29" s="12"/>
      <c r="BN29" s="12"/>
      <c r="BO29" s="105"/>
      <c r="BP29" s="12"/>
      <c r="BQ29" s="12"/>
      <c r="BR29" s="12"/>
      <c r="BS29" s="12"/>
      <c r="BT29" s="12"/>
      <c r="BU29" s="12"/>
      <c r="BV29" s="12"/>
      <c r="BW29" s="12"/>
      <c r="BX29" s="12"/>
      <c r="BY29" s="12"/>
      <c r="BZ29" s="12"/>
      <c r="CA29" s="12"/>
      <c r="CB29" s="12"/>
      <c r="CC29" s="12"/>
      <c r="CD29" s="78"/>
    </row>
    <row r="30" spans="1:82" ht="13.9" customHeight="1" x14ac:dyDescent="0.2">
      <c r="A30" s="12">
        <v>346</v>
      </c>
      <c r="B30" s="12" t="s">
        <v>4162</v>
      </c>
      <c r="C30" s="78" t="s">
        <v>335</v>
      </c>
      <c r="D30" s="107" t="s">
        <v>133</v>
      </c>
      <c r="E30" s="99" t="s">
        <v>1687</v>
      </c>
      <c r="F30" s="100">
        <v>41974</v>
      </c>
      <c r="G30" s="100">
        <v>44835</v>
      </c>
      <c r="H30" s="101">
        <f t="shared" si="0"/>
        <v>44925</v>
      </c>
      <c r="I30" s="101" t="s">
        <v>291</v>
      </c>
      <c r="J30" s="12" t="s">
        <v>4418</v>
      </c>
      <c r="K30" s="12" t="s">
        <v>4528</v>
      </c>
      <c r="L30" s="12" t="s">
        <v>1724</v>
      </c>
      <c r="M30" s="102" t="str">
        <f t="shared" si="1"/>
        <v>AMAYA SAUCEDO JOSE ANGEL</v>
      </c>
      <c r="N30" s="102" t="s">
        <v>6840</v>
      </c>
      <c r="O30" s="102" t="s">
        <v>4806</v>
      </c>
      <c r="P30" s="12" t="s">
        <v>1953</v>
      </c>
      <c r="Q30" s="100">
        <v>28338</v>
      </c>
      <c r="R30" s="77">
        <f t="shared" si="2"/>
        <v>1</v>
      </c>
      <c r="S30" s="77">
        <f t="shared" si="3"/>
        <v>8</v>
      </c>
      <c r="T30" s="77">
        <f t="shared" si="4"/>
        <v>1977</v>
      </c>
      <c r="U30" s="103">
        <f t="shared" ca="1" si="5"/>
        <v>49.230136986301368</v>
      </c>
      <c r="V30" s="13" t="s">
        <v>342</v>
      </c>
      <c r="W30" s="13" t="s">
        <v>2216</v>
      </c>
      <c r="X30" s="12" t="s">
        <v>1497</v>
      </c>
      <c r="Y30" s="108" t="s">
        <v>212</v>
      </c>
      <c r="Z30" s="12" t="s">
        <v>138</v>
      </c>
      <c r="AA30" s="12" t="s">
        <v>636</v>
      </c>
      <c r="AB30" s="12" t="s">
        <v>2302</v>
      </c>
      <c r="AC30" s="12" t="s">
        <v>313</v>
      </c>
      <c r="AD30" s="12" t="s">
        <v>349</v>
      </c>
      <c r="AE30" s="12">
        <v>90</v>
      </c>
      <c r="AF30" s="13" t="s">
        <v>671</v>
      </c>
      <c r="AG30" s="12" t="s">
        <v>291</v>
      </c>
      <c r="AH30" s="104" t="s">
        <v>2340</v>
      </c>
      <c r="AI30" s="12" t="s">
        <v>317</v>
      </c>
      <c r="AJ30" s="12" t="s">
        <v>318</v>
      </c>
      <c r="AK30" s="12">
        <v>8116602318</v>
      </c>
      <c r="AL30" s="104" t="s">
        <v>3120</v>
      </c>
      <c r="AM30" s="12" t="s">
        <v>2589</v>
      </c>
      <c r="AN30" s="12" t="s">
        <v>381</v>
      </c>
      <c r="AO30" s="12" t="s">
        <v>398</v>
      </c>
      <c r="AP30" s="12"/>
      <c r="AQ30" s="12">
        <v>0</v>
      </c>
      <c r="AR30" s="12">
        <v>0</v>
      </c>
      <c r="AS30" s="12">
        <v>0</v>
      </c>
      <c r="AT30" s="12">
        <v>0</v>
      </c>
      <c r="AU30" s="12">
        <v>0</v>
      </c>
      <c r="AV30" s="12">
        <v>0</v>
      </c>
      <c r="AW30" s="12" t="s">
        <v>328</v>
      </c>
      <c r="AX30" s="12" t="s">
        <v>329</v>
      </c>
      <c r="AY30" s="12" t="s">
        <v>330</v>
      </c>
      <c r="AZ30" s="12"/>
      <c r="BA30" s="12"/>
      <c r="BB30" s="12"/>
      <c r="BC30" s="12"/>
      <c r="BD30" s="12" t="s">
        <v>3555</v>
      </c>
      <c r="BE30" s="12" t="s">
        <v>439</v>
      </c>
      <c r="BF30" s="12" t="s">
        <v>3772</v>
      </c>
      <c r="BG30" s="12" t="s">
        <v>362</v>
      </c>
      <c r="BH30" s="12" t="s">
        <v>334</v>
      </c>
      <c r="BI30" s="12">
        <v>2</v>
      </c>
      <c r="BJ30" s="12" t="s">
        <v>3901</v>
      </c>
      <c r="BK30" s="12" t="s">
        <v>3911</v>
      </c>
      <c r="BL30" s="105">
        <v>0</v>
      </c>
      <c r="BM30" s="12"/>
      <c r="BN30" s="12">
        <v>0</v>
      </c>
      <c r="BO30" s="105">
        <v>0</v>
      </c>
      <c r="BP30" s="12"/>
      <c r="BQ30" s="12">
        <v>0</v>
      </c>
      <c r="BR30" s="12">
        <v>0</v>
      </c>
      <c r="BS30" s="12"/>
      <c r="BT30" s="12">
        <v>0</v>
      </c>
      <c r="BU30" s="12">
        <v>0</v>
      </c>
      <c r="BV30" s="12"/>
      <c r="BW30" s="12">
        <v>0</v>
      </c>
      <c r="BX30" s="12">
        <v>0</v>
      </c>
      <c r="BY30" s="12"/>
      <c r="BZ30" s="12">
        <v>0</v>
      </c>
      <c r="CA30" s="12"/>
      <c r="CB30" s="12"/>
      <c r="CC30" s="12"/>
      <c r="CD30" s="78"/>
    </row>
    <row r="31" spans="1:82" ht="13.9" customHeight="1" x14ac:dyDescent="0.2">
      <c r="A31" s="12">
        <v>134</v>
      </c>
      <c r="B31" s="12" t="s">
        <v>4137</v>
      </c>
      <c r="C31" s="78" t="s">
        <v>335</v>
      </c>
      <c r="D31" s="107" t="s">
        <v>105</v>
      </c>
      <c r="E31" s="99" t="s">
        <v>1680</v>
      </c>
      <c r="F31" s="100">
        <v>42020</v>
      </c>
      <c r="G31" s="100">
        <v>44911</v>
      </c>
      <c r="H31" s="101">
        <f t="shared" si="0"/>
        <v>45001</v>
      </c>
      <c r="I31" s="101" t="s">
        <v>291</v>
      </c>
      <c r="J31" s="12" t="s">
        <v>4324</v>
      </c>
      <c r="K31" s="12" t="s">
        <v>507</v>
      </c>
      <c r="L31" s="12" t="s">
        <v>1853</v>
      </c>
      <c r="M31" s="153" t="str">
        <f t="shared" si="1"/>
        <v>VILLALOBOS MARTINEZ RODOLFO</v>
      </c>
      <c r="N31" s="102" t="s">
        <v>6841</v>
      </c>
      <c r="O31" s="102" t="s">
        <v>4781</v>
      </c>
      <c r="P31" s="12" t="s">
        <v>1953</v>
      </c>
      <c r="Q31" s="100">
        <v>30135</v>
      </c>
      <c r="R31" s="77">
        <f t="shared" si="2"/>
        <v>3</v>
      </c>
      <c r="S31" s="77">
        <f t="shared" si="3"/>
        <v>7</v>
      </c>
      <c r="T31" s="77">
        <f t="shared" si="4"/>
        <v>1982</v>
      </c>
      <c r="U31" s="103">
        <f t="shared" ca="1" si="5"/>
        <v>44.30684931506849</v>
      </c>
      <c r="V31" s="13" t="s">
        <v>389</v>
      </c>
      <c r="W31" s="13" t="s">
        <v>2192</v>
      </c>
      <c r="X31" s="12" t="s">
        <v>693</v>
      </c>
      <c r="Y31" s="108" t="s">
        <v>225</v>
      </c>
      <c r="Z31" s="12" t="s">
        <v>223</v>
      </c>
      <c r="AA31" s="12" t="s">
        <v>2275</v>
      </c>
      <c r="AB31" s="12" t="s">
        <v>2302</v>
      </c>
      <c r="AC31" s="12" t="s">
        <v>313</v>
      </c>
      <c r="AD31" s="12" t="s">
        <v>349</v>
      </c>
      <c r="AE31" s="12">
        <v>90</v>
      </c>
      <c r="AF31" s="13" t="s">
        <v>859</v>
      </c>
      <c r="AG31" s="12" t="s">
        <v>291</v>
      </c>
      <c r="AH31" s="104" t="s">
        <v>2337</v>
      </c>
      <c r="AI31" s="12" t="s">
        <v>317</v>
      </c>
      <c r="AJ31" s="12" t="s">
        <v>318</v>
      </c>
      <c r="AK31" s="12" t="s">
        <v>2800</v>
      </c>
      <c r="AL31" s="104" t="s">
        <v>3096</v>
      </c>
      <c r="AM31" s="12" t="s">
        <v>2565</v>
      </c>
      <c r="AN31" s="12" t="s">
        <v>439</v>
      </c>
      <c r="AO31" s="12" t="s">
        <v>398</v>
      </c>
      <c r="AP31" s="12"/>
      <c r="AQ31" s="12">
        <v>0</v>
      </c>
      <c r="AR31" s="12">
        <v>0</v>
      </c>
      <c r="AS31" s="12">
        <v>0</v>
      </c>
      <c r="AT31" s="12">
        <v>0</v>
      </c>
      <c r="AU31" s="12">
        <v>0</v>
      </c>
      <c r="AV31" s="12">
        <v>0</v>
      </c>
      <c r="AW31" s="12" t="s">
        <v>328</v>
      </c>
      <c r="AX31" s="12" t="s">
        <v>357</v>
      </c>
      <c r="AY31" s="12" t="s">
        <v>330</v>
      </c>
      <c r="AZ31" s="12"/>
      <c r="BA31" s="12"/>
      <c r="BB31" s="12"/>
      <c r="BC31" s="12"/>
      <c r="BD31" s="12" t="s">
        <v>3544</v>
      </c>
      <c r="BE31" s="12" t="s">
        <v>401</v>
      </c>
      <c r="BF31" s="12" t="s">
        <v>3752</v>
      </c>
      <c r="BG31" s="12" t="s">
        <v>362</v>
      </c>
      <c r="BH31" s="12" t="s">
        <v>3814</v>
      </c>
      <c r="BI31" s="12">
        <v>2</v>
      </c>
      <c r="BJ31" s="12" t="s">
        <v>3893</v>
      </c>
      <c r="BK31" s="12" t="s">
        <v>3911</v>
      </c>
      <c r="BL31" s="105" t="s">
        <v>3917</v>
      </c>
      <c r="BM31" s="12"/>
      <c r="BN31" s="12" t="s">
        <v>3911</v>
      </c>
      <c r="BO31" s="105" t="s">
        <v>3941</v>
      </c>
      <c r="BP31" s="12"/>
      <c r="BQ31" s="12">
        <v>0</v>
      </c>
      <c r="BR31" s="12">
        <v>0</v>
      </c>
      <c r="BS31" s="12"/>
      <c r="BT31" s="12">
        <v>0</v>
      </c>
      <c r="BU31" s="12">
        <v>0</v>
      </c>
      <c r="BV31" s="12"/>
      <c r="BW31" s="12">
        <v>0</v>
      </c>
      <c r="BX31" s="12">
        <v>0</v>
      </c>
      <c r="BY31" s="12"/>
      <c r="BZ31" s="12">
        <v>0</v>
      </c>
      <c r="CA31" s="12"/>
      <c r="CB31" s="12"/>
      <c r="CC31" s="12"/>
      <c r="CD31" s="78"/>
    </row>
    <row r="32" spans="1:82" s="116" customFormat="1" ht="13.9" customHeight="1" x14ac:dyDescent="0.25">
      <c r="A32" s="109">
        <v>136</v>
      </c>
      <c r="B32" s="109" t="s">
        <v>7266</v>
      </c>
      <c r="C32" s="110" t="s">
        <v>335</v>
      </c>
      <c r="D32" s="109" t="s">
        <v>86</v>
      </c>
      <c r="E32" s="111"/>
      <c r="F32" s="112">
        <v>42100</v>
      </c>
      <c r="G32" s="112">
        <v>42100</v>
      </c>
      <c r="H32" s="113">
        <f t="shared" si="0"/>
        <v>42190</v>
      </c>
      <c r="I32" s="113" t="s">
        <v>291</v>
      </c>
      <c r="J32" s="109" t="s">
        <v>4917</v>
      </c>
      <c r="K32" s="109" t="s">
        <v>4918</v>
      </c>
      <c r="L32" s="109" t="s">
        <v>338</v>
      </c>
      <c r="M32" s="128" t="str">
        <f t="shared" si="1"/>
        <v>FERNANDEZ VERAUD JUAN CARLOS</v>
      </c>
      <c r="N32" s="152" t="s">
        <v>6470</v>
      </c>
      <c r="O32" s="128" t="s">
        <v>7227</v>
      </c>
      <c r="P32" s="109" t="s">
        <v>1953</v>
      </c>
      <c r="Q32" s="112">
        <v>21237</v>
      </c>
      <c r="R32" s="125">
        <f t="shared" si="2"/>
        <v>21</v>
      </c>
      <c r="S32" s="125">
        <f t="shared" si="3"/>
        <v>2</v>
      </c>
      <c r="T32" s="125">
        <f t="shared" si="4"/>
        <v>1958</v>
      </c>
      <c r="U32" s="142">
        <f t="shared" ca="1" si="5"/>
        <v>68.68493150684931</v>
      </c>
      <c r="V32" s="114" t="s">
        <v>342</v>
      </c>
      <c r="W32" s="114" t="s">
        <v>4286</v>
      </c>
      <c r="X32" s="109" t="s">
        <v>1497</v>
      </c>
      <c r="Y32" s="120" t="s">
        <v>216</v>
      </c>
      <c r="Z32" s="109" t="s">
        <v>233</v>
      </c>
      <c r="AA32" s="109" t="s">
        <v>857</v>
      </c>
      <c r="AB32" s="109" t="s">
        <v>2310</v>
      </c>
      <c r="AC32" s="109" t="s">
        <v>313</v>
      </c>
      <c r="AD32" s="109" t="s">
        <v>314</v>
      </c>
      <c r="AE32" s="109">
        <v>90</v>
      </c>
      <c r="AF32" s="114" t="s">
        <v>315</v>
      </c>
      <c r="AG32" s="109" t="s">
        <v>291</v>
      </c>
      <c r="AH32" s="115" t="s">
        <v>2342</v>
      </c>
      <c r="AI32" s="109" t="s">
        <v>317</v>
      </c>
      <c r="AJ32" s="109" t="s">
        <v>318</v>
      </c>
      <c r="AK32" s="109" t="s">
        <v>4287</v>
      </c>
      <c r="AL32" s="115" t="s">
        <v>4288</v>
      </c>
      <c r="AM32" s="109" t="s">
        <v>328</v>
      </c>
      <c r="AN32" s="109" t="s">
        <v>328</v>
      </c>
      <c r="AO32" s="109" t="s">
        <v>398</v>
      </c>
      <c r="AP32" s="109"/>
      <c r="AQ32" s="109">
        <v>0</v>
      </c>
      <c r="AR32" s="109">
        <v>0</v>
      </c>
      <c r="AS32" s="109">
        <v>0</v>
      </c>
      <c r="AT32" s="109">
        <v>0</v>
      </c>
      <c r="AU32" s="109">
        <v>0</v>
      </c>
      <c r="AV32" s="109">
        <v>0</v>
      </c>
      <c r="AW32" s="109" t="s">
        <v>328</v>
      </c>
      <c r="AX32" s="109" t="s">
        <v>328</v>
      </c>
      <c r="AY32" s="109" t="s">
        <v>330</v>
      </c>
      <c r="AZ32" s="109"/>
      <c r="BA32" s="109"/>
      <c r="BB32" s="109"/>
      <c r="BC32" s="109"/>
      <c r="BD32" s="109" t="s">
        <v>4289</v>
      </c>
      <c r="BE32" s="109" t="s">
        <v>381</v>
      </c>
      <c r="BF32" s="109" t="s">
        <v>4290</v>
      </c>
      <c r="BG32" s="109" t="s">
        <v>685</v>
      </c>
      <c r="BH32" s="109" t="s">
        <v>334</v>
      </c>
      <c r="BI32" s="109">
        <v>3</v>
      </c>
      <c r="BJ32" s="109" t="s">
        <v>4291</v>
      </c>
      <c r="BK32" s="109" t="s">
        <v>3911</v>
      </c>
      <c r="BL32" s="111" t="e">
        <v>#N/A</v>
      </c>
      <c r="BM32" s="109"/>
      <c r="BN32" s="109" t="s">
        <v>3911</v>
      </c>
      <c r="BO32" s="111" t="e">
        <v>#N/A</v>
      </c>
      <c r="BP32" s="109"/>
      <c r="BQ32" s="109" t="s">
        <v>3911</v>
      </c>
      <c r="BR32" s="109" t="e">
        <v>#N/A</v>
      </c>
      <c r="BS32" s="109"/>
      <c r="BT32" s="109" t="e">
        <v>#N/A</v>
      </c>
      <c r="BU32" s="109" t="e">
        <v>#N/A</v>
      </c>
      <c r="BV32" s="109"/>
      <c r="BW32" s="109" t="e">
        <v>#N/A</v>
      </c>
      <c r="BX32" s="109" t="e">
        <v>#N/A</v>
      </c>
      <c r="BY32" s="109"/>
      <c r="BZ32" s="109" t="e">
        <v>#N/A</v>
      </c>
      <c r="CA32" s="109"/>
      <c r="CB32" s="109"/>
      <c r="CC32" s="109"/>
      <c r="CD32" s="110"/>
    </row>
    <row r="33" spans="1:82" ht="13.9" customHeight="1" x14ac:dyDescent="0.25">
      <c r="A33" s="12" t="s">
        <v>294</v>
      </c>
      <c r="B33" s="12" t="s">
        <v>7267</v>
      </c>
      <c r="C33" s="78" t="s">
        <v>363</v>
      </c>
      <c r="D33" s="107" t="s">
        <v>98</v>
      </c>
      <c r="E33" s="28" t="s">
        <v>6813</v>
      </c>
      <c r="F33" s="100">
        <v>42100</v>
      </c>
      <c r="G33" s="100">
        <v>44593</v>
      </c>
      <c r="H33" s="101">
        <f t="shared" si="0"/>
        <v>44683</v>
      </c>
      <c r="I33" s="101" t="s">
        <v>291</v>
      </c>
      <c r="J33" s="12" t="s">
        <v>4382</v>
      </c>
      <c r="K33" s="12" t="s">
        <v>6814</v>
      </c>
      <c r="L33" s="12" t="s">
        <v>4295</v>
      </c>
      <c r="M33" s="102" t="str">
        <f t="shared" si="1"/>
        <v>CABRERA ARGUELLO FIDEL</v>
      </c>
      <c r="N33" s="102" t="s">
        <v>6471</v>
      </c>
      <c r="O33" s="102" t="s">
        <v>7228</v>
      </c>
      <c r="P33" s="12" t="s">
        <v>1953</v>
      </c>
      <c r="Q33" s="100">
        <v>23797</v>
      </c>
      <c r="R33" s="77">
        <f t="shared" si="2"/>
        <v>24</v>
      </c>
      <c r="S33" s="77">
        <f t="shared" si="3"/>
        <v>2</v>
      </c>
      <c r="T33" s="77">
        <f t="shared" si="4"/>
        <v>1965</v>
      </c>
      <c r="U33" s="103">
        <f t="shared" ca="1" si="5"/>
        <v>61.671232876712331</v>
      </c>
      <c r="V33" s="13" t="s">
        <v>342</v>
      </c>
      <c r="W33" s="13" t="s">
        <v>4303</v>
      </c>
      <c r="X33" s="12" t="s">
        <v>4304</v>
      </c>
      <c r="Y33" s="108" t="s">
        <v>4305</v>
      </c>
      <c r="Z33" s="12" t="s">
        <v>263</v>
      </c>
      <c r="AA33" s="12" t="s">
        <v>636</v>
      </c>
      <c r="AB33" s="12" t="s">
        <v>2302</v>
      </c>
      <c r="AC33" s="12" t="s">
        <v>313</v>
      </c>
      <c r="AD33" s="12" t="s">
        <v>314</v>
      </c>
      <c r="AE33" s="12">
        <v>90</v>
      </c>
      <c r="AF33" s="13" t="s">
        <v>375</v>
      </c>
      <c r="AG33" s="12" t="s">
        <v>291</v>
      </c>
      <c r="AH33" s="104" t="s">
        <v>1398</v>
      </c>
      <c r="AI33" s="12" t="s">
        <v>317</v>
      </c>
      <c r="AJ33" s="12" t="s">
        <v>318</v>
      </c>
      <c r="AK33" s="12" t="s">
        <v>4306</v>
      </c>
      <c r="AL33" s="104" t="s">
        <v>4307</v>
      </c>
      <c r="AM33" s="12"/>
      <c r="AN33" s="12"/>
      <c r="AO33" s="12" t="s">
        <v>398</v>
      </c>
      <c r="AP33" s="12"/>
      <c r="AQ33" s="12" t="e">
        <v>#N/A</v>
      </c>
      <c r="AR33" s="12" t="e">
        <v>#N/A</v>
      </c>
      <c r="AS33" s="12" t="e">
        <v>#N/A</v>
      </c>
      <c r="AT33" s="12" t="e">
        <v>#N/A</v>
      </c>
      <c r="AU33" s="12" t="e">
        <v>#N/A</v>
      </c>
      <c r="AV33" s="12" t="e">
        <v>#N/A</v>
      </c>
      <c r="AW33" s="12" t="e">
        <v>#N/A</v>
      </c>
      <c r="AX33" s="12" t="e">
        <v>#N/A</v>
      </c>
      <c r="AY33" s="12" t="e">
        <v>#N/A</v>
      </c>
      <c r="AZ33" s="12" t="e">
        <v>#N/A</v>
      </c>
      <c r="BA33" s="12" t="e">
        <v>#N/A</v>
      </c>
      <c r="BB33" s="12" t="e">
        <v>#N/A</v>
      </c>
      <c r="BC33" s="12" t="e">
        <v>#N/A</v>
      </c>
      <c r="BD33" s="12" t="e">
        <v>#N/A</v>
      </c>
      <c r="BE33" s="12" t="e">
        <v>#N/A</v>
      </c>
      <c r="BF33" s="12" t="e">
        <v>#N/A</v>
      </c>
      <c r="BG33" s="12" t="e">
        <v>#N/A</v>
      </c>
      <c r="BH33" s="12" t="e">
        <v>#N/A</v>
      </c>
      <c r="BI33" s="12" t="e">
        <v>#N/A</v>
      </c>
      <c r="BJ33" s="12" t="e">
        <v>#N/A</v>
      </c>
      <c r="BK33" s="12" t="e">
        <v>#N/A</v>
      </c>
      <c r="BL33" s="105" t="e">
        <v>#N/A</v>
      </c>
      <c r="BM33" s="12"/>
      <c r="BN33" s="12" t="e">
        <v>#N/A</v>
      </c>
      <c r="BO33" s="105" t="e">
        <v>#N/A</v>
      </c>
      <c r="BP33" s="12"/>
      <c r="BQ33" s="12" t="e">
        <v>#N/A</v>
      </c>
      <c r="BR33" s="12" t="e">
        <v>#N/A</v>
      </c>
      <c r="BS33" s="12"/>
      <c r="BT33" s="12" t="e">
        <v>#N/A</v>
      </c>
      <c r="BU33" s="12" t="e">
        <v>#N/A</v>
      </c>
      <c r="BV33" s="12"/>
      <c r="BW33" s="12" t="e">
        <v>#N/A</v>
      </c>
      <c r="BX33" s="12" t="e">
        <v>#N/A</v>
      </c>
      <c r="BY33" s="12"/>
      <c r="BZ33" s="12" t="e">
        <v>#N/A</v>
      </c>
      <c r="CA33" s="12"/>
      <c r="CB33" s="12"/>
      <c r="CC33" s="12"/>
      <c r="CD33" s="78"/>
    </row>
    <row r="34" spans="1:82" ht="13.9" customHeight="1" x14ac:dyDescent="0.2">
      <c r="A34" s="12">
        <v>137</v>
      </c>
      <c r="B34" s="12" t="s">
        <v>4130</v>
      </c>
      <c r="C34" s="78" t="s">
        <v>335</v>
      </c>
      <c r="D34" s="107" t="s">
        <v>161</v>
      </c>
      <c r="E34" s="99" t="s">
        <v>1677</v>
      </c>
      <c r="F34" s="100">
        <v>42110</v>
      </c>
      <c r="G34" s="100">
        <v>44911</v>
      </c>
      <c r="H34" s="101">
        <f t="shared" si="0"/>
        <v>45001</v>
      </c>
      <c r="I34" s="101" t="s">
        <v>291</v>
      </c>
      <c r="J34" s="12" t="s">
        <v>4404</v>
      </c>
      <c r="K34" s="12" t="s">
        <v>735</v>
      </c>
      <c r="L34" s="12" t="s">
        <v>1888</v>
      </c>
      <c r="M34" s="102" t="str">
        <f t="shared" si="1"/>
        <v>TERRONES RIVERA ROSA MARIA</v>
      </c>
      <c r="N34" s="102" t="s">
        <v>6842</v>
      </c>
      <c r="O34" s="102" t="s">
        <v>4774</v>
      </c>
      <c r="P34" s="12" t="s">
        <v>1954</v>
      </c>
      <c r="Q34" s="100">
        <v>25189</v>
      </c>
      <c r="R34" s="77">
        <f t="shared" si="2"/>
        <v>17</v>
      </c>
      <c r="S34" s="77">
        <f t="shared" si="3"/>
        <v>12</v>
      </c>
      <c r="T34" s="77">
        <f t="shared" si="4"/>
        <v>1968</v>
      </c>
      <c r="U34" s="103">
        <f t="shared" ca="1" si="5"/>
        <v>57.857534246575341</v>
      </c>
      <c r="V34" s="13" t="s">
        <v>1450</v>
      </c>
      <c r="W34" s="13" t="s">
        <v>2185</v>
      </c>
      <c r="X34" s="12" t="s">
        <v>1497</v>
      </c>
      <c r="Y34" s="12" t="s">
        <v>216</v>
      </c>
      <c r="Z34" s="12" t="s">
        <v>220</v>
      </c>
      <c r="AA34" s="12" t="s">
        <v>857</v>
      </c>
      <c r="AB34" s="12" t="s">
        <v>2308</v>
      </c>
      <c r="AC34" s="12" t="s">
        <v>313</v>
      </c>
      <c r="AD34" s="12" t="s">
        <v>314</v>
      </c>
      <c r="AE34" s="12">
        <v>90</v>
      </c>
      <c r="AF34" s="13" t="s">
        <v>2330</v>
      </c>
      <c r="AG34" s="12" t="s">
        <v>291</v>
      </c>
      <c r="AH34" s="104" t="s">
        <v>2343</v>
      </c>
      <c r="AI34" s="12" t="s">
        <v>317</v>
      </c>
      <c r="AJ34" s="12" t="s">
        <v>318</v>
      </c>
      <c r="AK34" s="12" t="s">
        <v>2793</v>
      </c>
      <c r="AL34" s="104" t="s">
        <v>3089</v>
      </c>
      <c r="AM34" s="12" t="s">
        <v>2558</v>
      </c>
      <c r="AN34" s="12" t="s">
        <v>832</v>
      </c>
      <c r="AO34" s="12" t="s">
        <v>398</v>
      </c>
      <c r="AP34" s="12"/>
      <c r="AQ34" s="12">
        <v>0</v>
      </c>
      <c r="AR34" s="12">
        <v>0</v>
      </c>
      <c r="AS34" s="12">
        <v>0</v>
      </c>
      <c r="AT34" s="12">
        <v>0</v>
      </c>
      <c r="AU34" s="12">
        <v>0</v>
      </c>
      <c r="AV34" s="12">
        <v>0</v>
      </c>
      <c r="AW34" s="12" t="s">
        <v>420</v>
      </c>
      <c r="AX34" s="12" t="s">
        <v>329</v>
      </c>
      <c r="AY34" s="12" t="s">
        <v>330</v>
      </c>
      <c r="AZ34" s="12"/>
      <c r="BA34" s="12"/>
      <c r="BB34" s="12"/>
      <c r="BC34" s="12"/>
      <c r="BD34" s="12" t="s">
        <v>2558</v>
      </c>
      <c r="BE34" s="12" t="s">
        <v>832</v>
      </c>
      <c r="BF34" s="12" t="s">
        <v>3745</v>
      </c>
      <c r="BG34" s="12" t="s">
        <v>488</v>
      </c>
      <c r="BH34" s="12" t="s">
        <v>362</v>
      </c>
      <c r="BI34" s="12">
        <v>3</v>
      </c>
      <c r="BJ34" s="12" t="s">
        <v>3889</v>
      </c>
      <c r="BK34" s="12" t="s">
        <v>3911</v>
      </c>
      <c r="BL34" s="105">
        <v>30</v>
      </c>
      <c r="BM34" s="12"/>
      <c r="BN34" s="12" t="s">
        <v>1953</v>
      </c>
      <c r="BO34" s="105">
        <v>27</v>
      </c>
      <c r="BP34" s="12"/>
      <c r="BQ34" s="12" t="s">
        <v>571</v>
      </c>
      <c r="BR34" s="12">
        <v>13</v>
      </c>
      <c r="BS34" s="12"/>
      <c r="BT34" s="12">
        <v>0</v>
      </c>
      <c r="BU34" s="12">
        <v>0</v>
      </c>
      <c r="BV34" s="12"/>
      <c r="BW34" s="12">
        <v>0</v>
      </c>
      <c r="BX34" s="12">
        <v>0</v>
      </c>
      <c r="BY34" s="12"/>
      <c r="BZ34" s="12">
        <v>0</v>
      </c>
      <c r="CA34" s="12"/>
      <c r="CB34" s="12"/>
      <c r="CC34" s="12"/>
      <c r="CD34" s="78"/>
    </row>
    <row r="35" spans="1:82" ht="13.9" customHeight="1" x14ac:dyDescent="0.2">
      <c r="A35" s="12">
        <v>141</v>
      </c>
      <c r="B35" s="12" t="s">
        <v>4178</v>
      </c>
      <c r="C35" s="106" t="s">
        <v>1390</v>
      </c>
      <c r="D35" s="107" t="s">
        <v>281</v>
      </c>
      <c r="E35" s="99" t="s">
        <v>1699</v>
      </c>
      <c r="F35" s="100">
        <v>42130</v>
      </c>
      <c r="G35" s="100">
        <v>44546</v>
      </c>
      <c r="H35" s="101">
        <f t="shared" si="0"/>
        <v>44636</v>
      </c>
      <c r="I35" s="101" t="s">
        <v>291</v>
      </c>
      <c r="J35" s="12" t="s">
        <v>4428</v>
      </c>
      <c r="K35" s="12" t="s">
        <v>384</v>
      </c>
      <c r="L35" s="12" t="s">
        <v>1935</v>
      </c>
      <c r="M35" s="102" t="str">
        <f t="shared" si="1"/>
        <v>LINARES SANCHEZ KAROLA</v>
      </c>
      <c r="N35" s="102" t="s">
        <v>6843</v>
      </c>
      <c r="O35" s="102" t="s">
        <v>4842</v>
      </c>
      <c r="P35" s="12" t="s">
        <v>1954</v>
      </c>
      <c r="Q35" s="100">
        <v>28046</v>
      </c>
      <c r="R35" s="77">
        <f t="shared" si="2"/>
        <v>13</v>
      </c>
      <c r="S35" s="77">
        <f t="shared" si="3"/>
        <v>10</v>
      </c>
      <c r="T35" s="77">
        <f t="shared" si="4"/>
        <v>1976</v>
      </c>
      <c r="U35" s="103">
        <f t="shared" ca="1" si="5"/>
        <v>50.030136986301372</v>
      </c>
      <c r="V35" s="13" t="s">
        <v>308</v>
      </c>
      <c r="W35" s="13" t="s">
        <v>2253</v>
      </c>
      <c r="X35" s="12" t="s">
        <v>2325</v>
      </c>
      <c r="Y35" s="108" t="s">
        <v>271</v>
      </c>
      <c r="Z35" s="12" t="s">
        <v>263</v>
      </c>
      <c r="AA35" s="12" t="s">
        <v>636</v>
      </c>
      <c r="AB35" s="12" t="s">
        <v>2316</v>
      </c>
      <c r="AC35" s="12" t="s">
        <v>313</v>
      </c>
      <c r="AD35" s="12" t="s">
        <v>349</v>
      </c>
      <c r="AE35" s="12">
        <v>90</v>
      </c>
      <c r="AF35" s="13" t="s">
        <v>375</v>
      </c>
      <c r="AG35" s="12" t="s">
        <v>291</v>
      </c>
      <c r="AH35" s="104" t="s">
        <v>1398</v>
      </c>
      <c r="AI35" s="12" t="s">
        <v>317</v>
      </c>
      <c r="AJ35" s="12" t="s">
        <v>318</v>
      </c>
      <c r="AK35" s="12" t="s">
        <v>2851</v>
      </c>
      <c r="AL35" s="104" t="s">
        <v>3157</v>
      </c>
      <c r="AM35" s="12">
        <v>0</v>
      </c>
      <c r="AN35" s="12" t="s">
        <v>401</v>
      </c>
      <c r="AO35" s="12" t="s">
        <v>398</v>
      </c>
      <c r="AP35" s="12"/>
      <c r="AQ35" s="12">
        <v>0</v>
      </c>
      <c r="AR35" s="12">
        <v>0</v>
      </c>
      <c r="AS35" s="12">
        <v>0</v>
      </c>
      <c r="AT35" s="12">
        <v>0</v>
      </c>
      <c r="AU35" s="12">
        <v>0</v>
      </c>
      <c r="AV35" s="12">
        <v>0</v>
      </c>
      <c r="AW35" s="12" t="s">
        <v>328</v>
      </c>
      <c r="AX35" s="12" t="s">
        <v>329</v>
      </c>
      <c r="AY35" s="12" t="s">
        <v>330</v>
      </c>
      <c r="AZ35" s="12"/>
      <c r="BA35" s="12"/>
      <c r="BB35" s="12"/>
      <c r="BC35" s="12"/>
      <c r="BD35" s="12" t="s">
        <v>3570</v>
      </c>
      <c r="BE35" s="12" t="s">
        <v>3582</v>
      </c>
      <c r="BF35" s="12" t="s">
        <v>3801</v>
      </c>
      <c r="BG35" s="12" t="s">
        <v>333</v>
      </c>
      <c r="BH35" s="12" t="s">
        <v>3814</v>
      </c>
      <c r="BI35" s="12" t="s">
        <v>3831</v>
      </c>
      <c r="BJ35" s="12" t="s">
        <v>3831</v>
      </c>
      <c r="BK35" s="12"/>
      <c r="BL35" s="105"/>
      <c r="BM35" s="12"/>
      <c r="BN35" s="12"/>
      <c r="BO35" s="105"/>
      <c r="BP35" s="12"/>
      <c r="BQ35" s="12"/>
      <c r="BR35" s="12"/>
      <c r="BS35" s="12"/>
      <c r="BT35" s="12"/>
      <c r="BU35" s="12"/>
      <c r="BV35" s="12"/>
      <c r="BW35" s="12"/>
      <c r="BX35" s="12"/>
      <c r="BY35" s="12"/>
      <c r="BZ35" s="12"/>
      <c r="CA35" s="12"/>
      <c r="CB35" s="12"/>
      <c r="CC35" s="12"/>
      <c r="CD35" s="78"/>
    </row>
    <row r="36" spans="1:82" ht="13.9" customHeight="1" x14ac:dyDescent="0.2">
      <c r="A36" s="12">
        <v>143</v>
      </c>
      <c r="B36" s="12" t="s">
        <v>4142</v>
      </c>
      <c r="C36" s="78" t="s">
        <v>335</v>
      </c>
      <c r="D36" s="107" t="s">
        <v>228</v>
      </c>
      <c r="E36" s="99" t="s">
        <v>1682</v>
      </c>
      <c r="F36" s="100">
        <v>42269</v>
      </c>
      <c r="G36" s="100">
        <v>44911</v>
      </c>
      <c r="H36" s="101">
        <f t="shared" si="0"/>
        <v>45001</v>
      </c>
      <c r="I36" s="101" t="s">
        <v>291</v>
      </c>
      <c r="J36" s="12" t="s">
        <v>793</v>
      </c>
      <c r="K36" s="12" t="s">
        <v>366</v>
      </c>
      <c r="L36" s="12" t="s">
        <v>1896</v>
      </c>
      <c r="M36" s="102" t="str">
        <f t="shared" si="1"/>
        <v>LOPEZ HERNANDEZ MARISELA</v>
      </c>
      <c r="N36" s="102" t="s">
        <v>6844</v>
      </c>
      <c r="O36" s="102" t="s">
        <v>4786</v>
      </c>
      <c r="P36" s="12" t="s">
        <v>1954</v>
      </c>
      <c r="Q36" s="100">
        <v>28884</v>
      </c>
      <c r="R36" s="77">
        <f t="shared" si="2"/>
        <v>29</v>
      </c>
      <c r="S36" s="77">
        <f t="shared" si="3"/>
        <v>1</v>
      </c>
      <c r="T36" s="77">
        <f t="shared" si="4"/>
        <v>1979</v>
      </c>
      <c r="U36" s="103">
        <f t="shared" ca="1" si="5"/>
        <v>47.734246575342468</v>
      </c>
      <c r="V36" s="13" t="s">
        <v>1450</v>
      </c>
      <c r="W36" s="13" t="s">
        <v>2195</v>
      </c>
      <c r="X36" s="12" t="s">
        <v>1497</v>
      </c>
      <c r="Y36" s="108" t="s">
        <v>225</v>
      </c>
      <c r="Z36" s="12" t="s">
        <v>146</v>
      </c>
      <c r="AA36" s="12" t="s">
        <v>636</v>
      </c>
      <c r="AB36" s="12" t="s">
        <v>2302</v>
      </c>
      <c r="AC36" s="12" t="s">
        <v>313</v>
      </c>
      <c r="AD36" s="12" t="s">
        <v>314</v>
      </c>
      <c r="AE36" s="12">
        <v>90</v>
      </c>
      <c r="AF36" s="13" t="s">
        <v>949</v>
      </c>
      <c r="AG36" s="12" t="s">
        <v>291</v>
      </c>
      <c r="AH36" s="104" t="s">
        <v>414</v>
      </c>
      <c r="AI36" s="12" t="s">
        <v>317</v>
      </c>
      <c r="AJ36" s="12" t="s">
        <v>318</v>
      </c>
      <c r="AK36" s="12">
        <v>4811119161</v>
      </c>
      <c r="AL36" s="104" t="s">
        <v>3099</v>
      </c>
      <c r="AM36" s="12" t="s">
        <v>2568</v>
      </c>
      <c r="AN36" s="12" t="s">
        <v>3178</v>
      </c>
      <c r="AO36" s="12" t="s">
        <v>398</v>
      </c>
      <c r="AP36" s="12"/>
      <c r="AQ36" s="12">
        <v>0</v>
      </c>
      <c r="AR36" s="12">
        <v>0</v>
      </c>
      <c r="AS36" s="12">
        <v>0</v>
      </c>
      <c r="AT36" s="12">
        <v>0</v>
      </c>
      <c r="AU36" s="12">
        <v>0</v>
      </c>
      <c r="AV36" s="12">
        <v>0</v>
      </c>
      <c r="AW36" s="12" t="s">
        <v>328</v>
      </c>
      <c r="AX36" s="12" t="s">
        <v>329</v>
      </c>
      <c r="AY36" s="12" t="s">
        <v>330</v>
      </c>
      <c r="AZ36" s="12"/>
      <c r="BA36" s="12"/>
      <c r="BB36" s="12"/>
      <c r="BC36" s="12"/>
      <c r="BD36" s="12" t="s">
        <v>2568</v>
      </c>
      <c r="BE36" s="12" t="s">
        <v>3178</v>
      </c>
      <c r="BF36" s="12" t="s">
        <v>3755</v>
      </c>
      <c r="BG36" s="12" t="s">
        <v>333</v>
      </c>
      <c r="BH36" s="12" t="s">
        <v>685</v>
      </c>
      <c r="BI36" s="12">
        <v>2</v>
      </c>
      <c r="BJ36" s="12" t="s">
        <v>3895</v>
      </c>
      <c r="BK36" s="12" t="s">
        <v>3911</v>
      </c>
      <c r="BL36" s="105">
        <v>19</v>
      </c>
      <c r="BM36" s="12"/>
      <c r="BN36" s="12" t="s">
        <v>571</v>
      </c>
      <c r="BO36" s="105">
        <v>13</v>
      </c>
      <c r="BP36" s="12"/>
      <c r="BQ36" s="12">
        <v>0</v>
      </c>
      <c r="BR36" s="12">
        <v>0</v>
      </c>
      <c r="BS36" s="12"/>
      <c r="BT36" s="12">
        <v>0</v>
      </c>
      <c r="BU36" s="12">
        <v>0</v>
      </c>
      <c r="BV36" s="12"/>
      <c r="BW36" s="12">
        <v>0</v>
      </c>
      <c r="BX36" s="12">
        <v>0</v>
      </c>
      <c r="BY36" s="12"/>
      <c r="BZ36" s="12">
        <v>0</v>
      </c>
      <c r="CA36" s="12"/>
      <c r="CB36" s="12"/>
      <c r="CC36" s="12"/>
      <c r="CD36" s="78"/>
    </row>
    <row r="37" spans="1:82" s="116" customFormat="1" ht="13.15" customHeight="1" x14ac:dyDescent="0.2">
      <c r="A37" s="109">
        <v>144</v>
      </c>
      <c r="B37" s="109" t="s">
        <v>4192</v>
      </c>
      <c r="C37" s="115" t="s">
        <v>5045</v>
      </c>
      <c r="D37" s="109" t="s">
        <v>288</v>
      </c>
      <c r="E37" s="111" t="s">
        <v>1702</v>
      </c>
      <c r="F37" s="112">
        <v>42408</v>
      </c>
      <c r="G37" s="112">
        <v>44593</v>
      </c>
      <c r="H37" s="113">
        <f t="shared" si="0"/>
        <v>44683</v>
      </c>
      <c r="I37" s="113" t="s">
        <v>291</v>
      </c>
      <c r="J37" s="109" t="s">
        <v>4335</v>
      </c>
      <c r="K37" s="109" t="s">
        <v>4541</v>
      </c>
      <c r="L37" s="109" t="s">
        <v>1952</v>
      </c>
      <c r="M37" s="128" t="str">
        <f t="shared" si="1"/>
        <v>RAMOS REYNA LILIANA SELENE</v>
      </c>
      <c r="N37" s="128" t="s">
        <v>6845</v>
      </c>
      <c r="O37" s="128" t="s">
        <v>4859</v>
      </c>
      <c r="P37" s="109" t="s">
        <v>1954</v>
      </c>
      <c r="Q37" s="112">
        <v>31559</v>
      </c>
      <c r="R37" s="125">
        <f t="shared" si="2"/>
        <v>27</v>
      </c>
      <c r="S37" s="125">
        <f t="shared" si="3"/>
        <v>5</v>
      </c>
      <c r="T37" s="125">
        <f t="shared" si="4"/>
        <v>1986</v>
      </c>
      <c r="U37" s="142">
        <f t="shared" ca="1" si="5"/>
        <v>40.405479452054792</v>
      </c>
      <c r="V37" s="114" t="s">
        <v>308</v>
      </c>
      <c r="W37" s="114" t="s">
        <v>2270</v>
      </c>
      <c r="X37" s="109" t="s">
        <v>2327</v>
      </c>
      <c r="Y37" s="120" t="s">
        <v>287</v>
      </c>
      <c r="Z37" s="109" t="s">
        <v>286</v>
      </c>
      <c r="AA37" s="109" t="s">
        <v>636</v>
      </c>
      <c r="AB37" s="109" t="s">
        <v>2302</v>
      </c>
      <c r="AC37" s="109" t="s">
        <v>313</v>
      </c>
      <c r="AD37" s="109" t="s">
        <v>349</v>
      </c>
      <c r="AE37" s="109">
        <v>90</v>
      </c>
      <c r="AF37" s="114" t="s">
        <v>375</v>
      </c>
      <c r="AG37" s="109" t="s">
        <v>291</v>
      </c>
      <c r="AH37" s="115" t="s">
        <v>1398</v>
      </c>
      <c r="AI37" s="109" t="s">
        <v>317</v>
      </c>
      <c r="AJ37" s="109" t="s">
        <v>318</v>
      </c>
      <c r="AK37" s="109" t="s">
        <v>2867</v>
      </c>
      <c r="AL37" s="115" t="s">
        <v>3174</v>
      </c>
      <c r="AM37" s="109" t="s">
        <v>2631</v>
      </c>
      <c r="AN37" s="109" t="s">
        <v>325</v>
      </c>
      <c r="AO37" s="109" t="s">
        <v>327</v>
      </c>
      <c r="AP37" s="109"/>
      <c r="AQ37" s="109">
        <v>0</v>
      </c>
      <c r="AR37" s="109">
        <v>0</v>
      </c>
      <c r="AS37" s="109">
        <v>0</v>
      </c>
      <c r="AT37" s="109">
        <v>0</v>
      </c>
      <c r="AU37" s="109">
        <v>0</v>
      </c>
      <c r="AV37" s="109">
        <v>0</v>
      </c>
      <c r="AW37" s="109" t="s">
        <v>328</v>
      </c>
      <c r="AX37" s="109" t="s">
        <v>329</v>
      </c>
      <c r="AY37" s="109">
        <v>0</v>
      </c>
      <c r="AZ37" s="109"/>
      <c r="BA37" s="109"/>
      <c r="BB37" s="109"/>
      <c r="BC37" s="109"/>
      <c r="BD37" s="109" t="s">
        <v>2631</v>
      </c>
      <c r="BE37" s="109" t="s">
        <v>325</v>
      </c>
      <c r="BF37" s="109" t="s">
        <v>3813</v>
      </c>
      <c r="BG37" s="109" t="s">
        <v>362</v>
      </c>
      <c r="BH37" s="109" t="s">
        <v>362</v>
      </c>
      <c r="BI37" s="109" t="s">
        <v>3831</v>
      </c>
      <c r="BJ37" s="109" t="s">
        <v>3831</v>
      </c>
      <c r="BK37" s="109"/>
      <c r="BL37" s="111"/>
      <c r="BM37" s="109"/>
      <c r="BN37" s="109"/>
      <c r="BO37" s="111"/>
      <c r="BP37" s="109"/>
      <c r="BQ37" s="109"/>
      <c r="BR37" s="109"/>
      <c r="BS37" s="109"/>
      <c r="BT37" s="109"/>
      <c r="BU37" s="109"/>
      <c r="BV37" s="109"/>
      <c r="BW37" s="109"/>
      <c r="BX37" s="109"/>
      <c r="BY37" s="109"/>
      <c r="BZ37" s="109"/>
      <c r="CA37" s="109"/>
      <c r="CB37" s="109"/>
      <c r="CC37" s="109"/>
      <c r="CD37" s="110"/>
    </row>
    <row r="38" spans="1:82" ht="13.9" customHeight="1" x14ac:dyDescent="0.2">
      <c r="A38" s="12">
        <v>146</v>
      </c>
      <c r="B38" s="12" t="s">
        <v>4082</v>
      </c>
      <c r="C38" s="78" t="s">
        <v>335</v>
      </c>
      <c r="D38" s="107" t="s">
        <v>228</v>
      </c>
      <c r="E38" s="99" t="s">
        <v>6736</v>
      </c>
      <c r="F38" s="100">
        <v>42478</v>
      </c>
      <c r="G38" s="100">
        <v>44949</v>
      </c>
      <c r="H38" s="101">
        <f t="shared" si="0"/>
        <v>45039</v>
      </c>
      <c r="I38" s="101" t="s">
        <v>290</v>
      </c>
      <c r="J38" s="12" t="s">
        <v>4365</v>
      </c>
      <c r="K38" s="12" t="s">
        <v>366</v>
      </c>
      <c r="L38" s="12" t="s">
        <v>1803</v>
      </c>
      <c r="M38" s="102" t="str">
        <f t="shared" si="1"/>
        <v>ANGUIANO   HERNANDEZ MA. EDITH</v>
      </c>
      <c r="N38" s="102" t="s">
        <v>7141</v>
      </c>
      <c r="O38" s="102" t="s">
        <v>4674</v>
      </c>
      <c r="P38" s="12" t="s">
        <v>1954</v>
      </c>
      <c r="Q38" s="100">
        <v>26479</v>
      </c>
      <c r="R38" s="77">
        <f t="shared" si="2"/>
        <v>29</v>
      </c>
      <c r="S38" s="77">
        <f t="shared" si="3"/>
        <v>6</v>
      </c>
      <c r="T38" s="77">
        <f t="shared" si="4"/>
        <v>1972</v>
      </c>
      <c r="U38" s="103">
        <f t="shared" ca="1" si="5"/>
        <v>54.323287671232876</v>
      </c>
      <c r="V38" s="13" t="s">
        <v>1450</v>
      </c>
      <c r="W38" s="13" t="s">
        <v>2085</v>
      </c>
      <c r="X38" s="12" t="s">
        <v>1497</v>
      </c>
      <c r="Y38" s="121" t="s">
        <v>106</v>
      </c>
      <c r="Z38" s="12" t="s">
        <v>146</v>
      </c>
      <c r="AA38" s="12" t="s">
        <v>636</v>
      </c>
      <c r="AB38" s="12" t="s">
        <v>948</v>
      </c>
      <c r="AC38" s="12" t="s">
        <v>313</v>
      </c>
      <c r="AD38" s="12" t="s">
        <v>314</v>
      </c>
      <c r="AE38" s="12">
        <v>90</v>
      </c>
      <c r="AF38" s="13" t="s">
        <v>949</v>
      </c>
      <c r="AG38" s="12" t="s">
        <v>290</v>
      </c>
      <c r="AH38" s="104" t="s">
        <v>414</v>
      </c>
      <c r="AI38" s="12" t="s">
        <v>317</v>
      </c>
      <c r="AJ38" s="12" t="s">
        <v>318</v>
      </c>
      <c r="AK38" s="12">
        <v>4871020584</v>
      </c>
      <c r="AL38" s="104" t="s">
        <v>2991</v>
      </c>
      <c r="AM38" s="12" t="s">
        <v>2467</v>
      </c>
      <c r="AN38" s="12" t="s">
        <v>1531</v>
      </c>
      <c r="AO38" s="12" t="s">
        <v>398</v>
      </c>
      <c r="AP38" s="12"/>
      <c r="AQ38" s="12">
        <v>0</v>
      </c>
      <c r="AR38" s="12">
        <v>0</v>
      </c>
      <c r="AS38" s="12">
        <v>0</v>
      </c>
      <c r="AT38" s="12">
        <v>0</v>
      </c>
      <c r="AU38" s="12">
        <v>0</v>
      </c>
      <c r="AV38" s="12">
        <v>0</v>
      </c>
      <c r="AW38" s="12" t="s">
        <v>329</v>
      </c>
      <c r="AX38" s="12" t="s">
        <v>329</v>
      </c>
      <c r="AY38" s="12" t="s">
        <v>330</v>
      </c>
      <c r="AZ38" s="12"/>
      <c r="BA38" s="12"/>
      <c r="BB38" s="12"/>
      <c r="BC38" s="12"/>
      <c r="BD38" s="12" t="s">
        <v>3498</v>
      </c>
      <c r="BE38" s="12" t="s">
        <v>3178</v>
      </c>
      <c r="BF38" s="12" t="s">
        <v>3665</v>
      </c>
      <c r="BG38" s="12" t="s">
        <v>488</v>
      </c>
      <c r="BH38" s="12" t="s">
        <v>398</v>
      </c>
      <c r="BI38" s="12">
        <v>4</v>
      </c>
      <c r="BJ38" s="12" t="s">
        <v>3888</v>
      </c>
      <c r="BK38" s="12" t="s">
        <v>3911</v>
      </c>
      <c r="BL38" s="105">
        <v>29</v>
      </c>
      <c r="BM38" s="12"/>
      <c r="BN38" s="12" t="s">
        <v>571</v>
      </c>
      <c r="BO38" s="105">
        <v>23</v>
      </c>
      <c r="BP38" s="12"/>
      <c r="BQ38" s="12" t="s">
        <v>571</v>
      </c>
      <c r="BR38" s="12">
        <v>16</v>
      </c>
      <c r="BS38" s="12"/>
      <c r="BT38" s="12" t="s">
        <v>571</v>
      </c>
      <c r="BU38" s="12"/>
      <c r="BV38" s="12"/>
      <c r="BW38" s="12" t="s">
        <v>571</v>
      </c>
      <c r="BX38" s="12"/>
      <c r="BY38" s="12"/>
      <c r="BZ38" s="12"/>
      <c r="CA38" s="12"/>
      <c r="CB38" s="12"/>
      <c r="CC38" s="12"/>
      <c r="CD38" s="78"/>
    </row>
    <row r="39" spans="1:82" ht="13.9" customHeight="1" x14ac:dyDescent="0.2">
      <c r="A39" s="12">
        <v>147</v>
      </c>
      <c r="B39" s="12" t="s">
        <v>4222</v>
      </c>
      <c r="C39" s="104" t="s">
        <v>299</v>
      </c>
      <c r="D39" s="99" t="s">
        <v>80</v>
      </c>
      <c r="E39" s="99" t="s">
        <v>1663</v>
      </c>
      <c r="F39" s="100">
        <v>42491</v>
      </c>
      <c r="G39" s="100">
        <v>44621</v>
      </c>
      <c r="H39" s="101">
        <f t="shared" si="0"/>
        <v>44711</v>
      </c>
      <c r="I39" s="101" t="s">
        <v>291</v>
      </c>
      <c r="J39" s="12" t="s">
        <v>366</v>
      </c>
      <c r="K39" s="12" t="s">
        <v>384</v>
      </c>
      <c r="L39" s="12" t="s">
        <v>1844</v>
      </c>
      <c r="M39" s="102" t="str">
        <f t="shared" si="1"/>
        <v>HERNANDEZ SANCHEZ  MATEO</v>
      </c>
      <c r="N39" s="102" t="s">
        <v>7142</v>
      </c>
      <c r="O39" s="102" t="s">
        <v>4725</v>
      </c>
      <c r="P39" s="12" t="s">
        <v>1953</v>
      </c>
      <c r="Q39" s="100">
        <v>27293</v>
      </c>
      <c r="R39" s="77">
        <f t="shared" si="2"/>
        <v>21</v>
      </c>
      <c r="S39" s="77">
        <f t="shared" si="3"/>
        <v>9</v>
      </c>
      <c r="T39" s="77">
        <f t="shared" si="4"/>
        <v>1974</v>
      </c>
      <c r="U39" s="103">
        <f t="shared" ca="1" si="5"/>
        <v>52.093150684931508</v>
      </c>
      <c r="V39" s="13" t="s">
        <v>342</v>
      </c>
      <c r="W39" s="13" t="s">
        <v>2136</v>
      </c>
      <c r="X39" s="12" t="s">
        <v>1497</v>
      </c>
      <c r="Y39" s="119" t="s">
        <v>177</v>
      </c>
      <c r="Z39" s="12" t="s">
        <v>170</v>
      </c>
      <c r="AA39" s="12" t="s">
        <v>636</v>
      </c>
      <c r="AB39" s="12" t="s">
        <v>2302</v>
      </c>
      <c r="AC39" s="12" t="s">
        <v>313</v>
      </c>
      <c r="AD39" s="12" t="s">
        <v>314</v>
      </c>
      <c r="AE39" s="12">
        <v>90</v>
      </c>
      <c r="AF39" s="13" t="s">
        <v>315</v>
      </c>
      <c r="AG39" s="12" t="s">
        <v>291</v>
      </c>
      <c r="AH39" s="104" t="s">
        <v>316</v>
      </c>
      <c r="AI39" s="12" t="s">
        <v>317</v>
      </c>
      <c r="AJ39" s="12" t="s">
        <v>318</v>
      </c>
      <c r="AK39" s="12">
        <v>0</v>
      </c>
      <c r="AL39" s="104" t="s">
        <v>3042</v>
      </c>
      <c r="AM39" s="12" t="s">
        <v>2513</v>
      </c>
      <c r="AN39" s="12">
        <v>0</v>
      </c>
      <c r="AO39" s="12" t="s">
        <v>398</v>
      </c>
      <c r="AP39" s="12"/>
      <c r="AQ39" s="12">
        <v>0</v>
      </c>
      <c r="AR39" s="12">
        <v>0</v>
      </c>
      <c r="AS39" s="12">
        <v>0</v>
      </c>
      <c r="AT39" s="12">
        <v>0</v>
      </c>
      <c r="AU39" s="12">
        <v>0</v>
      </c>
      <c r="AV39" s="12">
        <v>0</v>
      </c>
      <c r="AW39" s="12" t="s">
        <v>328</v>
      </c>
      <c r="AX39" s="12" t="s">
        <v>329</v>
      </c>
      <c r="AY39" s="12" t="s">
        <v>330</v>
      </c>
      <c r="AZ39" s="12"/>
      <c r="BA39" s="12"/>
      <c r="BB39" s="12"/>
      <c r="BC39" s="12"/>
      <c r="BD39" s="12">
        <v>0</v>
      </c>
      <c r="BE39" s="12">
        <v>0</v>
      </c>
      <c r="BF39" s="12">
        <v>0</v>
      </c>
      <c r="BG39" s="12">
        <v>0</v>
      </c>
      <c r="BH39" s="12">
        <v>0</v>
      </c>
      <c r="BI39" s="12">
        <v>0</v>
      </c>
      <c r="BJ39" s="12"/>
      <c r="BK39" s="12" t="s">
        <v>3911</v>
      </c>
      <c r="BL39" s="105">
        <v>0</v>
      </c>
      <c r="BM39" s="12"/>
      <c r="BN39" s="12">
        <v>0</v>
      </c>
      <c r="BO39" s="105">
        <v>0</v>
      </c>
      <c r="BP39" s="12"/>
      <c r="BQ39" s="12">
        <v>0</v>
      </c>
      <c r="BR39" s="12">
        <v>0</v>
      </c>
      <c r="BS39" s="12"/>
      <c r="BT39" s="12">
        <v>0</v>
      </c>
      <c r="BU39" s="12">
        <v>0</v>
      </c>
      <c r="BV39" s="12"/>
      <c r="BW39" s="12">
        <v>0</v>
      </c>
      <c r="BX39" s="12">
        <v>0</v>
      </c>
      <c r="BY39" s="12"/>
      <c r="BZ39" s="12">
        <v>0</v>
      </c>
      <c r="CA39" s="12"/>
      <c r="CB39" s="12"/>
      <c r="CC39" s="12"/>
      <c r="CD39" s="78"/>
    </row>
    <row r="40" spans="1:82" ht="13.9" customHeight="1" x14ac:dyDescent="0.2">
      <c r="A40" s="12">
        <v>348</v>
      </c>
      <c r="B40" s="12" t="s">
        <v>7269</v>
      </c>
      <c r="C40" s="78" t="s">
        <v>335</v>
      </c>
      <c r="D40" s="107" t="s">
        <v>133</v>
      </c>
      <c r="E40" s="99" t="s">
        <v>1688</v>
      </c>
      <c r="F40" s="100">
        <v>42506</v>
      </c>
      <c r="G40" s="100">
        <v>44835</v>
      </c>
      <c r="H40" s="101">
        <f t="shared" si="0"/>
        <v>44925</v>
      </c>
      <c r="I40" s="101" t="s">
        <v>291</v>
      </c>
      <c r="J40" s="12" t="s">
        <v>4370</v>
      </c>
      <c r="K40" s="12" t="s">
        <v>366</v>
      </c>
      <c r="L40" s="12" t="s">
        <v>1740</v>
      </c>
      <c r="M40" s="102" t="str">
        <f t="shared" si="1"/>
        <v>MEDELLIN HERNANDEZ ISIDRO</v>
      </c>
      <c r="N40" s="102" t="s">
        <v>6846</v>
      </c>
      <c r="O40" s="102" t="s">
        <v>4807</v>
      </c>
      <c r="P40" s="12" t="s">
        <v>1953</v>
      </c>
      <c r="Q40" s="100">
        <v>24236</v>
      </c>
      <c r="R40" s="77">
        <f t="shared" si="2"/>
        <v>9</v>
      </c>
      <c r="S40" s="77">
        <f t="shared" si="3"/>
        <v>5</v>
      </c>
      <c r="T40" s="77">
        <f t="shared" si="4"/>
        <v>1966</v>
      </c>
      <c r="U40" s="103">
        <f t="shared" ca="1" si="5"/>
        <v>60.468493150684928</v>
      </c>
      <c r="V40" s="13" t="s">
        <v>342</v>
      </c>
      <c r="W40" s="13" t="s">
        <v>2217</v>
      </c>
      <c r="X40" s="12" t="s">
        <v>1497</v>
      </c>
      <c r="Y40" s="108" t="s">
        <v>235</v>
      </c>
      <c r="Z40" s="12" t="s">
        <v>138</v>
      </c>
      <c r="AA40" s="12" t="s">
        <v>857</v>
      </c>
      <c r="AB40" s="12" t="s">
        <v>1583</v>
      </c>
      <c r="AC40" s="12" t="s">
        <v>313</v>
      </c>
      <c r="AD40" s="12" t="s">
        <v>349</v>
      </c>
      <c r="AE40" s="12">
        <v>90</v>
      </c>
      <c r="AF40" s="13" t="s">
        <v>671</v>
      </c>
      <c r="AG40" s="12" t="s">
        <v>291</v>
      </c>
      <c r="AH40" s="104" t="s">
        <v>2340</v>
      </c>
      <c r="AI40" s="12" t="s">
        <v>317</v>
      </c>
      <c r="AJ40" s="12" t="s">
        <v>318</v>
      </c>
      <c r="AK40" s="12">
        <v>8119761841</v>
      </c>
      <c r="AL40" s="104" t="s">
        <v>3121</v>
      </c>
      <c r="AM40" s="12" t="s">
        <v>2590</v>
      </c>
      <c r="AN40" s="12" t="s">
        <v>381</v>
      </c>
      <c r="AO40" s="12" t="s">
        <v>398</v>
      </c>
      <c r="AP40" s="12"/>
      <c r="AQ40" s="12">
        <v>0</v>
      </c>
      <c r="AR40" s="12">
        <v>0</v>
      </c>
      <c r="AS40" s="12">
        <v>0</v>
      </c>
      <c r="AT40" s="12">
        <v>0</v>
      </c>
      <c r="AU40" s="12">
        <v>0</v>
      </c>
      <c r="AV40" s="12">
        <v>0</v>
      </c>
      <c r="AW40" s="12" t="s">
        <v>328</v>
      </c>
      <c r="AX40" s="12" t="s">
        <v>329</v>
      </c>
      <c r="AY40" s="12" t="s">
        <v>330</v>
      </c>
      <c r="AZ40" s="12"/>
      <c r="BA40" s="12"/>
      <c r="BB40" s="12"/>
      <c r="BC40" s="12"/>
      <c r="BD40" s="12" t="s">
        <v>3556</v>
      </c>
      <c r="BE40" s="12" t="s">
        <v>381</v>
      </c>
      <c r="BF40" s="12" t="s">
        <v>3773</v>
      </c>
      <c r="BG40" s="12" t="s">
        <v>362</v>
      </c>
      <c r="BH40" s="12" t="s">
        <v>334</v>
      </c>
      <c r="BI40" s="12">
        <v>1</v>
      </c>
      <c r="BJ40" s="100">
        <v>34089</v>
      </c>
      <c r="BK40" s="12" t="s">
        <v>3911</v>
      </c>
      <c r="BL40" s="105">
        <f ca="1">(+TODAY()-BJ40)/365</f>
        <v>33.473972602739728</v>
      </c>
      <c r="BM40" s="12"/>
      <c r="BN40" s="12">
        <v>0</v>
      </c>
      <c r="BO40" s="105">
        <v>0</v>
      </c>
      <c r="BP40" s="12"/>
      <c r="BQ40" s="12">
        <v>0</v>
      </c>
      <c r="BR40" s="12">
        <v>0</v>
      </c>
      <c r="BS40" s="12"/>
      <c r="BT40" s="12">
        <v>0</v>
      </c>
      <c r="BU40" s="12">
        <v>0</v>
      </c>
      <c r="BV40" s="12"/>
      <c r="BW40" s="12">
        <v>0</v>
      </c>
      <c r="BX40" s="12">
        <v>0</v>
      </c>
      <c r="BY40" s="12"/>
      <c r="BZ40" s="12">
        <v>0</v>
      </c>
      <c r="CA40" s="12"/>
      <c r="CB40" s="12"/>
      <c r="CC40" s="12"/>
      <c r="CD40" s="78"/>
    </row>
    <row r="41" spans="1:82" ht="13.9" customHeight="1" x14ac:dyDescent="0.2">
      <c r="A41" s="12">
        <v>150</v>
      </c>
      <c r="B41" s="12" t="s">
        <v>4096</v>
      </c>
      <c r="C41" s="78" t="s">
        <v>335</v>
      </c>
      <c r="D41" s="99" t="s">
        <v>86</v>
      </c>
      <c r="E41" s="99" t="s">
        <v>1654</v>
      </c>
      <c r="F41" s="100">
        <v>42597</v>
      </c>
      <c r="G41" s="100">
        <v>44921</v>
      </c>
      <c r="H41" s="101">
        <f t="shared" si="0"/>
        <v>45011</v>
      </c>
      <c r="I41" s="101" t="s">
        <v>290</v>
      </c>
      <c r="J41" s="12" t="s">
        <v>4373</v>
      </c>
      <c r="K41" s="12" t="s">
        <v>649</v>
      </c>
      <c r="L41" s="12" t="s">
        <v>1816</v>
      </c>
      <c r="M41" s="102" t="str">
        <f t="shared" si="1"/>
        <v>CORTES ESCALANTE FILIBERTO</v>
      </c>
      <c r="N41" s="102" t="s">
        <v>6847</v>
      </c>
      <c r="O41" s="102" t="s">
        <v>4692</v>
      </c>
      <c r="P41" s="12" t="s">
        <v>1953</v>
      </c>
      <c r="Q41" s="100">
        <v>34497</v>
      </c>
      <c r="R41" s="77">
        <f t="shared" si="2"/>
        <v>12</v>
      </c>
      <c r="S41" s="77">
        <f t="shared" si="3"/>
        <v>6</v>
      </c>
      <c r="T41" s="77">
        <f t="shared" si="4"/>
        <v>1994</v>
      </c>
      <c r="U41" s="103">
        <f t="shared" ca="1" si="5"/>
        <v>32.356164383561641</v>
      </c>
      <c r="V41" s="13" t="s">
        <v>342</v>
      </c>
      <c r="W41" s="13" t="s">
        <v>2103</v>
      </c>
      <c r="X41" s="12" t="s">
        <v>1497</v>
      </c>
      <c r="Y41" s="12" t="s">
        <v>135</v>
      </c>
      <c r="Z41" s="12" t="s">
        <v>153</v>
      </c>
      <c r="AA41" s="12" t="s">
        <v>347</v>
      </c>
      <c r="AB41" s="12" t="s">
        <v>842</v>
      </c>
      <c r="AC41" s="12" t="s">
        <v>313</v>
      </c>
      <c r="AD41" s="12" t="s">
        <v>349</v>
      </c>
      <c r="AE41" s="12">
        <v>90</v>
      </c>
      <c r="AF41" s="13" t="s">
        <v>315</v>
      </c>
      <c r="AG41" s="12" t="s">
        <v>290</v>
      </c>
      <c r="AH41" s="104" t="s">
        <v>2342</v>
      </c>
      <c r="AI41" s="12" t="s">
        <v>317</v>
      </c>
      <c r="AJ41" s="12" t="s">
        <v>318</v>
      </c>
      <c r="AK41" s="12" t="s">
        <v>2729</v>
      </c>
      <c r="AL41" s="104" t="s">
        <v>3009</v>
      </c>
      <c r="AM41" s="12">
        <v>0</v>
      </c>
      <c r="AN41" s="12">
        <v>0</v>
      </c>
      <c r="AO41" s="12" t="s">
        <v>398</v>
      </c>
      <c r="AP41" s="12"/>
      <c r="AQ41" s="12">
        <v>0</v>
      </c>
      <c r="AR41" s="12">
        <v>0</v>
      </c>
      <c r="AS41" s="12">
        <v>0</v>
      </c>
      <c r="AT41" s="12">
        <v>0</v>
      </c>
      <c r="AU41" s="12">
        <v>0</v>
      </c>
      <c r="AV41" s="12">
        <v>0</v>
      </c>
      <c r="AW41" s="12" t="s">
        <v>328</v>
      </c>
      <c r="AX41" s="12" t="s">
        <v>329</v>
      </c>
      <c r="AY41" s="12" t="s">
        <v>329</v>
      </c>
      <c r="AZ41" s="12"/>
      <c r="BA41" s="12"/>
      <c r="BB41" s="12"/>
      <c r="BC41" s="12"/>
      <c r="BD41" s="12" t="s">
        <v>3503</v>
      </c>
      <c r="BE41" s="12" t="s">
        <v>381</v>
      </c>
      <c r="BF41" s="12" t="s">
        <v>3682</v>
      </c>
      <c r="BG41" s="12" t="s">
        <v>362</v>
      </c>
      <c r="BH41" s="12" t="s">
        <v>362</v>
      </c>
      <c r="BI41" s="12">
        <v>1</v>
      </c>
      <c r="BJ41" s="100">
        <v>42493</v>
      </c>
      <c r="BK41" s="12" t="s">
        <v>3888</v>
      </c>
      <c r="BL41" s="105">
        <f ca="1">(+TODAY()-BJ41)/365</f>
        <v>10.449315068493151</v>
      </c>
      <c r="BM41" s="12"/>
      <c r="BN41" s="12"/>
      <c r="BO41" s="105"/>
      <c r="BP41" s="12"/>
      <c r="BQ41" s="12"/>
      <c r="BR41" s="12"/>
      <c r="BS41" s="12"/>
      <c r="BT41" s="12"/>
      <c r="BU41" s="12"/>
      <c r="BV41" s="12"/>
      <c r="BW41" s="12"/>
      <c r="BX41" s="12"/>
      <c r="BY41" s="12"/>
      <c r="BZ41" s="12"/>
      <c r="CA41" s="12"/>
      <c r="CB41" s="12"/>
      <c r="CC41" s="12"/>
      <c r="CD41" s="78"/>
    </row>
    <row r="42" spans="1:82" s="116" customFormat="1" ht="13.9" customHeight="1" x14ac:dyDescent="0.2">
      <c r="A42" s="109">
        <v>151</v>
      </c>
      <c r="B42" s="109" t="s">
        <v>4223</v>
      </c>
      <c r="C42" s="115" t="s">
        <v>299</v>
      </c>
      <c r="D42" s="111" t="s">
        <v>80</v>
      </c>
      <c r="E42" s="111" t="s">
        <v>1664</v>
      </c>
      <c r="F42" s="112">
        <v>42632</v>
      </c>
      <c r="G42" s="112">
        <v>44562</v>
      </c>
      <c r="H42" s="113">
        <f t="shared" si="0"/>
        <v>44652</v>
      </c>
      <c r="I42" s="113" t="s">
        <v>291</v>
      </c>
      <c r="J42" s="109" t="s">
        <v>720</v>
      </c>
      <c r="K42" s="109" t="s">
        <v>4502</v>
      </c>
      <c r="L42" s="109" t="s">
        <v>1845</v>
      </c>
      <c r="M42" s="128" t="str">
        <f t="shared" si="1"/>
        <v>ORTEGA OLIVA NEREIDA</v>
      </c>
      <c r="N42" s="128" t="s">
        <v>6848</v>
      </c>
      <c r="O42" s="128" t="s">
        <v>4726</v>
      </c>
      <c r="P42" s="109" t="s">
        <v>1954</v>
      </c>
      <c r="Q42" s="112">
        <v>34866</v>
      </c>
      <c r="R42" s="125">
        <f t="shared" si="2"/>
        <v>16</v>
      </c>
      <c r="S42" s="125">
        <f t="shared" si="3"/>
        <v>6</v>
      </c>
      <c r="T42" s="125">
        <f t="shared" si="4"/>
        <v>1995</v>
      </c>
      <c r="U42" s="142">
        <f t="shared" ca="1" si="5"/>
        <v>31.345205479452055</v>
      </c>
      <c r="V42" s="114" t="s">
        <v>308</v>
      </c>
      <c r="W42" s="114" t="s">
        <v>2137</v>
      </c>
      <c r="X42" s="109" t="s">
        <v>1497</v>
      </c>
      <c r="Y42" s="109" t="s">
        <v>178</v>
      </c>
      <c r="Z42" s="109" t="s">
        <v>174</v>
      </c>
      <c r="AA42" s="109" t="s">
        <v>2273</v>
      </c>
      <c r="AB42" s="109" t="s">
        <v>2288</v>
      </c>
      <c r="AC42" s="109" t="s">
        <v>313</v>
      </c>
      <c r="AD42" s="109" t="s">
        <v>314</v>
      </c>
      <c r="AE42" s="109">
        <v>90</v>
      </c>
      <c r="AF42" s="114" t="s">
        <v>315</v>
      </c>
      <c r="AG42" s="109" t="s">
        <v>291</v>
      </c>
      <c r="AH42" s="115" t="s">
        <v>316</v>
      </c>
      <c r="AI42" s="109" t="s">
        <v>317</v>
      </c>
      <c r="AJ42" s="109" t="s">
        <v>318</v>
      </c>
      <c r="AK42" s="109" t="s">
        <v>2752</v>
      </c>
      <c r="AL42" s="115" t="s">
        <v>3043</v>
      </c>
      <c r="AM42" s="109" t="s">
        <v>2514</v>
      </c>
      <c r="AN42" s="109" t="s">
        <v>3181</v>
      </c>
      <c r="AO42" s="109" t="s">
        <v>398</v>
      </c>
      <c r="AP42" s="109"/>
      <c r="AQ42" s="109">
        <v>0</v>
      </c>
      <c r="AR42" s="109">
        <v>0</v>
      </c>
      <c r="AS42" s="109">
        <v>0</v>
      </c>
      <c r="AT42" s="109">
        <v>0</v>
      </c>
      <c r="AU42" s="109">
        <v>0</v>
      </c>
      <c r="AV42" s="109">
        <v>0</v>
      </c>
      <c r="AW42" s="109" t="s">
        <v>328</v>
      </c>
      <c r="AX42" s="109" t="s">
        <v>329</v>
      </c>
      <c r="AY42" s="109" t="s">
        <v>330</v>
      </c>
      <c r="AZ42" s="109"/>
      <c r="BA42" s="109"/>
      <c r="BB42" s="109"/>
      <c r="BC42" s="109"/>
      <c r="BD42" s="109" t="s">
        <v>3519</v>
      </c>
      <c r="BE42" s="109" t="s">
        <v>439</v>
      </c>
      <c r="BF42" s="109" t="s">
        <v>3705</v>
      </c>
      <c r="BG42" s="109" t="s">
        <v>333</v>
      </c>
      <c r="BH42" s="109" t="s">
        <v>3821</v>
      </c>
      <c r="BI42" s="109" t="s">
        <v>362</v>
      </c>
      <c r="BJ42" s="109" t="s">
        <v>3888</v>
      </c>
      <c r="BK42" s="109" t="s">
        <v>3911</v>
      </c>
      <c r="BL42" s="111">
        <v>0</v>
      </c>
      <c r="BM42" s="109"/>
      <c r="BN42" s="109">
        <v>0</v>
      </c>
      <c r="BO42" s="111">
        <v>0</v>
      </c>
      <c r="BP42" s="109"/>
      <c r="BQ42" s="109">
        <v>0</v>
      </c>
      <c r="BR42" s="109">
        <v>0</v>
      </c>
      <c r="BS42" s="109"/>
      <c r="BT42" s="109">
        <v>0</v>
      </c>
      <c r="BU42" s="109">
        <v>0</v>
      </c>
      <c r="BV42" s="109"/>
      <c r="BW42" s="109">
        <v>0</v>
      </c>
      <c r="BX42" s="109">
        <v>0</v>
      </c>
      <c r="BY42" s="109"/>
      <c r="BZ42" s="109">
        <v>0</v>
      </c>
      <c r="CA42" s="109"/>
      <c r="CB42" s="109"/>
      <c r="CC42" s="109"/>
      <c r="CD42" s="110"/>
    </row>
    <row r="43" spans="1:82" s="116" customFormat="1" ht="13.9" customHeight="1" x14ac:dyDescent="0.2">
      <c r="A43" s="12" t="s">
        <v>294</v>
      </c>
      <c r="B43" s="12" t="s">
        <v>7268</v>
      </c>
      <c r="C43" s="78" t="s">
        <v>335</v>
      </c>
      <c r="D43" s="107" t="s">
        <v>161</v>
      </c>
      <c r="E43" s="99"/>
      <c r="F43" s="100">
        <v>42683</v>
      </c>
      <c r="G43" s="100">
        <v>39326</v>
      </c>
      <c r="H43" s="101">
        <f t="shared" si="0"/>
        <v>39416</v>
      </c>
      <c r="I43" s="101" t="s">
        <v>291</v>
      </c>
      <c r="J43" s="12" t="s">
        <v>4919</v>
      </c>
      <c r="K43" s="12" t="s">
        <v>366</v>
      </c>
      <c r="L43" s="12" t="s">
        <v>4294</v>
      </c>
      <c r="M43" s="102" t="str">
        <f t="shared" si="1"/>
        <v>CHAPA HERNANDEZ JOSE LEON</v>
      </c>
      <c r="N43" s="102" t="s">
        <v>6849</v>
      </c>
      <c r="O43" s="102" t="s">
        <v>7229</v>
      </c>
      <c r="P43" s="12" t="s">
        <v>1953</v>
      </c>
      <c r="Q43" s="100">
        <v>21852</v>
      </c>
      <c r="R43" s="77">
        <f t="shared" si="2"/>
        <v>29</v>
      </c>
      <c r="S43" s="77">
        <f t="shared" si="3"/>
        <v>10</v>
      </c>
      <c r="T43" s="77">
        <f t="shared" si="4"/>
        <v>1959</v>
      </c>
      <c r="U43" s="103">
        <f t="shared" ca="1" si="5"/>
        <v>67</v>
      </c>
      <c r="V43" s="13" t="s">
        <v>1959</v>
      </c>
      <c r="W43" s="13" t="s">
        <v>4296</v>
      </c>
      <c r="X43" s="12" t="s">
        <v>1497</v>
      </c>
      <c r="Y43" s="108" t="s">
        <v>212</v>
      </c>
      <c r="Z43" s="12" t="s">
        <v>167</v>
      </c>
      <c r="AA43" s="12" t="s">
        <v>636</v>
      </c>
      <c r="AB43" s="12" t="s">
        <v>2302</v>
      </c>
      <c r="AC43" s="12" t="s">
        <v>313</v>
      </c>
      <c r="AD43" s="12" t="s">
        <v>314</v>
      </c>
      <c r="AE43" s="12">
        <v>90</v>
      </c>
      <c r="AF43" s="13" t="s">
        <v>2330</v>
      </c>
      <c r="AG43" s="12" t="s">
        <v>291</v>
      </c>
      <c r="AH43" s="104" t="s">
        <v>2343</v>
      </c>
      <c r="AI43" s="12" t="s">
        <v>317</v>
      </c>
      <c r="AJ43" s="12" t="s">
        <v>318</v>
      </c>
      <c r="AK43" s="12" t="s">
        <v>4297</v>
      </c>
      <c r="AL43" s="104" t="s">
        <v>4298</v>
      </c>
      <c r="AM43" s="12" t="s">
        <v>4299</v>
      </c>
      <c r="AN43" s="12" t="s">
        <v>1531</v>
      </c>
      <c r="AO43" s="12" t="s">
        <v>398</v>
      </c>
      <c r="AP43" s="12"/>
      <c r="AQ43" s="12">
        <v>0</v>
      </c>
      <c r="AR43" s="12">
        <v>0</v>
      </c>
      <c r="AS43" s="12">
        <v>0</v>
      </c>
      <c r="AT43" s="12">
        <v>0</v>
      </c>
      <c r="AU43" s="12">
        <v>0</v>
      </c>
      <c r="AV43" s="12">
        <v>0</v>
      </c>
      <c r="AW43" s="12" t="s">
        <v>328</v>
      </c>
      <c r="AX43" s="12" t="s">
        <v>328</v>
      </c>
      <c r="AY43" s="12" t="s">
        <v>328</v>
      </c>
      <c r="AZ43" s="12"/>
      <c r="BA43" s="12"/>
      <c r="BB43" s="12"/>
      <c r="BC43" s="12"/>
      <c r="BD43" s="12" t="s">
        <v>4299</v>
      </c>
      <c r="BE43" s="12" t="s">
        <v>1531</v>
      </c>
      <c r="BF43" s="12" t="s">
        <v>4300</v>
      </c>
      <c r="BG43" s="12" t="s">
        <v>333</v>
      </c>
      <c r="BH43" s="12" t="s">
        <v>362</v>
      </c>
      <c r="BI43" s="12">
        <v>4</v>
      </c>
      <c r="BJ43" s="12" t="s">
        <v>4301</v>
      </c>
      <c r="BK43" s="12" t="s">
        <v>3911</v>
      </c>
      <c r="BL43" s="105">
        <v>31</v>
      </c>
      <c r="BM43" s="12"/>
      <c r="BN43" s="12" t="s">
        <v>1953</v>
      </c>
      <c r="BO43" s="105">
        <v>29</v>
      </c>
      <c r="BP43" s="12"/>
      <c r="BQ43" s="12" t="s">
        <v>1953</v>
      </c>
      <c r="BR43" s="12">
        <v>25</v>
      </c>
      <c r="BS43" s="12"/>
      <c r="BT43" s="12" t="s">
        <v>1953</v>
      </c>
      <c r="BU43" s="12">
        <v>12</v>
      </c>
      <c r="BV43" s="12"/>
      <c r="BW43" s="12"/>
      <c r="BX43" s="12"/>
      <c r="BY43" s="12"/>
      <c r="BZ43" s="12"/>
      <c r="CA43" s="12"/>
      <c r="CB43" s="12"/>
      <c r="CC43" s="12"/>
      <c r="CD43" s="110"/>
    </row>
    <row r="44" spans="1:82" ht="13.9" customHeight="1" x14ac:dyDescent="0.2">
      <c r="A44" s="12" t="s">
        <v>294</v>
      </c>
      <c r="B44" s="12" t="s">
        <v>7269</v>
      </c>
      <c r="C44" s="78" t="s">
        <v>335</v>
      </c>
      <c r="D44" s="107" t="s">
        <v>133</v>
      </c>
      <c r="E44" s="99" t="s">
        <v>1688</v>
      </c>
      <c r="F44" s="100">
        <v>42683</v>
      </c>
      <c r="G44" s="100">
        <v>42683</v>
      </c>
      <c r="H44" s="101">
        <f t="shared" si="0"/>
        <v>42773</v>
      </c>
      <c r="I44" s="101" t="s">
        <v>291</v>
      </c>
      <c r="J44" s="12" t="s">
        <v>4370</v>
      </c>
      <c r="K44" s="12" t="s">
        <v>366</v>
      </c>
      <c r="L44" s="12" t="s">
        <v>1740</v>
      </c>
      <c r="M44" s="102" t="str">
        <f t="shared" si="1"/>
        <v>MEDELLIN HERNANDEZ ISIDRO</v>
      </c>
      <c r="N44" s="102" t="s">
        <v>6846</v>
      </c>
      <c r="O44" s="102" t="s">
        <v>4807</v>
      </c>
      <c r="P44" s="12" t="s">
        <v>1953</v>
      </c>
      <c r="Q44" s="100">
        <v>24236</v>
      </c>
      <c r="R44" s="77">
        <f t="shared" si="2"/>
        <v>9</v>
      </c>
      <c r="S44" s="77">
        <f t="shared" si="3"/>
        <v>5</v>
      </c>
      <c r="T44" s="77">
        <f t="shared" si="4"/>
        <v>1966</v>
      </c>
      <c r="U44" s="103">
        <f t="shared" ca="1" si="5"/>
        <v>60.468493150684928</v>
      </c>
      <c r="V44" s="13" t="s">
        <v>342</v>
      </c>
      <c r="W44" s="13" t="s">
        <v>2217</v>
      </c>
      <c r="X44" s="12" t="s">
        <v>1497</v>
      </c>
      <c r="Y44" s="108" t="s">
        <v>216</v>
      </c>
      <c r="Z44" s="12" t="s">
        <v>4302</v>
      </c>
      <c r="AA44" s="12" t="s">
        <v>857</v>
      </c>
      <c r="AB44" s="12" t="s">
        <v>1583</v>
      </c>
      <c r="AC44" s="12" t="s">
        <v>313</v>
      </c>
      <c r="AD44" s="12" t="s">
        <v>314</v>
      </c>
      <c r="AE44" s="12">
        <v>90</v>
      </c>
      <c r="AF44" s="13" t="s">
        <v>671</v>
      </c>
      <c r="AG44" s="12" t="s">
        <v>291</v>
      </c>
      <c r="AH44" s="104" t="s">
        <v>2340</v>
      </c>
      <c r="AI44" s="12" t="s">
        <v>317</v>
      </c>
      <c r="AJ44" s="12" t="s">
        <v>318</v>
      </c>
      <c r="AK44" s="12">
        <v>8119761841</v>
      </c>
      <c r="AL44" s="104" t="s">
        <v>3121</v>
      </c>
      <c r="AM44" s="12" t="s">
        <v>2590</v>
      </c>
      <c r="AN44" s="12" t="s">
        <v>381</v>
      </c>
      <c r="AO44" s="12" t="s">
        <v>398</v>
      </c>
      <c r="AP44" s="12" t="s">
        <v>398</v>
      </c>
      <c r="AQ44" s="12">
        <v>0</v>
      </c>
      <c r="AR44" s="12">
        <v>0</v>
      </c>
      <c r="AS44" s="12">
        <v>0</v>
      </c>
      <c r="AT44" s="12">
        <v>0</v>
      </c>
      <c r="AU44" s="12">
        <v>0</v>
      </c>
      <c r="AV44" s="12">
        <v>0</v>
      </c>
      <c r="AW44" s="12" t="e">
        <v>#N/A</v>
      </c>
      <c r="AX44" s="12" t="e">
        <v>#N/A</v>
      </c>
      <c r="AY44" s="12" t="s">
        <v>330</v>
      </c>
      <c r="AZ44" s="12"/>
      <c r="BA44" s="12"/>
      <c r="BB44" s="12"/>
      <c r="BC44" s="12"/>
      <c r="BD44" s="12" t="s">
        <v>3556</v>
      </c>
      <c r="BE44" s="12" t="s">
        <v>381</v>
      </c>
      <c r="BF44" s="12" t="s">
        <v>3773</v>
      </c>
      <c r="BG44" s="12" t="s">
        <v>362</v>
      </c>
      <c r="BH44" s="12" t="s">
        <v>334</v>
      </c>
      <c r="BI44" s="12">
        <v>1</v>
      </c>
      <c r="BJ44" s="100">
        <v>34089</v>
      </c>
      <c r="BK44" s="12" t="s">
        <v>3911</v>
      </c>
      <c r="BL44" s="105">
        <v>32</v>
      </c>
      <c r="BM44" s="12"/>
      <c r="BN44" s="12"/>
      <c r="BO44" s="105"/>
      <c r="BP44" s="12"/>
      <c r="BQ44" s="12"/>
      <c r="BR44" s="12"/>
      <c r="BS44" s="12"/>
      <c r="BT44" s="12"/>
      <c r="BU44" s="12"/>
      <c r="BV44" s="12"/>
      <c r="BW44" s="12"/>
      <c r="BX44" s="12"/>
      <c r="BY44" s="12"/>
      <c r="BZ44" s="12"/>
      <c r="CA44" s="12"/>
      <c r="CB44" s="12"/>
      <c r="CC44" s="12"/>
      <c r="CD44" s="78"/>
    </row>
    <row r="45" spans="1:82" ht="13.9" customHeight="1" x14ac:dyDescent="0.2">
      <c r="A45" s="12">
        <v>153</v>
      </c>
      <c r="B45" s="12" t="s">
        <v>4111</v>
      </c>
      <c r="C45" s="78" t="s">
        <v>335</v>
      </c>
      <c r="D45" s="99" t="s">
        <v>161</v>
      </c>
      <c r="E45" s="99" t="s">
        <v>1655</v>
      </c>
      <c r="F45" s="100">
        <v>42752</v>
      </c>
      <c r="G45" s="100">
        <v>44914</v>
      </c>
      <c r="H45" s="101">
        <f t="shared" si="0"/>
        <v>45004</v>
      </c>
      <c r="I45" s="101" t="s">
        <v>290</v>
      </c>
      <c r="J45" s="12" t="s">
        <v>366</v>
      </c>
      <c r="K45" s="12" t="s">
        <v>337</v>
      </c>
      <c r="L45" s="12" t="s">
        <v>1829</v>
      </c>
      <c r="M45" s="102" t="str">
        <f t="shared" si="1"/>
        <v>HERNANDEZ FLORES ANGEL ADRIEL</v>
      </c>
      <c r="N45" s="102" t="s">
        <v>6850</v>
      </c>
      <c r="O45" s="102" t="s">
        <v>4707</v>
      </c>
      <c r="P45" s="12" t="s">
        <v>1953</v>
      </c>
      <c r="Q45" s="100">
        <v>34639</v>
      </c>
      <c r="R45" s="77">
        <f t="shared" si="2"/>
        <v>1</v>
      </c>
      <c r="S45" s="77">
        <f t="shared" si="3"/>
        <v>11</v>
      </c>
      <c r="T45" s="77">
        <f t="shared" si="4"/>
        <v>1994</v>
      </c>
      <c r="U45" s="103">
        <f t="shared" ca="1" si="5"/>
        <v>31.967123287671232</v>
      </c>
      <c r="V45" s="13" t="s">
        <v>389</v>
      </c>
      <c r="W45" s="13" t="s">
        <v>2118</v>
      </c>
      <c r="X45" s="12" t="s">
        <v>1497</v>
      </c>
      <c r="Y45" s="12" t="s">
        <v>108</v>
      </c>
      <c r="Z45" s="12" t="s">
        <v>163</v>
      </c>
      <c r="AA45" s="12" t="s">
        <v>2271</v>
      </c>
      <c r="AB45" s="12" t="s">
        <v>2297</v>
      </c>
      <c r="AC45" s="12" t="s">
        <v>313</v>
      </c>
      <c r="AD45" s="12" t="s">
        <v>314</v>
      </c>
      <c r="AE45" s="12">
        <v>90</v>
      </c>
      <c r="AF45" s="13" t="s">
        <v>2330</v>
      </c>
      <c r="AG45" s="12" t="s">
        <v>290</v>
      </c>
      <c r="AH45" s="104" t="s">
        <v>2343</v>
      </c>
      <c r="AI45" s="12" t="s">
        <v>317</v>
      </c>
      <c r="AJ45" s="12" t="s">
        <v>318</v>
      </c>
      <c r="AK45" s="12" t="s">
        <v>2737</v>
      </c>
      <c r="AL45" s="104" t="s">
        <v>3024</v>
      </c>
      <c r="AM45" s="12" t="s">
        <v>2495</v>
      </c>
      <c r="AN45" s="12" t="s">
        <v>325</v>
      </c>
      <c r="AO45" s="12" t="s">
        <v>398</v>
      </c>
      <c r="AP45" s="12"/>
      <c r="AQ45" s="12">
        <v>0</v>
      </c>
      <c r="AR45" s="12">
        <v>0</v>
      </c>
      <c r="AS45" s="12">
        <v>0</v>
      </c>
      <c r="AT45" s="12">
        <v>0</v>
      </c>
      <c r="AU45" s="12">
        <v>0</v>
      </c>
      <c r="AV45" s="12">
        <v>0</v>
      </c>
      <c r="AW45" s="12" t="s">
        <v>420</v>
      </c>
      <c r="AX45" s="12" t="s">
        <v>329</v>
      </c>
      <c r="AY45" s="12" t="s">
        <v>330</v>
      </c>
      <c r="AZ45" s="12"/>
      <c r="BA45" s="12"/>
      <c r="BB45" s="12"/>
      <c r="BC45" s="12"/>
      <c r="BD45" s="12" t="s">
        <v>3509</v>
      </c>
      <c r="BE45" s="12" t="s">
        <v>560</v>
      </c>
      <c r="BF45" s="12" t="s">
        <v>3689</v>
      </c>
      <c r="BG45" s="12" t="s">
        <v>333</v>
      </c>
      <c r="BH45" s="12" t="s">
        <v>362</v>
      </c>
      <c r="BI45" s="12">
        <v>1</v>
      </c>
      <c r="BJ45" s="100">
        <v>42108</v>
      </c>
      <c r="BK45" s="12" t="s">
        <v>3911</v>
      </c>
      <c r="BL45" s="105">
        <f ca="1">(+TODAY()-BJ45)/365</f>
        <v>11.504109589041096</v>
      </c>
      <c r="BM45" s="12"/>
      <c r="BN45" s="12">
        <v>0</v>
      </c>
      <c r="BO45" s="105">
        <v>0</v>
      </c>
      <c r="BP45" s="12"/>
      <c r="BQ45" s="12">
        <v>0</v>
      </c>
      <c r="BR45" s="12">
        <v>0</v>
      </c>
      <c r="BS45" s="12"/>
      <c r="BT45" s="12">
        <v>0</v>
      </c>
      <c r="BU45" s="12">
        <v>0</v>
      </c>
      <c r="BV45" s="12"/>
      <c r="BW45" s="12">
        <v>0</v>
      </c>
      <c r="BX45" s="12">
        <v>0</v>
      </c>
      <c r="BY45" s="12"/>
      <c r="BZ45" s="12">
        <v>0</v>
      </c>
      <c r="CA45" s="12"/>
      <c r="CB45" s="12"/>
      <c r="CC45" s="12"/>
      <c r="CD45" s="78"/>
    </row>
    <row r="46" spans="1:82" ht="13.9" customHeight="1" x14ac:dyDescent="0.2">
      <c r="A46" s="107">
        <v>154</v>
      </c>
      <c r="B46" s="107" t="s">
        <v>4204</v>
      </c>
      <c r="C46" s="78" t="s">
        <v>363</v>
      </c>
      <c r="D46" s="107" t="s">
        <v>86</v>
      </c>
      <c r="E46" s="99" t="s">
        <v>6488</v>
      </c>
      <c r="F46" s="100">
        <v>42767</v>
      </c>
      <c r="G46" s="117">
        <v>44593</v>
      </c>
      <c r="H46" s="101">
        <f t="shared" si="0"/>
        <v>44683</v>
      </c>
      <c r="I46" s="101" t="s">
        <v>291</v>
      </c>
      <c r="J46" s="12" t="s">
        <v>4421</v>
      </c>
      <c r="K46" s="12" t="s">
        <v>4530</v>
      </c>
      <c r="L46" s="12" t="s">
        <v>1704</v>
      </c>
      <c r="M46" s="102" t="str">
        <f t="shared" si="1"/>
        <v>ARREGUIN DAVILA RAUL</v>
      </c>
      <c r="N46" s="102" t="s">
        <v>6851</v>
      </c>
      <c r="O46" s="102" t="s">
        <v>4817</v>
      </c>
      <c r="P46" s="12" t="s">
        <v>1953</v>
      </c>
      <c r="Q46" s="100">
        <v>25160</v>
      </c>
      <c r="R46" s="77">
        <f t="shared" si="2"/>
        <v>18</v>
      </c>
      <c r="S46" s="77">
        <f t="shared" si="3"/>
        <v>11</v>
      </c>
      <c r="T46" s="77">
        <f t="shared" si="4"/>
        <v>1968</v>
      </c>
      <c r="U46" s="103">
        <f t="shared" ca="1" si="5"/>
        <v>57.936986301369863</v>
      </c>
      <c r="V46" s="13" t="s">
        <v>1959</v>
      </c>
      <c r="W46" s="13" t="s">
        <v>2227</v>
      </c>
      <c r="X46" s="12" t="s">
        <v>1497</v>
      </c>
      <c r="Y46" s="108" t="s">
        <v>243</v>
      </c>
      <c r="Z46" s="12" t="s">
        <v>93</v>
      </c>
      <c r="AA46" s="12" t="s">
        <v>636</v>
      </c>
      <c r="AB46" s="12" t="s">
        <v>2302</v>
      </c>
      <c r="AC46" s="12" t="s">
        <v>313</v>
      </c>
      <c r="AD46" s="12" t="s">
        <v>314</v>
      </c>
      <c r="AE46" s="12">
        <v>90</v>
      </c>
      <c r="AF46" s="13" t="s">
        <v>375</v>
      </c>
      <c r="AG46" s="12" t="s">
        <v>291</v>
      </c>
      <c r="AH46" s="104" t="s">
        <v>2335</v>
      </c>
      <c r="AI46" s="12" t="s">
        <v>317</v>
      </c>
      <c r="AJ46" s="12" t="s">
        <v>318</v>
      </c>
      <c r="AK46" s="12" t="s">
        <v>2830</v>
      </c>
      <c r="AL46" s="104" t="s">
        <v>3131</v>
      </c>
      <c r="AM46" s="12" t="s">
        <v>2600</v>
      </c>
      <c r="AN46" s="12" t="s">
        <v>3188</v>
      </c>
      <c r="AO46" s="12" t="s">
        <v>398</v>
      </c>
      <c r="AP46" s="12"/>
      <c r="AQ46" s="12">
        <v>0</v>
      </c>
      <c r="AR46" s="12">
        <v>0</v>
      </c>
      <c r="AS46" s="12">
        <v>0</v>
      </c>
      <c r="AT46" s="12">
        <v>0</v>
      </c>
      <c r="AU46" s="12">
        <v>0</v>
      </c>
      <c r="AV46" s="12">
        <v>0</v>
      </c>
      <c r="AW46" s="12" t="s">
        <v>328</v>
      </c>
      <c r="AX46" s="12" t="s">
        <v>357</v>
      </c>
      <c r="AY46" s="12" t="s">
        <v>330</v>
      </c>
      <c r="AZ46" s="12"/>
      <c r="BA46" s="12"/>
      <c r="BB46" s="12"/>
      <c r="BC46" s="12"/>
      <c r="BD46" s="12" t="s">
        <v>3559</v>
      </c>
      <c r="BE46" s="12" t="s">
        <v>622</v>
      </c>
      <c r="BF46" s="12">
        <v>4448136558</v>
      </c>
      <c r="BG46" s="12" t="s">
        <v>362</v>
      </c>
      <c r="BH46" s="12" t="s">
        <v>362</v>
      </c>
      <c r="BI46" s="12">
        <v>2</v>
      </c>
      <c r="BJ46" s="12" t="s">
        <v>3904</v>
      </c>
      <c r="BK46" s="12" t="s">
        <v>3911</v>
      </c>
      <c r="BL46" s="105">
        <v>19</v>
      </c>
      <c r="BM46" s="12"/>
      <c r="BN46" s="12" t="s">
        <v>3911</v>
      </c>
      <c r="BO46" s="105">
        <v>15</v>
      </c>
      <c r="BP46" s="12"/>
      <c r="BQ46" s="12">
        <v>0</v>
      </c>
      <c r="BR46" s="12">
        <v>0</v>
      </c>
      <c r="BS46" s="12"/>
      <c r="BT46" s="12">
        <v>0</v>
      </c>
      <c r="BU46" s="12">
        <v>0</v>
      </c>
      <c r="BV46" s="12"/>
      <c r="BW46" s="12">
        <v>0</v>
      </c>
      <c r="BX46" s="12">
        <v>0</v>
      </c>
      <c r="BY46" s="12"/>
      <c r="BZ46" s="12">
        <v>0</v>
      </c>
      <c r="CA46" s="12"/>
      <c r="CB46" s="12"/>
      <c r="CC46" s="12"/>
      <c r="CD46" s="78"/>
    </row>
    <row r="47" spans="1:82" ht="13.9" customHeight="1" x14ac:dyDescent="0.2">
      <c r="A47" s="107">
        <v>155</v>
      </c>
      <c r="B47" s="107" t="s">
        <v>4205</v>
      </c>
      <c r="C47" s="78" t="s">
        <v>363</v>
      </c>
      <c r="D47" s="107" t="s">
        <v>86</v>
      </c>
      <c r="E47" s="99" t="s">
        <v>1689</v>
      </c>
      <c r="F47" s="100">
        <v>42767</v>
      </c>
      <c r="G47" s="117">
        <v>44593</v>
      </c>
      <c r="H47" s="101">
        <f t="shared" si="0"/>
        <v>44683</v>
      </c>
      <c r="I47" s="101" t="s">
        <v>291</v>
      </c>
      <c r="J47" s="12" t="s">
        <v>4422</v>
      </c>
      <c r="K47" s="12" t="s">
        <v>1044</v>
      </c>
      <c r="L47" s="12" t="s">
        <v>1918</v>
      </c>
      <c r="M47" s="102" t="str">
        <f t="shared" si="1"/>
        <v>GARCES RODRIGUEZ ULISES ANTONIO</v>
      </c>
      <c r="N47" s="102" t="s">
        <v>6852</v>
      </c>
      <c r="O47" s="102" t="s">
        <v>4818</v>
      </c>
      <c r="P47" s="12" t="s">
        <v>1953</v>
      </c>
      <c r="Q47" s="100">
        <v>29958</v>
      </c>
      <c r="R47" s="77">
        <f t="shared" si="2"/>
        <v>7</v>
      </c>
      <c r="S47" s="77">
        <f t="shared" si="3"/>
        <v>1</v>
      </c>
      <c r="T47" s="77">
        <f t="shared" si="4"/>
        <v>1982</v>
      </c>
      <c r="U47" s="103">
        <f t="shared" ca="1" si="5"/>
        <v>44.791780821917811</v>
      </c>
      <c r="V47" s="13" t="s">
        <v>342</v>
      </c>
      <c r="W47" s="13" t="s">
        <v>2228</v>
      </c>
      <c r="X47" s="12" t="s">
        <v>2322</v>
      </c>
      <c r="Y47" s="108" t="s">
        <v>245</v>
      </c>
      <c r="Z47" s="12" t="s">
        <v>244</v>
      </c>
      <c r="AA47" s="12" t="s">
        <v>2276</v>
      </c>
      <c r="AB47" s="12" t="s">
        <v>1428</v>
      </c>
      <c r="AC47" s="12" t="s">
        <v>313</v>
      </c>
      <c r="AD47" s="12" t="s">
        <v>314</v>
      </c>
      <c r="AE47" s="12">
        <v>90</v>
      </c>
      <c r="AF47" s="13" t="s">
        <v>375</v>
      </c>
      <c r="AG47" s="12" t="s">
        <v>291</v>
      </c>
      <c r="AH47" s="104" t="s">
        <v>2346</v>
      </c>
      <c r="AI47" s="12" t="s">
        <v>317</v>
      </c>
      <c r="AJ47" s="12" t="s">
        <v>318</v>
      </c>
      <c r="AK47" s="12" t="s">
        <v>2831</v>
      </c>
      <c r="AL47" s="104" t="s">
        <v>3132</v>
      </c>
      <c r="AM47" s="12" t="s">
        <v>2601</v>
      </c>
      <c r="AN47" s="12" t="s">
        <v>381</v>
      </c>
      <c r="AO47" s="12" t="s">
        <v>398</v>
      </c>
      <c r="AP47" s="12"/>
      <c r="AQ47" s="12">
        <v>0</v>
      </c>
      <c r="AR47" s="12">
        <v>0</v>
      </c>
      <c r="AS47" s="12">
        <v>0</v>
      </c>
      <c r="AT47" s="12">
        <v>0</v>
      </c>
      <c r="AU47" s="12">
        <v>0</v>
      </c>
      <c r="AV47" s="12">
        <v>0</v>
      </c>
      <c r="AW47" s="12" t="s">
        <v>328</v>
      </c>
      <c r="AX47" s="12" t="s">
        <v>357</v>
      </c>
      <c r="AY47" s="12" t="s">
        <v>330</v>
      </c>
      <c r="AZ47" s="12"/>
      <c r="BA47" s="12" t="s">
        <v>3449</v>
      </c>
      <c r="BB47" s="12"/>
      <c r="BC47" s="12"/>
      <c r="BD47" s="12" t="s">
        <v>2601</v>
      </c>
      <c r="BE47" s="12" t="s">
        <v>381</v>
      </c>
      <c r="BF47" s="12" t="s">
        <v>3782</v>
      </c>
      <c r="BG47" s="12" t="s">
        <v>362</v>
      </c>
      <c r="BH47" s="12" t="s">
        <v>362</v>
      </c>
      <c r="BI47" s="12">
        <v>2</v>
      </c>
      <c r="BJ47" s="12" t="s">
        <v>3905</v>
      </c>
      <c r="BK47" s="12" t="s">
        <v>3911</v>
      </c>
      <c r="BL47" s="105">
        <v>14</v>
      </c>
      <c r="BM47" s="12"/>
      <c r="BN47" s="12" t="s">
        <v>3911</v>
      </c>
      <c r="BO47" s="105">
        <v>11</v>
      </c>
      <c r="BP47" s="12"/>
      <c r="BQ47" s="12">
        <v>0</v>
      </c>
      <c r="BR47" s="12">
        <v>0</v>
      </c>
      <c r="BS47" s="12"/>
      <c r="BT47" s="12">
        <v>0</v>
      </c>
      <c r="BU47" s="12">
        <v>0</v>
      </c>
      <c r="BV47" s="12"/>
      <c r="BW47" s="12">
        <v>0</v>
      </c>
      <c r="BX47" s="12">
        <v>0</v>
      </c>
      <c r="BY47" s="12"/>
      <c r="BZ47" s="12">
        <v>0</v>
      </c>
      <c r="CA47" s="12"/>
      <c r="CB47" s="12"/>
      <c r="CC47" s="12"/>
      <c r="CD47" s="78"/>
    </row>
    <row r="48" spans="1:82" ht="13.9" customHeight="1" x14ac:dyDescent="0.2">
      <c r="A48" s="107">
        <v>571</v>
      </c>
      <c r="B48" s="107" t="s">
        <v>4216</v>
      </c>
      <c r="C48" s="78" t="s">
        <v>363</v>
      </c>
      <c r="D48" s="107" t="s">
        <v>98</v>
      </c>
      <c r="E48" s="99" t="s">
        <v>6489</v>
      </c>
      <c r="F48" s="100">
        <v>42815</v>
      </c>
      <c r="G48" s="117">
        <v>45307</v>
      </c>
      <c r="H48" s="101">
        <f t="shared" si="0"/>
        <v>45397</v>
      </c>
      <c r="I48" s="101" t="s">
        <v>291</v>
      </c>
      <c r="J48" s="12" t="s">
        <v>721</v>
      </c>
      <c r="K48" s="12" t="s">
        <v>4533</v>
      </c>
      <c r="L48" s="12" t="s">
        <v>1922</v>
      </c>
      <c r="M48" s="102" t="str">
        <f t="shared" si="1"/>
        <v>MORA ISABELES GLORIA IVETTE</v>
      </c>
      <c r="N48" s="102" t="s">
        <v>6853</v>
      </c>
      <c r="O48" s="102" t="s">
        <v>4827</v>
      </c>
      <c r="P48" s="12" t="s">
        <v>1953</v>
      </c>
      <c r="Q48" s="100">
        <v>30016</v>
      </c>
      <c r="R48" s="77">
        <f t="shared" si="2"/>
        <v>6</v>
      </c>
      <c r="S48" s="77">
        <f t="shared" si="3"/>
        <v>3</v>
      </c>
      <c r="T48" s="77">
        <f t="shared" si="4"/>
        <v>1982</v>
      </c>
      <c r="U48" s="103">
        <f t="shared" ca="1" si="5"/>
        <v>44.632876712328766</v>
      </c>
      <c r="V48" s="13" t="s">
        <v>1450</v>
      </c>
      <c r="W48" s="13" t="s">
        <v>2238</v>
      </c>
      <c r="X48" s="12" t="s">
        <v>1497</v>
      </c>
      <c r="Y48" s="107" t="s">
        <v>247</v>
      </c>
      <c r="Z48" s="12" t="s">
        <v>256</v>
      </c>
      <c r="AA48" s="12" t="s">
        <v>636</v>
      </c>
      <c r="AB48" s="12" t="s">
        <v>533</v>
      </c>
      <c r="AC48" s="12" t="s">
        <v>313</v>
      </c>
      <c r="AD48" s="12" t="s">
        <v>314</v>
      </c>
      <c r="AE48" s="12">
        <v>90</v>
      </c>
      <c r="AF48" s="13" t="s">
        <v>597</v>
      </c>
      <c r="AG48" s="12" t="s">
        <v>291</v>
      </c>
      <c r="AH48" s="104" t="s">
        <v>598</v>
      </c>
      <c r="AI48" s="12" t="s">
        <v>317</v>
      </c>
      <c r="AJ48" s="12" t="s">
        <v>318</v>
      </c>
      <c r="AK48" s="12" t="s">
        <v>2839</v>
      </c>
      <c r="AL48" s="104" t="s">
        <v>3142</v>
      </c>
      <c r="AM48" s="12" t="s">
        <v>2610</v>
      </c>
      <c r="AN48" s="12" t="s">
        <v>832</v>
      </c>
      <c r="AO48" s="12" t="s">
        <v>398</v>
      </c>
      <c r="AP48" s="12"/>
      <c r="AQ48" s="12" t="s">
        <v>3336</v>
      </c>
      <c r="AR48" s="12">
        <v>4072</v>
      </c>
      <c r="AS48" s="12" t="s">
        <v>328</v>
      </c>
      <c r="AT48" s="12" t="s">
        <v>116</v>
      </c>
      <c r="AU48" s="12" t="s">
        <v>583</v>
      </c>
      <c r="AV48" s="12">
        <v>44990</v>
      </c>
      <c r="AW48" s="12" t="s">
        <v>357</v>
      </c>
      <c r="AX48" s="12" t="s">
        <v>357</v>
      </c>
      <c r="AY48" s="12">
        <v>0</v>
      </c>
      <c r="AZ48" s="12" t="s">
        <v>3430</v>
      </c>
      <c r="BA48" s="12" t="s">
        <v>3451</v>
      </c>
      <c r="BB48" s="100">
        <v>45307</v>
      </c>
      <c r="BC48" s="12" t="s">
        <v>533</v>
      </c>
      <c r="BD48" s="12" t="s">
        <v>3565</v>
      </c>
      <c r="BE48" s="12" t="s">
        <v>325</v>
      </c>
      <c r="BF48" s="12" t="s">
        <v>3790</v>
      </c>
      <c r="BG48" s="12" t="s">
        <v>362</v>
      </c>
      <c r="BH48" s="12" t="s">
        <v>334</v>
      </c>
      <c r="BI48" s="12" t="s">
        <v>3831</v>
      </c>
      <c r="BJ48" s="12" t="s">
        <v>3888</v>
      </c>
      <c r="BK48" s="12" t="s">
        <v>3911</v>
      </c>
      <c r="BL48" s="105" t="s">
        <v>3929</v>
      </c>
      <c r="BM48" s="12"/>
      <c r="BN48" s="12" t="s">
        <v>3911</v>
      </c>
      <c r="BO48" s="105" t="s">
        <v>3942</v>
      </c>
      <c r="BP48" s="12"/>
      <c r="BQ48" s="12" t="s">
        <v>3911</v>
      </c>
      <c r="BR48" s="12" t="s">
        <v>3917</v>
      </c>
      <c r="BS48" s="12"/>
      <c r="BT48" s="12" t="s">
        <v>3911</v>
      </c>
      <c r="BU48" s="12"/>
      <c r="BV48" s="12"/>
      <c r="BW48" s="12" t="s">
        <v>3911</v>
      </c>
      <c r="BX48" s="12" t="s">
        <v>3913</v>
      </c>
      <c r="BY48" s="12"/>
      <c r="BZ48" s="12">
        <v>0</v>
      </c>
      <c r="CA48" s="12"/>
      <c r="CB48" s="12"/>
      <c r="CC48" s="12"/>
      <c r="CD48" s="78"/>
    </row>
    <row r="49" spans="1:82" s="116" customFormat="1" ht="13.9" customHeight="1" x14ac:dyDescent="0.2">
      <c r="A49" s="109">
        <v>161</v>
      </c>
      <c r="B49" s="109" t="s">
        <v>4039</v>
      </c>
      <c r="C49" s="110" t="s">
        <v>335</v>
      </c>
      <c r="D49" s="111" t="s">
        <v>105</v>
      </c>
      <c r="E49" s="111" t="s">
        <v>6490</v>
      </c>
      <c r="F49" s="112">
        <v>42816</v>
      </c>
      <c r="G49" s="112">
        <v>44949</v>
      </c>
      <c r="H49" s="113">
        <f t="shared" si="0"/>
        <v>45039</v>
      </c>
      <c r="I49" s="113" t="s">
        <v>290</v>
      </c>
      <c r="J49" s="109" t="s">
        <v>4346</v>
      </c>
      <c r="K49" s="109" t="s">
        <v>4471</v>
      </c>
      <c r="L49" s="109" t="s">
        <v>1767</v>
      </c>
      <c r="M49" s="128" t="str">
        <f t="shared" si="1"/>
        <v>MORALES RUEDA IVON YADIRA</v>
      </c>
      <c r="N49" s="128" t="s">
        <v>6854</v>
      </c>
      <c r="O49" s="128" t="s">
        <v>4628</v>
      </c>
      <c r="P49" s="109" t="s">
        <v>1954</v>
      </c>
      <c r="Q49" s="112">
        <v>30261</v>
      </c>
      <c r="R49" s="125">
        <f t="shared" si="2"/>
        <v>6</v>
      </c>
      <c r="S49" s="125">
        <f t="shared" si="3"/>
        <v>11</v>
      </c>
      <c r="T49" s="125">
        <f t="shared" si="4"/>
        <v>1982</v>
      </c>
      <c r="U49" s="142">
        <f t="shared" ca="1" si="5"/>
        <v>43.961643835616435</v>
      </c>
      <c r="V49" s="114" t="s">
        <v>1450</v>
      </c>
      <c r="W49" s="114" t="s">
        <v>2040</v>
      </c>
      <c r="X49" s="109" t="s">
        <v>2319</v>
      </c>
      <c r="Y49" s="109" t="s">
        <v>106</v>
      </c>
      <c r="Z49" s="109" t="s">
        <v>107</v>
      </c>
      <c r="AA49" s="109" t="s">
        <v>636</v>
      </c>
      <c r="AB49" s="109" t="s">
        <v>858</v>
      </c>
      <c r="AC49" s="109" t="s">
        <v>313</v>
      </c>
      <c r="AD49" s="109" t="s">
        <v>2328</v>
      </c>
      <c r="AE49" s="109">
        <v>90</v>
      </c>
      <c r="AF49" s="114" t="s">
        <v>859</v>
      </c>
      <c r="AG49" s="109" t="s">
        <v>290</v>
      </c>
      <c r="AH49" s="115" t="s">
        <v>2337</v>
      </c>
      <c r="AI49" s="109" t="s">
        <v>317</v>
      </c>
      <c r="AJ49" s="109" t="s">
        <v>318</v>
      </c>
      <c r="AK49" s="109" t="s">
        <v>2686</v>
      </c>
      <c r="AL49" s="115" t="s">
        <v>2946</v>
      </c>
      <c r="AM49" s="109" t="s">
        <v>2427</v>
      </c>
      <c r="AN49" s="109" t="s">
        <v>3178</v>
      </c>
      <c r="AO49" s="109" t="s">
        <v>398</v>
      </c>
      <c r="AP49" s="109"/>
      <c r="AQ49" s="109">
        <v>0</v>
      </c>
      <c r="AR49" s="109">
        <v>0</v>
      </c>
      <c r="AS49" s="109">
        <v>0</v>
      </c>
      <c r="AT49" s="109">
        <v>0</v>
      </c>
      <c r="AU49" s="109">
        <v>0</v>
      </c>
      <c r="AV49" s="109">
        <v>0</v>
      </c>
      <c r="AW49" s="109" t="s">
        <v>357</v>
      </c>
      <c r="AX49" s="109" t="s">
        <v>357</v>
      </c>
      <c r="AY49" s="109" t="s">
        <v>330</v>
      </c>
      <c r="AZ49" s="109"/>
      <c r="BA49" s="109"/>
      <c r="BB49" s="109"/>
      <c r="BC49" s="109"/>
      <c r="BD49" s="109" t="s">
        <v>2427</v>
      </c>
      <c r="BE49" s="109" t="s">
        <v>3178</v>
      </c>
      <c r="BF49" s="109" t="s">
        <v>3634</v>
      </c>
      <c r="BG49" s="109" t="s">
        <v>362</v>
      </c>
      <c r="BH49" s="109" t="s">
        <v>334</v>
      </c>
      <c r="BI49" s="109">
        <v>3</v>
      </c>
      <c r="BJ49" s="109" t="s">
        <v>3850</v>
      </c>
      <c r="BK49" s="109" t="s">
        <v>1953</v>
      </c>
      <c r="BL49" s="111" t="s">
        <v>3942</v>
      </c>
      <c r="BM49" s="109"/>
      <c r="BN49" s="109" t="s">
        <v>3911</v>
      </c>
      <c r="BO49" s="111" t="s">
        <v>3943</v>
      </c>
      <c r="BP49" s="109"/>
      <c r="BQ49" s="109" t="s">
        <v>1953</v>
      </c>
      <c r="BR49" s="109" t="s">
        <v>3933</v>
      </c>
      <c r="BS49" s="109"/>
      <c r="BT49" s="109"/>
      <c r="BU49" s="109"/>
      <c r="BV49" s="109"/>
      <c r="BW49" s="109"/>
      <c r="BX49" s="109"/>
      <c r="BY49" s="109"/>
      <c r="BZ49" s="109"/>
      <c r="CA49" s="109"/>
      <c r="CB49" s="109"/>
      <c r="CC49" s="109"/>
      <c r="CD49" s="110"/>
    </row>
    <row r="50" spans="1:82" ht="13.9" customHeight="1" x14ac:dyDescent="0.2">
      <c r="A50" s="12">
        <v>162</v>
      </c>
      <c r="B50" s="12" t="s">
        <v>4224</v>
      </c>
      <c r="C50" s="104" t="s">
        <v>299</v>
      </c>
      <c r="D50" s="99" t="s">
        <v>80</v>
      </c>
      <c r="E50" s="99" t="s">
        <v>1665</v>
      </c>
      <c r="F50" s="100">
        <v>42826</v>
      </c>
      <c r="G50" s="100">
        <v>44562</v>
      </c>
      <c r="H50" s="101">
        <f t="shared" si="0"/>
        <v>44652</v>
      </c>
      <c r="I50" s="101" t="s">
        <v>291</v>
      </c>
      <c r="J50" s="12" t="s">
        <v>366</v>
      </c>
      <c r="K50" s="12" t="s">
        <v>366</v>
      </c>
      <c r="L50" s="12" t="s">
        <v>1846</v>
      </c>
      <c r="M50" s="102" t="str">
        <f t="shared" si="1"/>
        <v>HERNANDEZ HERNANDEZ  MA NOEMI</v>
      </c>
      <c r="N50" s="102" t="s">
        <v>7143</v>
      </c>
      <c r="O50" s="102" t="s">
        <v>4727</v>
      </c>
      <c r="P50" s="12" t="s">
        <v>1954</v>
      </c>
      <c r="Q50" s="100">
        <v>34188</v>
      </c>
      <c r="R50" s="77">
        <f t="shared" si="2"/>
        <v>7</v>
      </c>
      <c r="S50" s="77">
        <f t="shared" si="3"/>
        <v>8</v>
      </c>
      <c r="T50" s="77">
        <f t="shared" si="4"/>
        <v>1993</v>
      </c>
      <c r="U50" s="103">
        <f t="shared" ca="1" si="5"/>
        <v>33.202739726027396</v>
      </c>
      <c r="V50" s="13" t="s">
        <v>308</v>
      </c>
      <c r="W50" s="13" t="s">
        <v>2138</v>
      </c>
      <c r="X50" s="12" t="s">
        <v>1497</v>
      </c>
      <c r="Y50" s="12" t="s">
        <v>179</v>
      </c>
      <c r="Z50" s="12" t="s">
        <v>170</v>
      </c>
      <c r="AA50" s="12" t="s">
        <v>636</v>
      </c>
      <c r="AB50" s="12" t="s">
        <v>2299</v>
      </c>
      <c r="AC50" s="12" t="s">
        <v>313</v>
      </c>
      <c r="AD50" s="12" t="s">
        <v>314</v>
      </c>
      <c r="AE50" s="12">
        <v>90</v>
      </c>
      <c r="AF50" s="13" t="s">
        <v>315</v>
      </c>
      <c r="AG50" s="12" t="s">
        <v>291</v>
      </c>
      <c r="AH50" s="104" t="s">
        <v>316</v>
      </c>
      <c r="AI50" s="12" t="s">
        <v>317</v>
      </c>
      <c r="AJ50" s="12" t="s">
        <v>318</v>
      </c>
      <c r="AK50" s="12" t="s">
        <v>2753</v>
      </c>
      <c r="AL50" s="104" t="s">
        <v>3044</v>
      </c>
      <c r="AM50" s="12" t="s">
        <v>2515</v>
      </c>
      <c r="AN50" s="12" t="s">
        <v>3182</v>
      </c>
      <c r="AO50" s="12" t="s">
        <v>398</v>
      </c>
      <c r="AP50" s="12"/>
      <c r="AQ50" s="12">
        <v>0</v>
      </c>
      <c r="AR50" s="12">
        <v>0</v>
      </c>
      <c r="AS50" s="12">
        <v>0</v>
      </c>
      <c r="AT50" s="12">
        <v>0</v>
      </c>
      <c r="AU50" s="12">
        <v>0</v>
      </c>
      <c r="AV50" s="12">
        <v>0</v>
      </c>
      <c r="AW50" s="12" t="s">
        <v>328</v>
      </c>
      <c r="AX50" s="12" t="s">
        <v>329</v>
      </c>
      <c r="AY50" s="12" t="s">
        <v>330</v>
      </c>
      <c r="AZ50" s="12"/>
      <c r="BA50" s="12"/>
      <c r="BB50" s="12"/>
      <c r="BC50" s="12"/>
      <c r="BD50" s="12" t="s">
        <v>3520</v>
      </c>
      <c r="BE50" s="12" t="s">
        <v>325</v>
      </c>
      <c r="BF50" s="12" t="s">
        <v>3706</v>
      </c>
      <c r="BG50" s="12" t="s">
        <v>333</v>
      </c>
      <c r="BH50" s="12" t="s">
        <v>334</v>
      </c>
      <c r="BI50" s="12" t="s">
        <v>362</v>
      </c>
      <c r="BJ50" s="12" t="s">
        <v>3888</v>
      </c>
      <c r="BK50" s="12" t="s">
        <v>3911</v>
      </c>
      <c r="BL50" s="105">
        <v>0</v>
      </c>
      <c r="BM50" s="12"/>
      <c r="BN50" s="12">
        <v>0</v>
      </c>
      <c r="BO50" s="105">
        <v>0</v>
      </c>
      <c r="BP50" s="12"/>
      <c r="BQ50" s="12">
        <v>0</v>
      </c>
      <c r="BR50" s="12">
        <v>0</v>
      </c>
      <c r="BS50" s="12"/>
      <c r="BT50" s="12">
        <v>0</v>
      </c>
      <c r="BU50" s="12">
        <v>0</v>
      </c>
      <c r="BV50" s="12"/>
      <c r="BW50" s="12">
        <v>0</v>
      </c>
      <c r="BX50" s="12">
        <v>0</v>
      </c>
      <c r="BY50" s="12"/>
      <c r="BZ50" s="12">
        <v>0</v>
      </c>
      <c r="CA50" s="12"/>
      <c r="CB50" s="12"/>
      <c r="CC50" s="12"/>
      <c r="CD50" s="78"/>
    </row>
    <row r="51" spans="1:82" s="116" customFormat="1" ht="13.9" customHeight="1" x14ac:dyDescent="0.2">
      <c r="A51" s="109">
        <v>163</v>
      </c>
      <c r="B51" s="109" t="s">
        <v>4179</v>
      </c>
      <c r="C51" s="115" t="s">
        <v>1390</v>
      </c>
      <c r="D51" s="109" t="s">
        <v>281</v>
      </c>
      <c r="E51" s="111" t="s">
        <v>1700</v>
      </c>
      <c r="F51" s="112">
        <v>42871</v>
      </c>
      <c r="G51" s="112">
        <v>44546</v>
      </c>
      <c r="H51" s="113">
        <f t="shared" si="0"/>
        <v>44636</v>
      </c>
      <c r="I51" s="113" t="s">
        <v>291</v>
      </c>
      <c r="J51" s="109" t="s">
        <v>4429</v>
      </c>
      <c r="K51" s="109" t="s">
        <v>4413</v>
      </c>
      <c r="L51" s="109" t="s">
        <v>1936</v>
      </c>
      <c r="M51" s="128" t="str">
        <f t="shared" si="1"/>
        <v>ESPINOZA ESPARZA DAMARIS EUNICE</v>
      </c>
      <c r="N51" s="128" t="s">
        <v>6855</v>
      </c>
      <c r="O51" s="128" t="s">
        <v>4843</v>
      </c>
      <c r="P51" s="109" t="s">
        <v>1954</v>
      </c>
      <c r="Q51" s="112">
        <v>33942</v>
      </c>
      <c r="R51" s="125">
        <f t="shared" si="2"/>
        <v>4</v>
      </c>
      <c r="S51" s="125">
        <f t="shared" si="3"/>
        <v>12</v>
      </c>
      <c r="T51" s="125">
        <f t="shared" si="4"/>
        <v>1992</v>
      </c>
      <c r="U51" s="142">
        <f t="shared" ca="1" si="5"/>
        <v>33.876712328767127</v>
      </c>
      <c r="V51" s="114" t="s">
        <v>308</v>
      </c>
      <c r="W51" s="114" t="s">
        <v>2254</v>
      </c>
      <c r="X51" s="109" t="s">
        <v>2325</v>
      </c>
      <c r="Y51" s="120" t="s">
        <v>272</v>
      </c>
      <c r="Z51" s="109" t="s">
        <v>263</v>
      </c>
      <c r="AA51" s="109" t="s">
        <v>636</v>
      </c>
      <c r="AB51" s="109" t="s">
        <v>2304</v>
      </c>
      <c r="AC51" s="109" t="s">
        <v>313</v>
      </c>
      <c r="AD51" s="109" t="s">
        <v>349</v>
      </c>
      <c r="AE51" s="109">
        <v>90</v>
      </c>
      <c r="AF51" s="114" t="s">
        <v>375</v>
      </c>
      <c r="AG51" s="109" t="s">
        <v>291</v>
      </c>
      <c r="AH51" s="115" t="s">
        <v>1398</v>
      </c>
      <c r="AI51" s="109" t="s">
        <v>317</v>
      </c>
      <c r="AJ51" s="109" t="s">
        <v>318</v>
      </c>
      <c r="AK51" s="109" t="s">
        <v>2852</v>
      </c>
      <c r="AL51" s="115" t="s">
        <v>3158</v>
      </c>
      <c r="AM51" s="109">
        <v>0</v>
      </c>
      <c r="AN51" s="109">
        <v>0</v>
      </c>
      <c r="AO51" s="109" t="s">
        <v>398</v>
      </c>
      <c r="AP51" s="109"/>
      <c r="AQ51" s="109">
        <v>0</v>
      </c>
      <c r="AR51" s="109">
        <v>0</v>
      </c>
      <c r="AS51" s="109">
        <v>0</v>
      </c>
      <c r="AT51" s="109">
        <v>0</v>
      </c>
      <c r="AU51" s="109">
        <v>0</v>
      </c>
      <c r="AV51" s="109">
        <v>0</v>
      </c>
      <c r="AW51" s="109" t="s">
        <v>328</v>
      </c>
      <c r="AX51" s="109" t="s">
        <v>329</v>
      </c>
      <c r="AY51" s="109" t="s">
        <v>330</v>
      </c>
      <c r="AZ51" s="109"/>
      <c r="BA51" s="109"/>
      <c r="BB51" s="109"/>
      <c r="BC51" s="109"/>
      <c r="BD51" s="109" t="s">
        <v>3571</v>
      </c>
      <c r="BE51" s="109" t="s">
        <v>325</v>
      </c>
      <c r="BF51" s="109">
        <v>4445431882</v>
      </c>
      <c r="BG51" s="109" t="s">
        <v>362</v>
      </c>
      <c r="BH51" s="109" t="s">
        <v>362</v>
      </c>
      <c r="BI51" s="109" t="s">
        <v>3831</v>
      </c>
      <c r="BJ51" s="109" t="s">
        <v>3831</v>
      </c>
      <c r="BK51" s="109"/>
      <c r="BL51" s="111"/>
      <c r="BM51" s="109"/>
      <c r="BN51" s="109"/>
      <c r="BO51" s="111"/>
      <c r="BP51" s="109"/>
      <c r="BQ51" s="109"/>
      <c r="BR51" s="109"/>
      <c r="BS51" s="109"/>
      <c r="BT51" s="109"/>
      <c r="BU51" s="109"/>
      <c r="BV51" s="109"/>
      <c r="BW51" s="109"/>
      <c r="BX51" s="109"/>
      <c r="BY51" s="109"/>
      <c r="BZ51" s="109"/>
      <c r="CA51" s="109"/>
      <c r="CB51" s="109"/>
      <c r="CC51" s="109"/>
      <c r="CD51" s="110"/>
    </row>
    <row r="52" spans="1:82" ht="13.9" customHeight="1" x14ac:dyDescent="0.2">
      <c r="A52" s="107">
        <v>156</v>
      </c>
      <c r="B52" s="107" t="s">
        <v>4206</v>
      </c>
      <c r="C52" s="78" t="s">
        <v>363</v>
      </c>
      <c r="D52" s="107" t="s">
        <v>86</v>
      </c>
      <c r="E52" s="99" t="s">
        <v>1690</v>
      </c>
      <c r="F52" s="100">
        <v>42887</v>
      </c>
      <c r="G52" s="117">
        <v>44562</v>
      </c>
      <c r="H52" s="101">
        <f t="shared" si="0"/>
        <v>44652</v>
      </c>
      <c r="I52" s="101" t="s">
        <v>291</v>
      </c>
      <c r="J52" s="12" t="s">
        <v>4309</v>
      </c>
      <c r="K52" s="12" t="s">
        <v>590</v>
      </c>
      <c r="L52" s="12" t="s">
        <v>1784</v>
      </c>
      <c r="M52" s="102" t="str">
        <f t="shared" si="1"/>
        <v>SALAS PEREZ JUAN JOSE</v>
      </c>
      <c r="N52" s="102" t="s">
        <v>6856</v>
      </c>
      <c r="O52" s="102" t="s">
        <v>4819</v>
      </c>
      <c r="P52" s="12" t="s">
        <v>1953</v>
      </c>
      <c r="Q52" s="100">
        <v>25331</v>
      </c>
      <c r="R52" s="77">
        <f t="shared" si="2"/>
        <v>8</v>
      </c>
      <c r="S52" s="77">
        <f t="shared" si="3"/>
        <v>5</v>
      </c>
      <c r="T52" s="77">
        <f t="shared" si="4"/>
        <v>1969</v>
      </c>
      <c r="U52" s="103">
        <f t="shared" ca="1" si="5"/>
        <v>57.468493150684928</v>
      </c>
      <c r="V52" s="13">
        <v>0</v>
      </c>
      <c r="W52" s="13" t="s">
        <v>2229</v>
      </c>
      <c r="X52" s="12" t="s">
        <v>1497</v>
      </c>
      <c r="Y52" s="108" t="s">
        <v>216</v>
      </c>
      <c r="Z52" s="12" t="s">
        <v>246</v>
      </c>
      <c r="AA52" s="12" t="s">
        <v>857</v>
      </c>
      <c r="AB52" s="12" t="s">
        <v>1428</v>
      </c>
      <c r="AC52" s="12" t="s">
        <v>313</v>
      </c>
      <c r="AD52" s="12" t="s">
        <v>314</v>
      </c>
      <c r="AE52" s="12">
        <v>90</v>
      </c>
      <c r="AF52" s="13" t="s">
        <v>375</v>
      </c>
      <c r="AG52" s="12" t="s">
        <v>291</v>
      </c>
      <c r="AH52" s="104" t="s">
        <v>2347</v>
      </c>
      <c r="AI52" s="12" t="s">
        <v>317</v>
      </c>
      <c r="AJ52" s="12" t="s">
        <v>318</v>
      </c>
      <c r="AK52" s="12">
        <v>4445126656</v>
      </c>
      <c r="AL52" s="104" t="s">
        <v>3133</v>
      </c>
      <c r="AM52" s="12" t="s">
        <v>2602</v>
      </c>
      <c r="AN52" s="12" t="s">
        <v>381</v>
      </c>
      <c r="AO52" s="12" t="s">
        <v>398</v>
      </c>
      <c r="AP52" s="12"/>
      <c r="AQ52" s="12">
        <v>0</v>
      </c>
      <c r="AR52" s="12">
        <v>0</v>
      </c>
      <c r="AS52" s="12">
        <v>0</v>
      </c>
      <c r="AT52" s="12">
        <v>0</v>
      </c>
      <c r="AU52" s="12">
        <v>0</v>
      </c>
      <c r="AV52" s="12">
        <v>0</v>
      </c>
      <c r="AW52" s="12" t="s">
        <v>328</v>
      </c>
      <c r="AX52" s="12" t="s">
        <v>357</v>
      </c>
      <c r="AY52" s="12" t="s">
        <v>330</v>
      </c>
      <c r="AZ52" s="12"/>
      <c r="BA52" s="12"/>
      <c r="BB52" s="12"/>
      <c r="BC52" s="12"/>
      <c r="BD52" s="12" t="s">
        <v>2602</v>
      </c>
      <c r="BE52" s="12" t="s">
        <v>381</v>
      </c>
      <c r="BF52" s="12">
        <v>4446609134</v>
      </c>
      <c r="BG52" s="12" t="s">
        <v>362</v>
      </c>
      <c r="BH52" s="12" t="s">
        <v>362</v>
      </c>
      <c r="BI52" s="12">
        <v>3</v>
      </c>
      <c r="BJ52" s="12"/>
      <c r="BK52" s="12" t="s">
        <v>3911</v>
      </c>
      <c r="BL52" s="105">
        <v>27</v>
      </c>
      <c r="BM52" s="12"/>
      <c r="BN52" s="12" t="s">
        <v>1953</v>
      </c>
      <c r="BO52" s="105">
        <v>23</v>
      </c>
      <c r="BP52" s="12"/>
      <c r="BQ52" s="12" t="s">
        <v>3911</v>
      </c>
      <c r="BR52" s="12">
        <v>22</v>
      </c>
      <c r="BS52" s="12"/>
      <c r="BT52" s="12">
        <v>0</v>
      </c>
      <c r="BU52" s="12">
        <v>0</v>
      </c>
      <c r="BV52" s="12"/>
      <c r="BW52" s="12">
        <v>0</v>
      </c>
      <c r="BX52" s="12">
        <v>0</v>
      </c>
      <c r="BY52" s="12"/>
      <c r="BZ52" s="12">
        <v>0</v>
      </c>
      <c r="CA52" s="12"/>
      <c r="CB52" s="12"/>
      <c r="CC52" s="12"/>
      <c r="CD52" s="78"/>
    </row>
    <row r="53" spans="1:82" ht="13.9" customHeight="1" x14ac:dyDescent="0.2">
      <c r="A53" s="12">
        <v>164</v>
      </c>
      <c r="B53" s="12" t="s">
        <v>4040</v>
      </c>
      <c r="C53" s="78" t="s">
        <v>335</v>
      </c>
      <c r="D53" s="99" t="s">
        <v>105</v>
      </c>
      <c r="E53" s="99" t="s">
        <v>1645</v>
      </c>
      <c r="F53" s="100">
        <v>42898</v>
      </c>
      <c r="G53" s="100">
        <v>44921</v>
      </c>
      <c r="H53" s="101">
        <f t="shared" si="0"/>
        <v>45011</v>
      </c>
      <c r="I53" s="101" t="s">
        <v>290</v>
      </c>
      <c r="J53" s="12" t="s">
        <v>4347</v>
      </c>
      <c r="K53" s="12" t="s">
        <v>1173</v>
      </c>
      <c r="L53" s="12" t="s">
        <v>1768</v>
      </c>
      <c r="M53" s="153" t="str">
        <f t="shared" si="1"/>
        <v>PAREDES MONTOYA EDGAR OMAR</v>
      </c>
      <c r="N53" s="102" t="s">
        <v>6857</v>
      </c>
      <c r="O53" s="102" t="s">
        <v>4629</v>
      </c>
      <c r="P53" s="12" t="s">
        <v>1953</v>
      </c>
      <c r="Q53" s="100">
        <v>34638</v>
      </c>
      <c r="R53" s="77">
        <f t="shared" si="2"/>
        <v>31</v>
      </c>
      <c r="S53" s="77">
        <f t="shared" si="3"/>
        <v>10</v>
      </c>
      <c r="T53" s="77">
        <f t="shared" si="4"/>
        <v>1994</v>
      </c>
      <c r="U53" s="103">
        <f t="shared" ca="1" si="5"/>
        <v>31.969863013698632</v>
      </c>
      <c r="V53" s="13" t="s">
        <v>342</v>
      </c>
      <c r="W53" s="13" t="s">
        <v>2041</v>
      </c>
      <c r="X53" s="12" t="s">
        <v>2320</v>
      </c>
      <c r="Y53" s="12" t="s">
        <v>108</v>
      </c>
      <c r="Z53" s="12" t="s">
        <v>109</v>
      </c>
      <c r="AA53" s="12" t="s">
        <v>2271</v>
      </c>
      <c r="AB53" s="12" t="s">
        <v>2286</v>
      </c>
      <c r="AC53" s="12" t="s">
        <v>313</v>
      </c>
      <c r="AD53" s="12" t="s">
        <v>349</v>
      </c>
      <c r="AE53" s="12">
        <v>90</v>
      </c>
      <c r="AF53" s="13" t="s">
        <v>859</v>
      </c>
      <c r="AG53" s="12" t="s">
        <v>290</v>
      </c>
      <c r="AH53" s="104" t="s">
        <v>2337</v>
      </c>
      <c r="AI53" s="12" t="s">
        <v>317</v>
      </c>
      <c r="AJ53" s="12" t="s">
        <v>318</v>
      </c>
      <c r="AK53" s="12" t="s">
        <v>2687</v>
      </c>
      <c r="AL53" s="104" t="s">
        <v>2947</v>
      </c>
      <c r="AM53" s="12" t="s">
        <v>2428</v>
      </c>
      <c r="AN53" s="12" t="s">
        <v>381</v>
      </c>
      <c r="AO53" s="12" t="s">
        <v>398</v>
      </c>
      <c r="AP53" s="12"/>
      <c r="AQ53" s="12">
        <v>0</v>
      </c>
      <c r="AR53" s="12">
        <v>0</v>
      </c>
      <c r="AS53" s="12">
        <v>0</v>
      </c>
      <c r="AT53" s="12">
        <v>0</v>
      </c>
      <c r="AU53" s="12">
        <v>0</v>
      </c>
      <c r="AV53" s="12">
        <v>0</v>
      </c>
      <c r="AW53" s="12" t="s">
        <v>328</v>
      </c>
      <c r="AX53" s="12" t="s">
        <v>357</v>
      </c>
      <c r="AY53" s="12" t="s">
        <v>330</v>
      </c>
      <c r="AZ53" s="12" t="s">
        <v>160</v>
      </c>
      <c r="BA53" s="12" t="s">
        <v>3433</v>
      </c>
      <c r="BB53" s="12" t="s">
        <v>3454</v>
      </c>
      <c r="BC53" s="12" t="s">
        <v>2286</v>
      </c>
      <c r="BD53" s="12" t="s">
        <v>2428</v>
      </c>
      <c r="BE53" s="12" t="s">
        <v>381</v>
      </c>
      <c r="BF53" s="12" t="s">
        <v>3635</v>
      </c>
      <c r="BG53" s="12" t="s">
        <v>362</v>
      </c>
      <c r="BH53" s="12" t="s">
        <v>362</v>
      </c>
      <c r="BI53" s="12">
        <v>1</v>
      </c>
      <c r="BJ53" s="100">
        <v>43793</v>
      </c>
      <c r="BK53" s="12" t="s">
        <v>3911</v>
      </c>
      <c r="BL53" s="105">
        <f ca="1">(+TODAY()-BJ53)/365</f>
        <v>6.8876712328767127</v>
      </c>
      <c r="BM53" s="12"/>
      <c r="BN53" s="12">
        <v>0</v>
      </c>
      <c r="BO53" s="105">
        <v>0</v>
      </c>
      <c r="BP53" s="12"/>
      <c r="BQ53" s="12">
        <v>0</v>
      </c>
      <c r="BR53" s="12">
        <v>0</v>
      </c>
      <c r="BS53" s="12"/>
      <c r="BT53" s="12">
        <v>0</v>
      </c>
      <c r="BU53" s="12">
        <v>0</v>
      </c>
      <c r="BV53" s="12"/>
      <c r="BW53" s="12">
        <v>0</v>
      </c>
      <c r="BX53" s="12">
        <v>0</v>
      </c>
      <c r="BY53" s="12"/>
      <c r="BZ53" s="12">
        <v>0</v>
      </c>
      <c r="CA53" s="12"/>
      <c r="CB53" s="12"/>
      <c r="CC53" s="12"/>
      <c r="CD53" s="78"/>
    </row>
    <row r="54" spans="1:82" ht="13.9" customHeight="1" x14ac:dyDescent="0.2">
      <c r="A54" s="12" t="s">
        <v>294</v>
      </c>
      <c r="B54" s="12" t="s">
        <v>7270</v>
      </c>
      <c r="C54" s="78" t="s">
        <v>335</v>
      </c>
      <c r="D54" s="12" t="s">
        <v>86</v>
      </c>
      <c r="E54" s="99"/>
      <c r="F54" s="100">
        <v>42979</v>
      </c>
      <c r="G54" s="100">
        <v>42705</v>
      </c>
      <c r="H54" s="101">
        <f t="shared" si="0"/>
        <v>42795</v>
      </c>
      <c r="I54" s="101" t="s">
        <v>291</v>
      </c>
      <c r="J54" s="12" t="s">
        <v>404</v>
      </c>
      <c r="K54" s="12" t="s">
        <v>507</v>
      </c>
      <c r="L54" s="12" t="s">
        <v>1814</v>
      </c>
      <c r="M54" s="102" t="str">
        <f t="shared" si="1"/>
        <v>GOMEZ MARTINEZ JUAN</v>
      </c>
      <c r="N54" s="102" t="s">
        <v>6858</v>
      </c>
      <c r="O54" s="102" t="s">
        <v>7230</v>
      </c>
      <c r="P54" s="12" t="s">
        <v>1953</v>
      </c>
      <c r="Q54" s="100">
        <v>18869</v>
      </c>
      <c r="R54" s="77">
        <f t="shared" si="2"/>
        <v>29</v>
      </c>
      <c r="S54" s="77">
        <f t="shared" si="3"/>
        <v>8</v>
      </c>
      <c r="T54" s="77">
        <f t="shared" si="4"/>
        <v>1951</v>
      </c>
      <c r="U54" s="103">
        <f t="shared" ca="1" si="5"/>
        <v>75.172602739726031</v>
      </c>
      <c r="V54" s="13" t="s">
        <v>342</v>
      </c>
      <c r="W54" s="13" t="s">
        <v>4292</v>
      </c>
      <c r="X54" s="12" t="s">
        <v>1497</v>
      </c>
      <c r="Y54" s="108" t="s">
        <v>160</v>
      </c>
      <c r="Z54" s="12" t="s">
        <v>152</v>
      </c>
      <c r="AA54" s="12" t="s">
        <v>2271</v>
      </c>
      <c r="AB54" s="12" t="s">
        <v>2310</v>
      </c>
      <c r="AC54" s="12" t="s">
        <v>313</v>
      </c>
      <c r="AD54" s="12" t="s">
        <v>314</v>
      </c>
      <c r="AE54" s="12">
        <v>90</v>
      </c>
      <c r="AF54" s="13" t="s">
        <v>315</v>
      </c>
      <c r="AG54" s="12" t="s">
        <v>291</v>
      </c>
      <c r="AH54" s="104" t="s">
        <v>2342</v>
      </c>
      <c r="AI54" s="12" t="s">
        <v>317</v>
      </c>
      <c r="AJ54" s="12" t="s">
        <v>318</v>
      </c>
      <c r="AK54" s="12"/>
      <c r="AL54" s="104" t="s">
        <v>4293</v>
      </c>
      <c r="AM54" s="12" t="s">
        <v>328</v>
      </c>
      <c r="AN54" s="12" t="s">
        <v>328</v>
      </c>
      <c r="AO54" s="12" t="s">
        <v>398</v>
      </c>
      <c r="AP54" s="12"/>
      <c r="AQ54" s="12">
        <v>0</v>
      </c>
      <c r="AR54" s="12">
        <v>0</v>
      </c>
      <c r="AS54" s="12">
        <v>0</v>
      </c>
      <c r="AT54" s="12">
        <v>0</v>
      </c>
      <c r="AU54" s="12">
        <v>0</v>
      </c>
      <c r="AV54" s="12">
        <v>0</v>
      </c>
      <c r="AW54" s="12" t="s">
        <v>328</v>
      </c>
      <c r="AX54" s="12" t="s">
        <v>328</v>
      </c>
      <c r="AY54" s="12" t="s">
        <v>330</v>
      </c>
      <c r="AZ54" s="12"/>
      <c r="BA54" s="12"/>
      <c r="BB54" s="12"/>
      <c r="BC54" s="12"/>
      <c r="BD54" s="12"/>
      <c r="BE54" s="12"/>
      <c r="BF54" s="12"/>
      <c r="BG54" s="12"/>
      <c r="BH54" s="12"/>
      <c r="BI54" s="12" t="s">
        <v>604</v>
      </c>
      <c r="BJ54" s="12" t="e">
        <v>#N/A</v>
      </c>
      <c r="BK54" s="12"/>
      <c r="BL54" s="105"/>
      <c r="BM54" s="12"/>
      <c r="BN54" s="12"/>
      <c r="BO54" s="105"/>
      <c r="BP54" s="12"/>
      <c r="BQ54" s="12"/>
      <c r="BR54" s="12"/>
      <c r="BS54" s="12"/>
      <c r="BT54" s="12"/>
      <c r="BU54" s="12"/>
      <c r="BV54" s="12"/>
      <c r="BW54" s="12"/>
      <c r="BX54" s="12"/>
      <c r="BY54" s="12"/>
      <c r="BZ54" s="12"/>
      <c r="CA54" s="12"/>
      <c r="CB54" s="12"/>
      <c r="CC54" s="12"/>
      <c r="CD54" s="78"/>
    </row>
    <row r="55" spans="1:82" ht="13.9" customHeight="1" x14ac:dyDescent="0.2">
      <c r="A55" s="12">
        <v>166</v>
      </c>
      <c r="B55" s="12" t="s">
        <v>4149</v>
      </c>
      <c r="C55" s="78" t="s">
        <v>335</v>
      </c>
      <c r="D55" s="107" t="s">
        <v>127</v>
      </c>
      <c r="E55" s="99" t="s">
        <v>1684</v>
      </c>
      <c r="F55" s="100">
        <v>43031</v>
      </c>
      <c r="G55" s="100">
        <v>44911</v>
      </c>
      <c r="H55" s="101">
        <f t="shared" si="0"/>
        <v>45001</v>
      </c>
      <c r="I55" s="101" t="s">
        <v>291</v>
      </c>
      <c r="J55" s="12" t="s">
        <v>447</v>
      </c>
      <c r="K55" s="12" t="s">
        <v>4521</v>
      </c>
      <c r="L55" s="12" t="s">
        <v>1903</v>
      </c>
      <c r="M55" s="102" t="str">
        <f t="shared" si="1"/>
        <v>GARCIA CANDIA SANJUANA GUADALUPE</v>
      </c>
      <c r="N55" s="102" t="s">
        <v>6859</v>
      </c>
      <c r="O55" s="102" t="s">
        <v>4793</v>
      </c>
      <c r="P55" s="12" t="s">
        <v>1954</v>
      </c>
      <c r="Q55" s="100">
        <v>34836</v>
      </c>
      <c r="R55" s="77">
        <f t="shared" si="2"/>
        <v>17</v>
      </c>
      <c r="S55" s="77">
        <f t="shared" si="3"/>
        <v>5</v>
      </c>
      <c r="T55" s="77">
        <f t="shared" si="4"/>
        <v>1995</v>
      </c>
      <c r="U55" s="103">
        <f t="shared" ca="1" si="5"/>
        <v>31.427397260273974</v>
      </c>
      <c r="V55" s="13" t="s">
        <v>308</v>
      </c>
      <c r="W55" s="13" t="s">
        <v>2202</v>
      </c>
      <c r="X55" s="12" t="s">
        <v>1497</v>
      </c>
      <c r="Y55" s="108" t="s">
        <v>224</v>
      </c>
      <c r="Z55" s="12" t="s">
        <v>129</v>
      </c>
      <c r="AA55" s="12" t="s">
        <v>636</v>
      </c>
      <c r="AB55" s="12" t="s">
        <v>2289</v>
      </c>
      <c r="AC55" s="12" t="s">
        <v>313</v>
      </c>
      <c r="AD55" s="12" t="s">
        <v>314</v>
      </c>
      <c r="AE55" s="12">
        <v>90</v>
      </c>
      <c r="AF55" s="13" t="s">
        <v>413</v>
      </c>
      <c r="AG55" s="12" t="s">
        <v>291</v>
      </c>
      <c r="AH55" s="104" t="s">
        <v>2344</v>
      </c>
      <c r="AI55" s="12" t="s">
        <v>317</v>
      </c>
      <c r="AJ55" s="12" t="s">
        <v>318</v>
      </c>
      <c r="AK55" s="12" t="s">
        <v>2807</v>
      </c>
      <c r="AL55" s="104" t="s">
        <v>3106</v>
      </c>
      <c r="AM55" s="12" t="s">
        <v>2575</v>
      </c>
      <c r="AN55" s="12" t="s">
        <v>325</v>
      </c>
      <c r="AO55" s="12" t="s">
        <v>398</v>
      </c>
      <c r="AP55" s="12"/>
      <c r="AQ55" s="12">
        <v>0</v>
      </c>
      <c r="AR55" s="12">
        <v>0</v>
      </c>
      <c r="AS55" s="12">
        <v>0</v>
      </c>
      <c r="AT55" s="12">
        <v>0</v>
      </c>
      <c r="AU55" s="12">
        <v>0</v>
      </c>
      <c r="AV55" s="12">
        <v>0</v>
      </c>
      <c r="AW55" s="12" t="s">
        <v>420</v>
      </c>
      <c r="AX55" s="12" t="s">
        <v>329</v>
      </c>
      <c r="AY55" s="12" t="s">
        <v>330</v>
      </c>
      <c r="AZ55" s="12"/>
      <c r="BA55" s="12"/>
      <c r="BB55" s="12"/>
      <c r="BC55" s="12"/>
      <c r="BD55" s="12" t="s">
        <v>2575</v>
      </c>
      <c r="BE55" s="12" t="s">
        <v>325</v>
      </c>
      <c r="BF55" s="12" t="s">
        <v>3760</v>
      </c>
      <c r="BG55" s="12" t="s">
        <v>333</v>
      </c>
      <c r="BH55" s="12" t="s">
        <v>362</v>
      </c>
      <c r="BI55" s="12">
        <v>1</v>
      </c>
      <c r="BJ55" s="12" t="s">
        <v>3897</v>
      </c>
      <c r="BK55" s="12" t="s">
        <v>3911</v>
      </c>
      <c r="BL55" s="105">
        <v>3</v>
      </c>
      <c r="BM55" s="12"/>
      <c r="BN55" s="12">
        <v>0</v>
      </c>
      <c r="BO55" s="105">
        <v>0</v>
      </c>
      <c r="BP55" s="12"/>
      <c r="BQ55" s="12">
        <v>0</v>
      </c>
      <c r="BR55" s="12">
        <v>0</v>
      </c>
      <c r="BS55" s="12"/>
      <c r="BT55" s="12">
        <v>0</v>
      </c>
      <c r="BU55" s="12">
        <v>0</v>
      </c>
      <c r="BV55" s="12"/>
      <c r="BW55" s="12">
        <v>0</v>
      </c>
      <c r="BX55" s="12">
        <v>0</v>
      </c>
      <c r="BY55" s="12"/>
      <c r="BZ55" s="12">
        <v>0</v>
      </c>
      <c r="CA55" s="12"/>
      <c r="CB55" s="12"/>
      <c r="CC55" s="12"/>
      <c r="CD55" s="78"/>
    </row>
    <row r="56" spans="1:82" ht="13.9" customHeight="1" x14ac:dyDescent="0.2">
      <c r="A56" s="12">
        <v>167</v>
      </c>
      <c r="B56" s="12" t="s">
        <v>4225</v>
      </c>
      <c r="C56" s="104" t="s">
        <v>299</v>
      </c>
      <c r="D56" s="99" t="s">
        <v>80</v>
      </c>
      <c r="E56" s="99" t="s">
        <v>1666</v>
      </c>
      <c r="F56" s="100">
        <v>43060</v>
      </c>
      <c r="G56" s="100">
        <v>44621</v>
      </c>
      <c r="H56" s="101">
        <f t="shared" si="0"/>
        <v>44711</v>
      </c>
      <c r="I56" s="101" t="s">
        <v>291</v>
      </c>
      <c r="J56" s="12" t="s">
        <v>365</v>
      </c>
      <c r="K56" s="12" t="s">
        <v>4372</v>
      </c>
      <c r="L56" s="12" t="s">
        <v>1847</v>
      </c>
      <c r="M56" s="102" t="str">
        <f t="shared" si="1"/>
        <v>RODRIGUEZ  SALAZAR JUAN JESUS</v>
      </c>
      <c r="N56" s="102" t="s">
        <v>7144</v>
      </c>
      <c r="O56" s="102" t="s">
        <v>4728</v>
      </c>
      <c r="P56" s="12" t="s">
        <v>1953</v>
      </c>
      <c r="Q56" s="100">
        <v>31594</v>
      </c>
      <c r="R56" s="77">
        <f t="shared" si="2"/>
        <v>1</v>
      </c>
      <c r="S56" s="77">
        <f t="shared" si="3"/>
        <v>7</v>
      </c>
      <c r="T56" s="77">
        <f t="shared" si="4"/>
        <v>1986</v>
      </c>
      <c r="U56" s="103">
        <f t="shared" ca="1" si="5"/>
        <v>40.30958904109589</v>
      </c>
      <c r="V56" s="13" t="s">
        <v>342</v>
      </c>
      <c r="W56" s="13" t="s">
        <v>2139</v>
      </c>
      <c r="X56" s="12" t="s">
        <v>1497</v>
      </c>
      <c r="Y56" s="119" t="s">
        <v>178</v>
      </c>
      <c r="Z56" s="12" t="s">
        <v>174</v>
      </c>
      <c r="AA56" s="12" t="s">
        <v>432</v>
      </c>
      <c r="AB56" s="12" t="s">
        <v>2303</v>
      </c>
      <c r="AC56" s="12" t="s">
        <v>313</v>
      </c>
      <c r="AD56" s="12" t="s">
        <v>314</v>
      </c>
      <c r="AE56" s="12">
        <v>90</v>
      </c>
      <c r="AF56" s="13" t="s">
        <v>315</v>
      </c>
      <c r="AG56" s="12" t="s">
        <v>291</v>
      </c>
      <c r="AH56" s="104" t="s">
        <v>316</v>
      </c>
      <c r="AI56" s="12" t="s">
        <v>317</v>
      </c>
      <c r="AJ56" s="12" t="s">
        <v>318</v>
      </c>
      <c r="AK56" s="12">
        <v>4441421134</v>
      </c>
      <c r="AL56" s="104" t="s">
        <v>3045</v>
      </c>
      <c r="AM56" s="12" t="s">
        <v>2516</v>
      </c>
      <c r="AN56" s="12" t="s">
        <v>381</v>
      </c>
      <c r="AO56" s="12" t="s">
        <v>398</v>
      </c>
      <c r="AP56" s="12"/>
      <c r="AQ56" s="12">
        <v>0</v>
      </c>
      <c r="AR56" s="12">
        <v>0</v>
      </c>
      <c r="AS56" s="12">
        <v>0</v>
      </c>
      <c r="AT56" s="12">
        <v>0</v>
      </c>
      <c r="AU56" s="12">
        <v>0</v>
      </c>
      <c r="AV56" s="12">
        <v>0</v>
      </c>
      <c r="AW56" s="12" t="s">
        <v>328</v>
      </c>
      <c r="AX56" s="12" t="s">
        <v>329</v>
      </c>
      <c r="AY56" s="12" t="s">
        <v>330</v>
      </c>
      <c r="AZ56" s="12"/>
      <c r="BA56" s="12"/>
      <c r="BB56" s="12"/>
      <c r="BC56" s="12"/>
      <c r="BD56" s="12" t="s">
        <v>3521</v>
      </c>
      <c r="BE56" s="12" t="s">
        <v>401</v>
      </c>
      <c r="BF56" s="12" t="s">
        <v>3707</v>
      </c>
      <c r="BG56" s="12" t="s">
        <v>333</v>
      </c>
      <c r="BH56" s="12" t="s">
        <v>334</v>
      </c>
      <c r="BI56" s="12">
        <v>4</v>
      </c>
      <c r="BJ56" s="12" t="s">
        <v>3878</v>
      </c>
      <c r="BK56" s="12" t="s">
        <v>3911</v>
      </c>
      <c r="BL56" s="105" t="s">
        <v>3917</v>
      </c>
      <c r="BM56" s="12"/>
      <c r="BN56" s="12" t="s">
        <v>3911</v>
      </c>
      <c r="BO56" s="105" t="s">
        <v>3930</v>
      </c>
      <c r="BP56" s="12"/>
      <c r="BQ56" s="12" t="s">
        <v>3911</v>
      </c>
      <c r="BR56" s="12" t="s">
        <v>3926</v>
      </c>
      <c r="BS56" s="12"/>
      <c r="BT56" s="12" t="s">
        <v>571</v>
      </c>
      <c r="BU56" s="12"/>
      <c r="BV56" s="12"/>
      <c r="BW56" s="12" t="s">
        <v>571</v>
      </c>
      <c r="BX56" s="12">
        <v>0</v>
      </c>
      <c r="BY56" s="12"/>
      <c r="BZ56" s="12"/>
      <c r="CA56" s="12"/>
      <c r="CB56" s="12"/>
      <c r="CC56" s="12"/>
      <c r="CD56" s="78"/>
    </row>
    <row r="57" spans="1:82" ht="13.9" customHeight="1" x14ac:dyDescent="0.2">
      <c r="A57" s="107">
        <v>168</v>
      </c>
      <c r="B57" s="107" t="s">
        <v>7243</v>
      </c>
      <c r="C57" s="78" t="s">
        <v>363</v>
      </c>
      <c r="D57" s="107" t="s">
        <v>7925</v>
      </c>
      <c r="E57" s="99" t="s">
        <v>1634</v>
      </c>
      <c r="F57" s="100">
        <v>43077</v>
      </c>
      <c r="G57" s="117">
        <v>44396</v>
      </c>
      <c r="H57" s="101">
        <f t="shared" si="0"/>
        <v>44486</v>
      </c>
      <c r="I57" s="101" t="s">
        <v>290</v>
      </c>
      <c r="J57" s="12" t="s">
        <v>4332</v>
      </c>
      <c r="K57" s="12" t="s">
        <v>1044</v>
      </c>
      <c r="L57" s="12" t="s">
        <v>1736</v>
      </c>
      <c r="M57" s="153" t="str">
        <f t="shared" si="1"/>
        <v>PRADO RODRIGUEZ JOSE ABELARDO</v>
      </c>
      <c r="N57" s="102" t="s">
        <v>6860</v>
      </c>
      <c r="O57" s="102" t="s">
        <v>4594</v>
      </c>
      <c r="P57" s="12" t="s">
        <v>1953</v>
      </c>
      <c r="Q57" s="100">
        <v>31692</v>
      </c>
      <c r="R57" s="77">
        <f t="shared" si="2"/>
        <v>7</v>
      </c>
      <c r="S57" s="77">
        <f t="shared" si="3"/>
        <v>10</v>
      </c>
      <c r="T57" s="77">
        <f t="shared" si="4"/>
        <v>1986</v>
      </c>
      <c r="U57" s="103">
        <f t="shared" ca="1" si="5"/>
        <v>40.041095890410958</v>
      </c>
      <c r="V57" s="13" t="s">
        <v>452</v>
      </c>
      <c r="W57" s="13" t="s">
        <v>2005</v>
      </c>
      <c r="X57" s="12" t="s">
        <v>1497</v>
      </c>
      <c r="Y57" s="12" t="s">
        <v>89</v>
      </c>
      <c r="Z57" s="12" t="s">
        <v>90</v>
      </c>
      <c r="AA57" s="12" t="s">
        <v>455</v>
      </c>
      <c r="AB57" s="12" t="s">
        <v>374</v>
      </c>
      <c r="AC57" s="12" t="s">
        <v>313</v>
      </c>
      <c r="AD57" s="12" t="s">
        <v>314</v>
      </c>
      <c r="AE57" s="12">
        <v>90</v>
      </c>
      <c r="AF57" s="13" t="s">
        <v>375</v>
      </c>
      <c r="AG57" s="12" t="s">
        <v>290</v>
      </c>
      <c r="AH57" s="104" t="s">
        <v>2332</v>
      </c>
      <c r="AI57" s="12" t="s">
        <v>317</v>
      </c>
      <c r="AJ57" s="12" t="s">
        <v>318</v>
      </c>
      <c r="AK57" s="12">
        <v>4441420307</v>
      </c>
      <c r="AL57" s="104" t="s">
        <v>2912</v>
      </c>
      <c r="AM57" s="12" t="s">
        <v>2394</v>
      </c>
      <c r="AN57" s="12" t="s">
        <v>325</v>
      </c>
      <c r="AO57" s="12" t="s">
        <v>398</v>
      </c>
      <c r="AP57" s="12"/>
      <c r="AQ57" s="12">
        <v>0</v>
      </c>
      <c r="AR57" s="12">
        <v>0</v>
      </c>
      <c r="AS57" s="12">
        <v>0</v>
      </c>
      <c r="AT57" s="12">
        <v>0</v>
      </c>
      <c r="AU57" s="12">
        <v>0</v>
      </c>
      <c r="AV57" s="12">
        <v>0</v>
      </c>
      <c r="AW57" s="12" t="s">
        <v>328</v>
      </c>
      <c r="AX57" s="12" t="s">
        <v>357</v>
      </c>
      <c r="AY57" s="12" t="s">
        <v>330</v>
      </c>
      <c r="AZ57" s="12"/>
      <c r="BA57" s="12"/>
      <c r="BB57" s="12"/>
      <c r="BC57" s="12"/>
      <c r="BD57" s="12" t="s">
        <v>3467</v>
      </c>
      <c r="BE57" s="12" t="s">
        <v>401</v>
      </c>
      <c r="BF57" s="12" t="s">
        <v>3611</v>
      </c>
      <c r="BG57" s="12" t="s">
        <v>333</v>
      </c>
      <c r="BH57" s="12" t="s">
        <v>362</v>
      </c>
      <c r="BI57" s="12">
        <v>2</v>
      </c>
      <c r="BJ57" s="100">
        <v>39384</v>
      </c>
      <c r="BK57" s="12" t="s">
        <v>3911</v>
      </c>
      <c r="BL57" s="105">
        <f ca="1">(+TODAY()-BJ57)/365</f>
        <v>18.967123287671232</v>
      </c>
      <c r="BM57" s="12"/>
      <c r="BN57" s="12" t="s">
        <v>3911</v>
      </c>
      <c r="BO57" s="105">
        <v>0.3</v>
      </c>
      <c r="BP57" s="12"/>
      <c r="BQ57" s="12">
        <v>0</v>
      </c>
      <c r="BR57" s="12">
        <v>0</v>
      </c>
      <c r="BS57" s="12"/>
      <c r="BT57" s="12">
        <v>0</v>
      </c>
      <c r="BU57" s="12">
        <v>0</v>
      </c>
      <c r="BV57" s="12"/>
      <c r="BW57" s="12">
        <v>0</v>
      </c>
      <c r="BX57" s="12">
        <v>0</v>
      </c>
      <c r="BY57" s="12"/>
      <c r="BZ57" s="12">
        <v>0</v>
      </c>
      <c r="CA57" s="12"/>
      <c r="CB57" s="12"/>
      <c r="CC57" s="12"/>
      <c r="CD57" s="78"/>
    </row>
    <row r="58" spans="1:82" ht="13.9" customHeight="1" x14ac:dyDescent="0.2">
      <c r="A58" s="12">
        <v>170</v>
      </c>
      <c r="B58" s="12" t="s">
        <v>4131</v>
      </c>
      <c r="C58" s="78" t="s">
        <v>335</v>
      </c>
      <c r="D58" s="107" t="s">
        <v>161</v>
      </c>
      <c r="E58" s="99" t="s">
        <v>1678</v>
      </c>
      <c r="F58" s="100">
        <v>43117</v>
      </c>
      <c r="G58" s="100">
        <v>44911</v>
      </c>
      <c r="H58" s="101">
        <f t="shared" si="0"/>
        <v>45001</v>
      </c>
      <c r="I58" s="101" t="s">
        <v>291</v>
      </c>
      <c r="J58" s="12" t="s">
        <v>4405</v>
      </c>
      <c r="K58" s="12" t="s">
        <v>447</v>
      </c>
      <c r="L58" s="12" t="s">
        <v>1889</v>
      </c>
      <c r="M58" s="102" t="str">
        <f t="shared" si="1"/>
        <v>AGUILLON GARCIA ISABEL</v>
      </c>
      <c r="N58" s="102" t="s">
        <v>6861</v>
      </c>
      <c r="O58" s="102" t="s">
        <v>4775</v>
      </c>
      <c r="P58" s="12" t="s">
        <v>1954</v>
      </c>
      <c r="Q58" s="100">
        <v>34215</v>
      </c>
      <c r="R58" s="77">
        <f t="shared" si="2"/>
        <v>3</v>
      </c>
      <c r="S58" s="77">
        <f t="shared" si="3"/>
        <v>9</v>
      </c>
      <c r="T58" s="77">
        <f t="shared" si="4"/>
        <v>1993</v>
      </c>
      <c r="U58" s="103">
        <f t="shared" ca="1" si="5"/>
        <v>33.128767123287673</v>
      </c>
      <c r="V58" s="13" t="s">
        <v>452</v>
      </c>
      <c r="W58" s="13" t="s">
        <v>2186</v>
      </c>
      <c r="X58" s="12" t="s">
        <v>1497</v>
      </c>
      <c r="Y58" s="12" t="s">
        <v>217</v>
      </c>
      <c r="Z58" s="12" t="s">
        <v>220</v>
      </c>
      <c r="AA58" s="12" t="s">
        <v>857</v>
      </c>
      <c r="AB58" s="12" t="s">
        <v>2308</v>
      </c>
      <c r="AC58" s="12" t="s">
        <v>313</v>
      </c>
      <c r="AD58" s="12" t="s">
        <v>314</v>
      </c>
      <c r="AE58" s="12">
        <v>90</v>
      </c>
      <c r="AF58" s="13" t="s">
        <v>2330</v>
      </c>
      <c r="AG58" s="12" t="s">
        <v>291</v>
      </c>
      <c r="AH58" s="104" t="s">
        <v>2343</v>
      </c>
      <c r="AI58" s="12" t="s">
        <v>317</v>
      </c>
      <c r="AJ58" s="12" t="s">
        <v>318</v>
      </c>
      <c r="AK58" s="12" t="s">
        <v>2794</v>
      </c>
      <c r="AL58" s="104" t="s">
        <v>3090</v>
      </c>
      <c r="AM58" s="12" t="s">
        <v>2559</v>
      </c>
      <c r="AN58" s="12" t="s">
        <v>325</v>
      </c>
      <c r="AO58" s="12" t="s">
        <v>398</v>
      </c>
      <c r="AP58" s="12"/>
      <c r="AQ58" s="12">
        <v>0</v>
      </c>
      <c r="AR58" s="12">
        <v>0</v>
      </c>
      <c r="AS58" s="12">
        <v>0</v>
      </c>
      <c r="AT58" s="12">
        <v>0</v>
      </c>
      <c r="AU58" s="12">
        <v>0</v>
      </c>
      <c r="AV58" s="12">
        <v>0</v>
      </c>
      <c r="AW58" s="12" t="s">
        <v>328</v>
      </c>
      <c r="AX58" s="12" t="s">
        <v>329</v>
      </c>
      <c r="AY58" s="12" t="s">
        <v>330</v>
      </c>
      <c r="AZ58" s="12"/>
      <c r="BA58" s="12"/>
      <c r="BB58" s="12"/>
      <c r="BC58" s="12"/>
      <c r="BD58" s="12" t="s">
        <v>3540</v>
      </c>
      <c r="BE58" s="12" t="s">
        <v>560</v>
      </c>
      <c r="BF58" s="12" t="s">
        <v>3746</v>
      </c>
      <c r="BG58" s="12" t="s">
        <v>362</v>
      </c>
      <c r="BH58" s="12" t="s">
        <v>362</v>
      </c>
      <c r="BI58" s="12">
        <v>2</v>
      </c>
      <c r="BJ58" s="12" t="s">
        <v>3890</v>
      </c>
      <c r="BK58" s="12" t="s">
        <v>3911</v>
      </c>
      <c r="BL58" s="105">
        <v>12</v>
      </c>
      <c r="BM58" s="12"/>
      <c r="BN58" s="12" t="s">
        <v>571</v>
      </c>
      <c r="BO58" s="105">
        <v>2</v>
      </c>
      <c r="BP58" s="12"/>
      <c r="BQ58" s="12">
        <v>0</v>
      </c>
      <c r="BR58" s="12">
        <v>0</v>
      </c>
      <c r="BS58" s="12"/>
      <c r="BT58" s="12">
        <v>0</v>
      </c>
      <c r="BU58" s="12">
        <v>0</v>
      </c>
      <c r="BV58" s="12"/>
      <c r="BW58" s="12">
        <v>0</v>
      </c>
      <c r="BX58" s="12">
        <v>0</v>
      </c>
      <c r="BY58" s="12"/>
      <c r="BZ58" s="12">
        <v>0</v>
      </c>
      <c r="CA58" s="12"/>
      <c r="CB58" s="12"/>
      <c r="CC58" s="12"/>
      <c r="CD58" s="78"/>
    </row>
    <row r="59" spans="1:82" s="116" customFormat="1" ht="13.9" customHeight="1" x14ac:dyDescent="0.2">
      <c r="A59" s="109">
        <v>171</v>
      </c>
      <c r="B59" s="109" t="s">
        <v>3978</v>
      </c>
      <c r="C59" s="115" t="s">
        <v>564</v>
      </c>
      <c r="D59" s="109" t="s">
        <v>81</v>
      </c>
      <c r="E59" s="111" t="s">
        <v>1624</v>
      </c>
      <c r="F59" s="112">
        <v>43129</v>
      </c>
      <c r="G59" s="112">
        <v>44396</v>
      </c>
      <c r="H59" s="113">
        <f t="shared" si="0"/>
        <v>44486</v>
      </c>
      <c r="I59" s="113" t="s">
        <v>290</v>
      </c>
      <c r="J59" s="109" t="s">
        <v>384</v>
      </c>
      <c r="K59" s="109" t="s">
        <v>4440</v>
      </c>
      <c r="L59" s="109" t="s">
        <v>1713</v>
      </c>
      <c r="M59" s="128" t="str">
        <f t="shared" si="1"/>
        <v>SANCHEZ GUTIERREZ RUBEN</v>
      </c>
      <c r="N59" s="128" t="s">
        <v>6862</v>
      </c>
      <c r="O59" s="128" t="s">
        <v>4564</v>
      </c>
      <c r="P59" s="109" t="s">
        <v>1953</v>
      </c>
      <c r="Q59" s="112">
        <v>23436</v>
      </c>
      <c r="R59" s="125">
        <f t="shared" si="2"/>
        <v>29</v>
      </c>
      <c r="S59" s="125">
        <f t="shared" si="3"/>
        <v>2</v>
      </c>
      <c r="T59" s="125">
        <f t="shared" si="4"/>
        <v>1964</v>
      </c>
      <c r="U59" s="142">
        <f t="shared" ca="1" si="5"/>
        <v>62.660273972602738</v>
      </c>
      <c r="V59" s="114" t="s">
        <v>342</v>
      </c>
      <c r="W59" s="114" t="s">
        <v>1974</v>
      </c>
      <c r="X59" s="109" t="s">
        <v>1497</v>
      </c>
      <c r="Y59" s="109" t="s">
        <v>85</v>
      </c>
      <c r="Z59" s="109" t="s">
        <v>84</v>
      </c>
      <c r="AA59" s="109" t="s">
        <v>2271</v>
      </c>
      <c r="AB59" s="109" t="s">
        <v>2277</v>
      </c>
      <c r="AC59" s="109" t="s">
        <v>313</v>
      </c>
      <c r="AD59" s="109" t="s">
        <v>349</v>
      </c>
      <c r="AE59" s="109">
        <v>90</v>
      </c>
      <c r="AF59" s="114" t="s">
        <v>597</v>
      </c>
      <c r="AG59" s="109" t="s">
        <v>290</v>
      </c>
      <c r="AH59" s="115" t="s">
        <v>2331</v>
      </c>
      <c r="AI59" s="109" t="s">
        <v>317</v>
      </c>
      <c r="AJ59" s="109" t="s">
        <v>318</v>
      </c>
      <c r="AK59" s="109" t="s">
        <v>2644</v>
      </c>
      <c r="AL59" s="115" t="s">
        <v>2881</v>
      </c>
      <c r="AM59" s="109">
        <v>0</v>
      </c>
      <c r="AN59" s="109">
        <v>0</v>
      </c>
      <c r="AO59" s="109" t="s">
        <v>398</v>
      </c>
      <c r="AP59" s="109"/>
      <c r="AQ59" s="109">
        <v>0</v>
      </c>
      <c r="AR59" s="109">
        <v>0</v>
      </c>
      <c r="AS59" s="109">
        <v>0</v>
      </c>
      <c r="AT59" s="109">
        <v>0</v>
      </c>
      <c r="AU59" s="109">
        <v>0</v>
      </c>
      <c r="AV59" s="109">
        <v>0</v>
      </c>
      <c r="AW59" s="109" t="s">
        <v>357</v>
      </c>
      <c r="AX59" s="109" t="s">
        <v>357</v>
      </c>
      <c r="AY59" s="109" t="s">
        <v>330</v>
      </c>
      <c r="AZ59" s="109"/>
      <c r="BA59" s="109"/>
      <c r="BB59" s="109"/>
      <c r="BC59" s="109"/>
      <c r="BD59" s="109" t="s">
        <v>3461</v>
      </c>
      <c r="BE59" s="109" t="s">
        <v>381</v>
      </c>
      <c r="BF59" s="109" t="s">
        <v>3592</v>
      </c>
      <c r="BG59" s="109" t="s">
        <v>362</v>
      </c>
      <c r="BH59" s="109" t="s">
        <v>362</v>
      </c>
      <c r="BI59" s="109" t="s">
        <v>3831</v>
      </c>
      <c r="BJ59" s="109" t="s">
        <v>3831</v>
      </c>
      <c r="BK59" s="109"/>
      <c r="BL59" s="111"/>
      <c r="BM59" s="109"/>
      <c r="BN59" s="109"/>
      <c r="BO59" s="111"/>
      <c r="BP59" s="109"/>
      <c r="BQ59" s="109"/>
      <c r="BR59" s="109"/>
      <c r="BS59" s="109"/>
      <c r="BT59" s="109"/>
      <c r="BU59" s="109"/>
      <c r="BV59" s="109"/>
      <c r="BW59" s="109"/>
      <c r="BX59" s="109"/>
      <c r="BY59" s="109"/>
      <c r="BZ59" s="109"/>
      <c r="CA59" s="109"/>
      <c r="CB59" s="109"/>
      <c r="CC59" s="109"/>
      <c r="CD59" s="110"/>
    </row>
    <row r="60" spans="1:82" ht="13.9" customHeight="1" x14ac:dyDescent="0.2">
      <c r="A60" s="107">
        <v>172</v>
      </c>
      <c r="B60" s="107" t="s">
        <v>3967</v>
      </c>
      <c r="C60" s="104" t="s">
        <v>299</v>
      </c>
      <c r="D60" s="99" t="s">
        <v>80</v>
      </c>
      <c r="E60" s="99" t="s">
        <v>1622</v>
      </c>
      <c r="F60" s="100">
        <v>43143</v>
      </c>
      <c r="G60" s="117">
        <v>44396</v>
      </c>
      <c r="H60" s="101">
        <f t="shared" si="0"/>
        <v>44486</v>
      </c>
      <c r="I60" s="101" t="s">
        <v>290</v>
      </c>
      <c r="J60" s="12" t="s">
        <v>384</v>
      </c>
      <c r="K60" s="12" t="s">
        <v>590</v>
      </c>
      <c r="L60" s="12" t="s">
        <v>1492</v>
      </c>
      <c r="M60" s="102" t="str">
        <f t="shared" si="1"/>
        <v>SANCHEZ PEREZ JOSE ALFREDO</v>
      </c>
      <c r="N60" s="102" t="s">
        <v>6863</v>
      </c>
      <c r="O60" s="102" t="s">
        <v>4553</v>
      </c>
      <c r="P60" s="12" t="s">
        <v>1953</v>
      </c>
      <c r="Q60" s="100">
        <v>28692</v>
      </c>
      <c r="R60" s="77">
        <f t="shared" si="2"/>
        <v>21</v>
      </c>
      <c r="S60" s="77">
        <f t="shared" si="3"/>
        <v>7</v>
      </c>
      <c r="T60" s="77">
        <f t="shared" si="4"/>
        <v>1978</v>
      </c>
      <c r="U60" s="103">
        <f t="shared" ca="1" si="5"/>
        <v>48.260273972602739</v>
      </c>
      <c r="V60" s="13" t="s">
        <v>342</v>
      </c>
      <c r="W60" s="13" t="s">
        <v>1963</v>
      </c>
      <c r="X60" s="12" t="s">
        <v>1497</v>
      </c>
      <c r="Y60" s="108" t="s">
        <v>75</v>
      </c>
      <c r="Z60" s="12" t="s">
        <v>73</v>
      </c>
      <c r="AA60" s="12" t="s">
        <v>311</v>
      </c>
      <c r="AB60" s="12" t="s">
        <v>312</v>
      </c>
      <c r="AC60" s="12" t="s">
        <v>313</v>
      </c>
      <c r="AD60" s="12" t="s">
        <v>314</v>
      </c>
      <c r="AE60" s="12">
        <v>90</v>
      </c>
      <c r="AF60" s="13" t="s">
        <v>315</v>
      </c>
      <c r="AG60" s="12" t="s">
        <v>290</v>
      </c>
      <c r="AH60" s="104" t="s">
        <v>316</v>
      </c>
      <c r="AI60" s="12" t="s">
        <v>317</v>
      </c>
      <c r="AJ60" s="12" t="s">
        <v>318</v>
      </c>
      <c r="AK60" s="12" t="s">
        <v>2638</v>
      </c>
      <c r="AL60" s="104" t="s">
        <v>2871</v>
      </c>
      <c r="AM60" s="12" t="s">
        <v>2354</v>
      </c>
      <c r="AN60" s="12" t="s">
        <v>381</v>
      </c>
      <c r="AO60" s="12" t="s">
        <v>398</v>
      </c>
      <c r="AP60" s="12"/>
      <c r="AQ60" s="12">
        <v>0</v>
      </c>
      <c r="AR60" s="12">
        <v>0</v>
      </c>
      <c r="AS60" s="12">
        <v>0</v>
      </c>
      <c r="AT60" s="12">
        <v>0</v>
      </c>
      <c r="AU60" s="12">
        <v>0</v>
      </c>
      <c r="AV60" s="12">
        <v>0</v>
      </c>
      <c r="AW60" s="12" t="s">
        <v>328</v>
      </c>
      <c r="AX60" s="12" t="s">
        <v>329</v>
      </c>
      <c r="AY60" s="12" t="s">
        <v>330</v>
      </c>
      <c r="AZ60" s="12"/>
      <c r="BA60" s="12"/>
      <c r="BB60" s="12"/>
      <c r="BC60" s="12"/>
      <c r="BD60" s="12" t="s">
        <v>2354</v>
      </c>
      <c r="BE60" s="12" t="s">
        <v>381</v>
      </c>
      <c r="BF60" s="12" t="s">
        <v>3586</v>
      </c>
      <c r="BG60" s="12" t="s">
        <v>488</v>
      </c>
      <c r="BH60" s="12" t="s">
        <v>334</v>
      </c>
      <c r="BI60" s="12">
        <v>2</v>
      </c>
      <c r="BJ60" s="146">
        <v>39549</v>
      </c>
      <c r="BK60" s="12" t="s">
        <v>3911</v>
      </c>
      <c r="BL60" s="105" t="s">
        <v>3917</v>
      </c>
      <c r="BM60" s="100">
        <v>43565</v>
      </c>
      <c r="BN60" s="12" t="s">
        <v>571</v>
      </c>
      <c r="BO60" s="105" t="s">
        <v>3918</v>
      </c>
      <c r="BP60" s="12"/>
      <c r="BQ60" s="12">
        <v>0</v>
      </c>
      <c r="BR60" s="12">
        <v>0</v>
      </c>
      <c r="BS60" s="12"/>
      <c r="BT60" s="12">
        <v>0</v>
      </c>
      <c r="BU60" s="12">
        <v>0</v>
      </c>
      <c r="BV60" s="12"/>
      <c r="BW60" s="12">
        <v>0</v>
      </c>
      <c r="BX60" s="12">
        <v>0</v>
      </c>
      <c r="BY60" s="12"/>
      <c r="BZ60" s="12">
        <v>0</v>
      </c>
      <c r="CA60" s="12"/>
      <c r="CB60" s="12"/>
      <c r="CC60" s="12"/>
      <c r="CD60" s="78"/>
    </row>
    <row r="61" spans="1:82" s="116" customFormat="1" ht="13.9" customHeight="1" x14ac:dyDescent="0.2">
      <c r="A61" s="109">
        <v>173</v>
      </c>
      <c r="B61" s="109" t="s">
        <v>4180</v>
      </c>
      <c r="C61" s="115" t="s">
        <v>1390</v>
      </c>
      <c r="D61" s="109" t="s">
        <v>281</v>
      </c>
      <c r="E61" s="111" t="s">
        <v>6491</v>
      </c>
      <c r="F61" s="112">
        <v>43150</v>
      </c>
      <c r="G61" s="112">
        <v>44546</v>
      </c>
      <c r="H61" s="113">
        <f t="shared" si="0"/>
        <v>44636</v>
      </c>
      <c r="I61" s="113" t="s">
        <v>291</v>
      </c>
      <c r="J61" s="109" t="s">
        <v>446</v>
      </c>
      <c r="K61" s="109" t="s">
        <v>1079</v>
      </c>
      <c r="L61" s="109" t="s">
        <v>1937</v>
      </c>
      <c r="M61" s="128" t="str">
        <f t="shared" si="1"/>
        <v>CRUZ CASTILLO ANA KAREN</v>
      </c>
      <c r="N61" s="128" t="s">
        <v>6864</v>
      </c>
      <c r="O61" s="128" t="s">
        <v>4844</v>
      </c>
      <c r="P61" s="109" t="s">
        <v>1954</v>
      </c>
      <c r="Q61" s="112">
        <v>32442</v>
      </c>
      <c r="R61" s="125">
        <f t="shared" si="2"/>
        <v>26</v>
      </c>
      <c r="S61" s="125">
        <f t="shared" si="3"/>
        <v>10</v>
      </c>
      <c r="T61" s="125">
        <f t="shared" si="4"/>
        <v>1988</v>
      </c>
      <c r="U61" s="142">
        <f t="shared" ca="1" si="5"/>
        <v>37.986301369863014</v>
      </c>
      <c r="V61" s="114" t="s">
        <v>308</v>
      </c>
      <c r="W61" s="114" t="s">
        <v>2255</v>
      </c>
      <c r="X61" s="109" t="s">
        <v>1426</v>
      </c>
      <c r="Y61" s="120" t="s">
        <v>273</v>
      </c>
      <c r="Z61" s="109" t="s">
        <v>263</v>
      </c>
      <c r="AA61" s="109" t="s">
        <v>636</v>
      </c>
      <c r="AB61" s="109" t="s">
        <v>2284</v>
      </c>
      <c r="AC61" s="109" t="s">
        <v>313</v>
      </c>
      <c r="AD61" s="109" t="s">
        <v>349</v>
      </c>
      <c r="AE61" s="109">
        <v>90</v>
      </c>
      <c r="AF61" s="114" t="s">
        <v>375</v>
      </c>
      <c r="AG61" s="109" t="s">
        <v>291</v>
      </c>
      <c r="AH61" s="115" t="s">
        <v>1398</v>
      </c>
      <c r="AI61" s="109" t="s">
        <v>317</v>
      </c>
      <c r="AJ61" s="109" t="s">
        <v>318</v>
      </c>
      <c r="AK61" s="109" t="s">
        <v>2853</v>
      </c>
      <c r="AL61" s="115" t="s">
        <v>3159</v>
      </c>
      <c r="AM61" s="109" t="s">
        <v>2617</v>
      </c>
      <c r="AN61" s="109" t="s">
        <v>325</v>
      </c>
      <c r="AO61" s="109" t="s">
        <v>398</v>
      </c>
      <c r="AP61" s="109"/>
      <c r="AQ61" s="109">
        <v>0</v>
      </c>
      <c r="AR61" s="109">
        <v>0</v>
      </c>
      <c r="AS61" s="109">
        <v>0</v>
      </c>
      <c r="AT61" s="109">
        <v>0</v>
      </c>
      <c r="AU61" s="109">
        <v>0</v>
      </c>
      <c r="AV61" s="109">
        <v>0</v>
      </c>
      <c r="AW61" s="109" t="s">
        <v>328</v>
      </c>
      <c r="AX61" s="109" t="s">
        <v>329</v>
      </c>
      <c r="AY61" s="109" t="s">
        <v>330</v>
      </c>
      <c r="AZ61" s="109"/>
      <c r="BA61" s="109"/>
      <c r="BB61" s="109"/>
      <c r="BC61" s="109"/>
      <c r="BD61" s="109" t="s">
        <v>2617</v>
      </c>
      <c r="BE61" s="109" t="s">
        <v>325</v>
      </c>
      <c r="BF61" s="109" t="s">
        <v>3802</v>
      </c>
      <c r="BG61" s="109" t="s">
        <v>333</v>
      </c>
      <c r="BH61" s="109" t="s">
        <v>3828</v>
      </c>
      <c r="BI61" s="109" t="s">
        <v>3831</v>
      </c>
      <c r="BJ61" s="109" t="s">
        <v>3831</v>
      </c>
      <c r="BK61" s="109"/>
      <c r="BL61" s="111"/>
      <c r="BM61" s="109"/>
      <c r="BN61" s="109"/>
      <c r="BO61" s="111"/>
      <c r="BP61" s="109"/>
      <c r="BQ61" s="109"/>
      <c r="BR61" s="109"/>
      <c r="BS61" s="109"/>
      <c r="BT61" s="109"/>
      <c r="BU61" s="109"/>
      <c r="BV61" s="109"/>
      <c r="BW61" s="109"/>
      <c r="BX61" s="109"/>
      <c r="BY61" s="109"/>
      <c r="BZ61" s="109"/>
      <c r="CA61" s="109"/>
      <c r="CB61" s="109"/>
      <c r="CC61" s="109"/>
      <c r="CD61" s="110"/>
    </row>
    <row r="62" spans="1:82" ht="13.9" customHeight="1" x14ac:dyDescent="0.2">
      <c r="A62" s="107">
        <v>175</v>
      </c>
      <c r="B62" s="107" t="s">
        <v>7244</v>
      </c>
      <c r="C62" s="78" t="s">
        <v>363</v>
      </c>
      <c r="D62" s="107" t="s">
        <v>86</v>
      </c>
      <c r="E62" s="99" t="s">
        <v>1635</v>
      </c>
      <c r="F62" s="100">
        <v>43159</v>
      </c>
      <c r="G62" s="117">
        <v>44396</v>
      </c>
      <c r="H62" s="101">
        <f t="shared" si="0"/>
        <v>44486</v>
      </c>
      <c r="I62" s="101" t="s">
        <v>290</v>
      </c>
      <c r="J62" s="12" t="s">
        <v>366</v>
      </c>
      <c r="K62" s="12" t="s">
        <v>4456</v>
      </c>
      <c r="L62" s="12" t="s">
        <v>1737</v>
      </c>
      <c r="M62" s="102" t="str">
        <f t="shared" si="1"/>
        <v>HERNANDEZ TOLENTINO IRVING JONATHAN</v>
      </c>
      <c r="N62" s="102" t="s">
        <v>6865</v>
      </c>
      <c r="O62" s="102" t="s">
        <v>4595</v>
      </c>
      <c r="P62" s="12" t="s">
        <v>1953</v>
      </c>
      <c r="Q62" s="100">
        <v>33949</v>
      </c>
      <c r="R62" s="77">
        <f t="shared" si="2"/>
        <v>11</v>
      </c>
      <c r="S62" s="77">
        <f t="shared" si="3"/>
        <v>12</v>
      </c>
      <c r="T62" s="77">
        <f t="shared" si="4"/>
        <v>1992</v>
      </c>
      <c r="U62" s="103">
        <f t="shared" ca="1" si="5"/>
        <v>33.857534246575341</v>
      </c>
      <c r="V62" s="13" t="s">
        <v>389</v>
      </c>
      <c r="W62" s="13" t="s">
        <v>2006</v>
      </c>
      <c r="X62" s="12" t="s">
        <v>1497</v>
      </c>
      <c r="Y62" s="108" t="s">
        <v>87</v>
      </c>
      <c r="Z62" s="12" t="s">
        <v>88</v>
      </c>
      <c r="AA62" s="12" t="s">
        <v>455</v>
      </c>
      <c r="AB62" s="12" t="s">
        <v>374</v>
      </c>
      <c r="AC62" s="12" t="s">
        <v>313</v>
      </c>
      <c r="AD62" s="12" t="s">
        <v>314</v>
      </c>
      <c r="AE62" s="12">
        <v>90</v>
      </c>
      <c r="AF62" s="13" t="s">
        <v>375</v>
      </c>
      <c r="AG62" s="12" t="s">
        <v>290</v>
      </c>
      <c r="AH62" s="104" t="s">
        <v>2333</v>
      </c>
      <c r="AI62" s="12" t="s">
        <v>317</v>
      </c>
      <c r="AJ62" s="12" t="s">
        <v>318</v>
      </c>
      <c r="AK62" s="12">
        <v>4443728903</v>
      </c>
      <c r="AL62" s="104" t="s">
        <v>2913</v>
      </c>
      <c r="AM62" s="12">
        <v>0</v>
      </c>
      <c r="AN62" s="12">
        <v>0</v>
      </c>
      <c r="AO62" s="12">
        <v>0</v>
      </c>
      <c r="AP62" s="12"/>
      <c r="AQ62" s="12">
        <v>0</v>
      </c>
      <c r="AR62" s="12">
        <v>0</v>
      </c>
      <c r="AS62" s="12">
        <v>0</v>
      </c>
      <c r="AT62" s="12">
        <v>0</v>
      </c>
      <c r="AU62" s="12">
        <v>0</v>
      </c>
      <c r="AV62" s="12">
        <v>0</v>
      </c>
      <c r="AW62" s="12" t="s">
        <v>328</v>
      </c>
      <c r="AX62" s="12" t="s">
        <v>357</v>
      </c>
      <c r="AY62" s="12" t="s">
        <v>330</v>
      </c>
      <c r="AZ62" s="12"/>
      <c r="BA62" s="12"/>
      <c r="BB62" s="12"/>
      <c r="BC62" s="12"/>
      <c r="BD62" s="12" t="s">
        <v>3468</v>
      </c>
      <c r="BE62" s="12" t="s">
        <v>622</v>
      </c>
      <c r="BF62" s="12" t="s">
        <v>3612</v>
      </c>
      <c r="BG62" s="12" t="s">
        <v>362</v>
      </c>
      <c r="BH62" s="12" t="s">
        <v>362</v>
      </c>
      <c r="BI62" s="12">
        <v>2</v>
      </c>
      <c r="BJ62" s="12" t="s">
        <v>3839</v>
      </c>
      <c r="BK62" s="12" t="s">
        <v>3911</v>
      </c>
      <c r="BL62" s="105">
        <v>0</v>
      </c>
      <c r="BM62" s="12"/>
      <c r="BN62" s="12">
        <v>0</v>
      </c>
      <c r="BO62" s="105">
        <v>0</v>
      </c>
      <c r="BP62" s="12"/>
      <c r="BQ62" s="12">
        <v>0</v>
      </c>
      <c r="BR62" s="12">
        <v>0</v>
      </c>
      <c r="BS62" s="12"/>
      <c r="BT62" s="12">
        <v>0</v>
      </c>
      <c r="BU62" s="12">
        <v>0</v>
      </c>
      <c r="BV62" s="12"/>
      <c r="BW62" s="12">
        <v>0</v>
      </c>
      <c r="BX62" s="12">
        <v>0</v>
      </c>
      <c r="BY62" s="12"/>
      <c r="BZ62" s="12">
        <v>0</v>
      </c>
      <c r="CA62" s="12"/>
      <c r="CB62" s="12"/>
      <c r="CC62" s="12"/>
      <c r="CD62" s="78"/>
    </row>
    <row r="63" spans="1:82" ht="13.9" customHeight="1" x14ac:dyDescent="0.2">
      <c r="A63" s="12">
        <v>178</v>
      </c>
      <c r="B63" s="12" t="s">
        <v>4112</v>
      </c>
      <c r="C63" s="78" t="s">
        <v>335</v>
      </c>
      <c r="D63" s="99" t="s">
        <v>161</v>
      </c>
      <c r="E63" s="99" t="s">
        <v>1656</v>
      </c>
      <c r="F63" s="100">
        <v>43199</v>
      </c>
      <c r="G63" s="100">
        <v>44914</v>
      </c>
      <c r="H63" s="101">
        <f t="shared" si="0"/>
        <v>45004</v>
      </c>
      <c r="I63" s="101" t="s">
        <v>290</v>
      </c>
      <c r="J63" s="12" t="s">
        <v>4381</v>
      </c>
      <c r="K63" s="12" t="s">
        <v>590</v>
      </c>
      <c r="L63" s="12" t="s">
        <v>1830</v>
      </c>
      <c r="M63" s="102" t="str">
        <f t="shared" si="1"/>
        <v>VALENTIN PEREZ JESUS</v>
      </c>
      <c r="N63" s="102" t="s">
        <v>6866</v>
      </c>
      <c r="O63" s="102" t="s">
        <v>4708</v>
      </c>
      <c r="P63" s="12" t="s">
        <v>1953</v>
      </c>
      <c r="Q63" s="100">
        <v>27753</v>
      </c>
      <c r="R63" s="77">
        <f t="shared" si="2"/>
        <v>25</v>
      </c>
      <c r="S63" s="77">
        <f t="shared" si="3"/>
        <v>12</v>
      </c>
      <c r="T63" s="77">
        <f t="shared" si="4"/>
        <v>1975</v>
      </c>
      <c r="U63" s="103">
        <f t="shared" ca="1" si="5"/>
        <v>50.832876712328769</v>
      </c>
      <c r="V63" s="13" t="s">
        <v>342</v>
      </c>
      <c r="W63" s="13" t="s">
        <v>2119</v>
      </c>
      <c r="X63" s="12" t="s">
        <v>1497</v>
      </c>
      <c r="Y63" s="12" t="s">
        <v>112</v>
      </c>
      <c r="Z63" s="12" t="s">
        <v>164</v>
      </c>
      <c r="AA63" s="12" t="s">
        <v>347</v>
      </c>
      <c r="AB63" s="12" t="s">
        <v>2297</v>
      </c>
      <c r="AC63" s="12" t="s">
        <v>313</v>
      </c>
      <c r="AD63" s="12" t="s">
        <v>314</v>
      </c>
      <c r="AE63" s="12">
        <v>90</v>
      </c>
      <c r="AF63" s="13" t="s">
        <v>2330</v>
      </c>
      <c r="AG63" s="12" t="s">
        <v>290</v>
      </c>
      <c r="AH63" s="104" t="s">
        <v>2343</v>
      </c>
      <c r="AI63" s="12" t="s">
        <v>317</v>
      </c>
      <c r="AJ63" s="12" t="s">
        <v>318</v>
      </c>
      <c r="AK63" s="12" t="s">
        <v>2738</v>
      </c>
      <c r="AL63" s="104" t="s">
        <v>3025</v>
      </c>
      <c r="AM63" s="12" t="s">
        <v>2496</v>
      </c>
      <c r="AN63" s="12" t="s">
        <v>381</v>
      </c>
      <c r="AO63" s="12" t="s">
        <v>398</v>
      </c>
      <c r="AP63" s="12"/>
      <c r="AQ63" s="12">
        <v>0</v>
      </c>
      <c r="AR63" s="12">
        <v>0</v>
      </c>
      <c r="AS63" s="12">
        <v>0</v>
      </c>
      <c r="AT63" s="12">
        <v>0</v>
      </c>
      <c r="AU63" s="12">
        <v>0</v>
      </c>
      <c r="AV63" s="12">
        <v>0</v>
      </c>
      <c r="AW63" s="12" t="s">
        <v>420</v>
      </c>
      <c r="AX63" s="12" t="s">
        <v>329</v>
      </c>
      <c r="AY63" s="12" t="s">
        <v>330</v>
      </c>
      <c r="AZ63" s="12"/>
      <c r="BA63" s="12"/>
      <c r="BB63" s="12"/>
      <c r="BC63" s="12"/>
      <c r="BD63" s="12" t="s">
        <v>2496</v>
      </c>
      <c r="BE63" s="12" t="s">
        <v>381</v>
      </c>
      <c r="BF63" s="12" t="s">
        <v>3690</v>
      </c>
      <c r="BG63" s="12" t="s">
        <v>333</v>
      </c>
      <c r="BH63" s="12" t="s">
        <v>3814</v>
      </c>
      <c r="BI63" s="12">
        <v>3</v>
      </c>
      <c r="BJ63" s="12" t="s">
        <v>3872</v>
      </c>
      <c r="BK63" s="12" t="s">
        <v>3911</v>
      </c>
      <c r="BL63" s="105">
        <v>23</v>
      </c>
      <c r="BM63" s="12"/>
      <c r="BN63" s="12" t="s">
        <v>1953</v>
      </c>
      <c r="BO63" s="105">
        <v>20</v>
      </c>
      <c r="BP63" s="12"/>
      <c r="BQ63" s="12" t="s">
        <v>1953</v>
      </c>
      <c r="BR63" s="12">
        <v>18</v>
      </c>
      <c r="BS63" s="12"/>
      <c r="BT63" s="12">
        <v>0</v>
      </c>
      <c r="BU63" s="12">
        <v>0</v>
      </c>
      <c r="BV63" s="12"/>
      <c r="BW63" s="12">
        <v>0</v>
      </c>
      <c r="BX63" s="12">
        <v>0</v>
      </c>
      <c r="BY63" s="12"/>
      <c r="BZ63" s="12">
        <v>0</v>
      </c>
      <c r="CA63" s="12"/>
      <c r="CB63" s="12"/>
      <c r="CC63" s="12"/>
      <c r="CD63" s="78"/>
    </row>
    <row r="64" spans="1:82" ht="13.9" customHeight="1" x14ac:dyDescent="0.2">
      <c r="A64" s="12">
        <v>414</v>
      </c>
      <c r="B64" s="12" t="s">
        <v>4145</v>
      </c>
      <c r="C64" s="78" t="s">
        <v>335</v>
      </c>
      <c r="D64" s="107" t="s">
        <v>228</v>
      </c>
      <c r="E64" s="99" t="s">
        <v>6737</v>
      </c>
      <c r="F64" s="100">
        <v>43228</v>
      </c>
      <c r="G64" s="100">
        <v>44911</v>
      </c>
      <c r="H64" s="101">
        <f t="shared" si="0"/>
        <v>45001</v>
      </c>
      <c r="I64" s="101" t="s">
        <v>291</v>
      </c>
      <c r="J64" s="12" t="s">
        <v>365</v>
      </c>
      <c r="K64" s="12" t="s">
        <v>366</v>
      </c>
      <c r="L64" s="12" t="s">
        <v>1899</v>
      </c>
      <c r="M64" s="102" t="str">
        <f t="shared" si="1"/>
        <v>RODRIGUEZ  HERNANDEZ  KARLA ELIZABETH</v>
      </c>
      <c r="N64" s="102" t="s">
        <v>7145</v>
      </c>
      <c r="O64" s="102" t="s">
        <v>4789</v>
      </c>
      <c r="P64" s="12" t="s">
        <v>1954</v>
      </c>
      <c r="Q64" s="100">
        <v>33135</v>
      </c>
      <c r="R64" s="77">
        <f t="shared" si="2"/>
        <v>19</v>
      </c>
      <c r="S64" s="77">
        <f t="shared" si="3"/>
        <v>9</v>
      </c>
      <c r="T64" s="77">
        <f t="shared" si="4"/>
        <v>1990</v>
      </c>
      <c r="U64" s="103">
        <f t="shared" ca="1" si="5"/>
        <v>36.087671232876716</v>
      </c>
      <c r="V64" s="13" t="s">
        <v>308</v>
      </c>
      <c r="W64" s="13" t="s">
        <v>2198</v>
      </c>
      <c r="X64" s="12" t="s">
        <v>1497</v>
      </c>
      <c r="Y64" s="108" t="s">
        <v>219</v>
      </c>
      <c r="Z64" s="12" t="s">
        <v>147</v>
      </c>
      <c r="AA64" s="12" t="s">
        <v>2271</v>
      </c>
      <c r="AB64" s="12" t="s">
        <v>948</v>
      </c>
      <c r="AC64" s="12" t="s">
        <v>313</v>
      </c>
      <c r="AD64" s="12" t="s">
        <v>314</v>
      </c>
      <c r="AE64" s="12">
        <v>90</v>
      </c>
      <c r="AF64" s="13" t="s">
        <v>949</v>
      </c>
      <c r="AG64" s="12" t="s">
        <v>291</v>
      </c>
      <c r="AH64" s="104" t="s">
        <v>414</v>
      </c>
      <c r="AI64" s="12" t="s">
        <v>317</v>
      </c>
      <c r="AJ64" s="12" t="s">
        <v>318</v>
      </c>
      <c r="AK64" s="12" t="s">
        <v>2805</v>
      </c>
      <c r="AL64" s="104" t="s">
        <v>3102</v>
      </c>
      <c r="AM64" s="12" t="s">
        <v>2571</v>
      </c>
      <c r="AN64" s="12" t="s">
        <v>3185</v>
      </c>
      <c r="AO64" s="12" t="s">
        <v>398</v>
      </c>
      <c r="AP64" s="12"/>
      <c r="AQ64" s="12">
        <v>0</v>
      </c>
      <c r="AR64" s="12">
        <v>0</v>
      </c>
      <c r="AS64" s="12">
        <v>0</v>
      </c>
      <c r="AT64" s="12">
        <v>0</v>
      </c>
      <c r="AU64" s="12">
        <v>0</v>
      </c>
      <c r="AV64" s="12">
        <v>0</v>
      </c>
      <c r="AW64" s="12" t="s">
        <v>420</v>
      </c>
      <c r="AX64" s="12" t="s">
        <v>329</v>
      </c>
      <c r="AY64" s="12" t="s">
        <v>330</v>
      </c>
      <c r="AZ64" s="12"/>
      <c r="BA64" s="12"/>
      <c r="BB64" s="12"/>
      <c r="BC64" s="12"/>
      <c r="BD64" s="12" t="s">
        <v>3547</v>
      </c>
      <c r="BE64" s="12" t="s">
        <v>401</v>
      </c>
      <c r="BF64" s="12" t="s">
        <v>3758</v>
      </c>
      <c r="BG64" s="12" t="s">
        <v>333</v>
      </c>
      <c r="BH64" s="12" t="s">
        <v>362</v>
      </c>
      <c r="BI64" s="12" t="s">
        <v>362</v>
      </c>
      <c r="BJ64" s="12" t="s">
        <v>3888</v>
      </c>
      <c r="BK64" s="12" t="s">
        <v>3911</v>
      </c>
      <c r="BL64" s="105">
        <v>0</v>
      </c>
      <c r="BM64" s="12"/>
      <c r="BN64" s="12">
        <v>0</v>
      </c>
      <c r="BO64" s="105">
        <v>0</v>
      </c>
      <c r="BP64" s="12"/>
      <c r="BQ64" s="12">
        <v>0</v>
      </c>
      <c r="BR64" s="12">
        <v>0</v>
      </c>
      <c r="BS64" s="12"/>
      <c r="BT64" s="12">
        <v>0</v>
      </c>
      <c r="BU64" s="12">
        <v>0</v>
      </c>
      <c r="BV64" s="12"/>
      <c r="BW64" s="12">
        <v>0</v>
      </c>
      <c r="BX64" s="12">
        <v>0</v>
      </c>
      <c r="BY64" s="12"/>
      <c r="BZ64" s="12">
        <v>0</v>
      </c>
      <c r="CA64" s="12"/>
      <c r="CB64" s="12"/>
      <c r="CC64" s="12"/>
      <c r="CD64" s="78"/>
    </row>
    <row r="65" spans="1:82" ht="13.9" customHeight="1" x14ac:dyDescent="0.2">
      <c r="A65" s="108">
        <v>182</v>
      </c>
      <c r="B65" s="108" t="s">
        <v>4226</v>
      </c>
      <c r="C65" s="104" t="s">
        <v>299</v>
      </c>
      <c r="D65" s="99" t="s">
        <v>80</v>
      </c>
      <c r="E65" s="99" t="s">
        <v>6738</v>
      </c>
      <c r="F65" s="100">
        <v>43236</v>
      </c>
      <c r="G65" s="100">
        <v>44593</v>
      </c>
      <c r="H65" s="101">
        <f t="shared" si="0"/>
        <v>44683</v>
      </c>
      <c r="I65" s="101" t="s">
        <v>291</v>
      </c>
      <c r="J65" s="12" t="s">
        <v>4382</v>
      </c>
      <c r="K65" s="12" t="s">
        <v>4363</v>
      </c>
      <c r="L65" s="12" t="s">
        <v>1848</v>
      </c>
      <c r="M65" s="102" t="str">
        <f t="shared" si="1"/>
        <v>CABRERA OLVERA  CARLO OMAR</v>
      </c>
      <c r="N65" s="102" t="s">
        <v>7146</v>
      </c>
      <c r="O65" s="102" t="s">
        <v>4729</v>
      </c>
      <c r="P65" s="12" t="s">
        <v>1953</v>
      </c>
      <c r="Q65" s="100">
        <v>31259</v>
      </c>
      <c r="R65" s="77">
        <f t="shared" si="2"/>
        <v>31</v>
      </c>
      <c r="S65" s="77">
        <f t="shared" si="3"/>
        <v>7</v>
      </c>
      <c r="T65" s="77">
        <f t="shared" si="4"/>
        <v>1985</v>
      </c>
      <c r="U65" s="103">
        <f t="shared" ca="1" si="5"/>
        <v>41.227397260273975</v>
      </c>
      <c r="V65" s="13" t="s">
        <v>342</v>
      </c>
      <c r="W65" s="13" t="s">
        <v>2140</v>
      </c>
      <c r="X65" s="12" t="s">
        <v>1497</v>
      </c>
      <c r="Y65" s="122" t="s">
        <v>180</v>
      </c>
      <c r="Z65" s="12" t="s">
        <v>170</v>
      </c>
      <c r="AA65" s="12" t="s">
        <v>636</v>
      </c>
      <c r="AB65" s="12" t="s">
        <v>1368</v>
      </c>
      <c r="AC65" s="12" t="s">
        <v>313</v>
      </c>
      <c r="AD65" s="12" t="s">
        <v>314</v>
      </c>
      <c r="AE65" s="12">
        <v>90</v>
      </c>
      <c r="AF65" s="13" t="s">
        <v>315</v>
      </c>
      <c r="AG65" s="12" t="s">
        <v>291</v>
      </c>
      <c r="AH65" s="104" t="s">
        <v>316</v>
      </c>
      <c r="AI65" s="12" t="s">
        <v>317</v>
      </c>
      <c r="AJ65" s="12" t="s">
        <v>318</v>
      </c>
      <c r="AK65" s="12" t="s">
        <v>2754</v>
      </c>
      <c r="AL65" s="104" t="s">
        <v>3046</v>
      </c>
      <c r="AM65" s="12" t="s">
        <v>2517</v>
      </c>
      <c r="AN65" s="12" t="s">
        <v>3183</v>
      </c>
      <c r="AO65" s="12" t="s">
        <v>398</v>
      </c>
      <c r="AP65" s="12"/>
      <c r="AQ65" s="12">
        <v>0</v>
      </c>
      <c r="AR65" s="12">
        <v>0</v>
      </c>
      <c r="AS65" s="12">
        <v>0</v>
      </c>
      <c r="AT65" s="12">
        <v>0</v>
      </c>
      <c r="AU65" s="12">
        <v>0</v>
      </c>
      <c r="AV65" s="12">
        <v>0</v>
      </c>
      <c r="AW65" s="12" t="s">
        <v>328</v>
      </c>
      <c r="AX65" s="12" t="s">
        <v>329</v>
      </c>
      <c r="AY65" s="12" t="s">
        <v>330</v>
      </c>
      <c r="AZ65" s="12"/>
      <c r="BA65" s="12"/>
      <c r="BB65" s="12"/>
      <c r="BC65" s="12"/>
      <c r="BD65" s="12" t="s">
        <v>3522</v>
      </c>
      <c r="BE65" s="12" t="s">
        <v>381</v>
      </c>
      <c r="BF65" s="12" t="s">
        <v>3708</v>
      </c>
      <c r="BG65" s="12" t="s">
        <v>333</v>
      </c>
      <c r="BH65" s="12" t="s">
        <v>334</v>
      </c>
      <c r="BI65" s="12">
        <v>3</v>
      </c>
      <c r="BJ65" s="12" t="s">
        <v>3879</v>
      </c>
      <c r="BK65" s="12" t="s">
        <v>3911</v>
      </c>
      <c r="BL65" s="105" t="s">
        <v>3943</v>
      </c>
      <c r="BM65" s="12"/>
      <c r="BN65" s="12" t="s">
        <v>571</v>
      </c>
      <c r="BO65" s="105" t="s">
        <v>3952</v>
      </c>
      <c r="BP65" s="12"/>
      <c r="BQ65" s="12" t="s">
        <v>571</v>
      </c>
      <c r="BR65" s="12" t="s">
        <v>3913</v>
      </c>
      <c r="BS65" s="12"/>
      <c r="BT65" s="12">
        <v>0</v>
      </c>
      <c r="BU65" s="12">
        <v>0</v>
      </c>
      <c r="BV65" s="12"/>
      <c r="BW65" s="12">
        <v>0</v>
      </c>
      <c r="BX65" s="12">
        <v>0</v>
      </c>
      <c r="BY65" s="12"/>
      <c r="BZ65" s="12">
        <v>0</v>
      </c>
      <c r="CA65" s="12"/>
      <c r="CB65" s="12"/>
      <c r="CC65" s="12"/>
      <c r="CD65" s="78"/>
    </row>
    <row r="66" spans="1:82" s="116" customFormat="1" ht="13.9" customHeight="1" x14ac:dyDescent="0.2">
      <c r="A66" s="109">
        <v>183</v>
      </c>
      <c r="B66" s="109" t="s">
        <v>4041</v>
      </c>
      <c r="C66" s="110" t="s">
        <v>335</v>
      </c>
      <c r="D66" s="111" t="s">
        <v>105</v>
      </c>
      <c r="E66" s="111" t="s">
        <v>6492</v>
      </c>
      <c r="F66" s="112">
        <v>43271</v>
      </c>
      <c r="G66" s="112">
        <v>44921</v>
      </c>
      <c r="H66" s="113">
        <f t="shared" ref="H66:H129" si="6">+G66+AE66</f>
        <v>45011</v>
      </c>
      <c r="I66" s="113" t="s">
        <v>290</v>
      </c>
      <c r="J66" s="109" t="s">
        <v>366</v>
      </c>
      <c r="K66" s="109"/>
      <c r="L66" s="109" t="s">
        <v>1769</v>
      </c>
      <c r="M66" s="128" t="str">
        <f t="shared" ref="M66:M129" si="7">_xlfn.CONCAT(J66," ",K66," ",L66)</f>
        <v>HERNANDEZ  EDGAR CERVANDO</v>
      </c>
      <c r="N66" s="128" t="s">
        <v>4545</v>
      </c>
      <c r="O66" s="128" t="s">
        <v>4630</v>
      </c>
      <c r="P66" s="109" t="s">
        <v>1953</v>
      </c>
      <c r="Q66" s="112">
        <v>35862</v>
      </c>
      <c r="R66" s="125">
        <f t="shared" si="2"/>
        <v>8</v>
      </c>
      <c r="S66" s="125">
        <f t="shared" si="3"/>
        <v>3</v>
      </c>
      <c r="T66" s="125">
        <f t="shared" si="4"/>
        <v>1998</v>
      </c>
      <c r="U66" s="142">
        <f t="shared" ca="1" si="5"/>
        <v>28.616438356164384</v>
      </c>
      <c r="V66" s="114" t="s">
        <v>342</v>
      </c>
      <c r="W66" s="114" t="s">
        <v>2042</v>
      </c>
      <c r="X66" s="109" t="s">
        <v>454</v>
      </c>
      <c r="Y66" s="109" t="s">
        <v>110</v>
      </c>
      <c r="Z66" s="109" t="s">
        <v>111</v>
      </c>
      <c r="AA66" s="109" t="s">
        <v>347</v>
      </c>
      <c r="AB66" s="109" t="s">
        <v>2287</v>
      </c>
      <c r="AC66" s="109" t="s">
        <v>313</v>
      </c>
      <c r="AD66" s="109" t="s">
        <v>349</v>
      </c>
      <c r="AE66" s="109">
        <v>90</v>
      </c>
      <c r="AF66" s="114" t="s">
        <v>859</v>
      </c>
      <c r="AG66" s="109" t="s">
        <v>290</v>
      </c>
      <c r="AH66" s="115" t="s">
        <v>2337</v>
      </c>
      <c r="AI66" s="109" t="s">
        <v>317</v>
      </c>
      <c r="AJ66" s="109" t="s">
        <v>318</v>
      </c>
      <c r="AK66" s="109" t="s">
        <v>2688</v>
      </c>
      <c r="AL66" s="115" t="s">
        <v>2948</v>
      </c>
      <c r="AM66" s="109" t="s">
        <v>2429</v>
      </c>
      <c r="AN66" s="109" t="s">
        <v>381</v>
      </c>
      <c r="AO66" s="109" t="s">
        <v>398</v>
      </c>
      <c r="AP66" s="109"/>
      <c r="AQ66" s="109">
        <v>0</v>
      </c>
      <c r="AR66" s="109">
        <v>0</v>
      </c>
      <c r="AS66" s="109">
        <v>0</v>
      </c>
      <c r="AT66" s="109">
        <v>0</v>
      </c>
      <c r="AU66" s="109">
        <v>0</v>
      </c>
      <c r="AV66" s="109">
        <v>0</v>
      </c>
      <c r="AW66" s="109" t="s">
        <v>328</v>
      </c>
      <c r="AX66" s="109" t="s">
        <v>357</v>
      </c>
      <c r="AY66" s="109" t="s">
        <v>330</v>
      </c>
      <c r="AZ66" s="109"/>
      <c r="BA66" s="109"/>
      <c r="BB66" s="109"/>
      <c r="BC66" s="109"/>
      <c r="BD66" s="109" t="s">
        <v>2429</v>
      </c>
      <c r="BE66" s="109" t="s">
        <v>381</v>
      </c>
      <c r="BF66" s="109" t="s">
        <v>3636</v>
      </c>
      <c r="BG66" s="109" t="s">
        <v>362</v>
      </c>
      <c r="BH66" s="109" t="s">
        <v>362</v>
      </c>
      <c r="BI66" s="109">
        <v>3</v>
      </c>
      <c r="BJ66" s="109" t="s">
        <v>3851</v>
      </c>
      <c r="BK66" s="109" t="s">
        <v>3911</v>
      </c>
      <c r="BL66" s="111" t="s">
        <v>3922</v>
      </c>
      <c r="BM66" s="109"/>
      <c r="BN66" s="109" t="s">
        <v>1953</v>
      </c>
      <c r="BO66" s="111" t="s">
        <v>3918</v>
      </c>
      <c r="BP66" s="109"/>
      <c r="BQ66" s="109" t="s">
        <v>3911</v>
      </c>
      <c r="BR66" s="109" t="s">
        <v>3919</v>
      </c>
      <c r="BS66" s="109"/>
      <c r="BT66" s="109">
        <v>0</v>
      </c>
      <c r="BU66" s="109">
        <v>0</v>
      </c>
      <c r="BV66" s="109"/>
      <c r="BW66" s="109">
        <v>0</v>
      </c>
      <c r="BX66" s="109">
        <v>0</v>
      </c>
      <c r="BY66" s="109"/>
      <c r="BZ66" s="109">
        <v>0</v>
      </c>
      <c r="CA66" s="109"/>
      <c r="CB66" s="109"/>
      <c r="CC66" s="109"/>
      <c r="CD66" s="110"/>
    </row>
    <row r="67" spans="1:82" ht="13.9" customHeight="1" x14ac:dyDescent="0.2">
      <c r="A67" s="12">
        <v>184</v>
      </c>
      <c r="B67" s="12" t="s">
        <v>4048</v>
      </c>
      <c r="C67" s="78" t="s">
        <v>335</v>
      </c>
      <c r="D67" s="99" t="s">
        <v>127</v>
      </c>
      <c r="E67" s="99" t="s">
        <v>6493</v>
      </c>
      <c r="F67" s="100">
        <v>43276</v>
      </c>
      <c r="G67" s="100">
        <v>44914</v>
      </c>
      <c r="H67" s="101">
        <f t="shared" si="6"/>
        <v>45004</v>
      </c>
      <c r="I67" s="101" t="s">
        <v>290</v>
      </c>
      <c r="J67" s="12" t="s">
        <v>4355</v>
      </c>
      <c r="K67" s="12" t="s">
        <v>4478</v>
      </c>
      <c r="L67" s="12" t="s">
        <v>1780</v>
      </c>
      <c r="M67" s="102" t="str">
        <f t="shared" si="7"/>
        <v>SANDOVAL INFANTE EZEQUIEL</v>
      </c>
      <c r="N67" s="102" t="s">
        <v>6867</v>
      </c>
      <c r="O67" s="102" t="s">
        <v>4645</v>
      </c>
      <c r="P67" s="12" t="s">
        <v>1953</v>
      </c>
      <c r="Q67" s="100">
        <v>33223</v>
      </c>
      <c r="R67" s="77">
        <f t="shared" ref="R67:R130" si="8">DAY(Q67)</f>
        <v>16</v>
      </c>
      <c r="S67" s="77">
        <f t="shared" ref="S67:S130" si="9">MONTH(Q67)</f>
        <v>12</v>
      </c>
      <c r="T67" s="77">
        <f t="shared" ref="T67:T130" si="10">YEAR(Q67)</f>
        <v>1990</v>
      </c>
      <c r="U67" s="103">
        <f t="shared" ref="U67:U130" ca="1" si="11">(+TODAY()-Q67)/365</f>
        <v>35.846575342465755</v>
      </c>
      <c r="V67" s="13" t="s">
        <v>342</v>
      </c>
      <c r="W67" s="13" t="s">
        <v>2057</v>
      </c>
      <c r="X67" s="12" t="s">
        <v>1497</v>
      </c>
      <c r="Y67" s="12" t="s">
        <v>108</v>
      </c>
      <c r="Z67" s="12" t="s">
        <v>128</v>
      </c>
      <c r="AA67" s="12" t="s">
        <v>2271</v>
      </c>
      <c r="AB67" s="12" t="s">
        <v>412</v>
      </c>
      <c r="AC67" s="12" t="s">
        <v>313</v>
      </c>
      <c r="AD67" s="12" t="s">
        <v>314</v>
      </c>
      <c r="AE67" s="12">
        <v>90</v>
      </c>
      <c r="AF67" s="13" t="s">
        <v>413</v>
      </c>
      <c r="AG67" s="12" t="s">
        <v>290</v>
      </c>
      <c r="AH67" s="104" t="s">
        <v>414</v>
      </c>
      <c r="AI67" s="12" t="s">
        <v>317</v>
      </c>
      <c r="AJ67" s="12" t="s">
        <v>318</v>
      </c>
      <c r="AK67" s="12" t="s">
        <v>2702</v>
      </c>
      <c r="AL67" s="104" t="s">
        <v>2963</v>
      </c>
      <c r="AM67" s="12" t="s">
        <v>2439</v>
      </c>
      <c r="AN67" s="12" t="s">
        <v>381</v>
      </c>
      <c r="AO67" s="12" t="s">
        <v>398</v>
      </c>
      <c r="AP67" s="12"/>
      <c r="AQ67" s="12">
        <v>0</v>
      </c>
      <c r="AR67" s="12">
        <v>0</v>
      </c>
      <c r="AS67" s="12">
        <v>0</v>
      </c>
      <c r="AT67" s="12">
        <v>0</v>
      </c>
      <c r="AU67" s="12">
        <v>0</v>
      </c>
      <c r="AV67" s="12">
        <v>0</v>
      </c>
      <c r="AW67" s="12" t="s">
        <v>420</v>
      </c>
      <c r="AX67" s="12" t="s">
        <v>329</v>
      </c>
      <c r="AY67" s="12" t="s">
        <v>330</v>
      </c>
      <c r="AZ67" s="12" t="s">
        <v>3423</v>
      </c>
      <c r="BA67" s="12" t="s">
        <v>3435</v>
      </c>
      <c r="BB67" s="12"/>
      <c r="BC67" s="12"/>
      <c r="BD67" s="12" t="s">
        <v>3487</v>
      </c>
      <c r="BE67" s="12" t="s">
        <v>622</v>
      </c>
      <c r="BF67" s="12" t="s">
        <v>3650</v>
      </c>
      <c r="BG67" s="12" t="s">
        <v>333</v>
      </c>
      <c r="BH67" s="12" t="s">
        <v>362</v>
      </c>
      <c r="BI67" s="12">
        <v>1</v>
      </c>
      <c r="BJ67" s="100">
        <v>43743</v>
      </c>
      <c r="BK67" s="12" t="s">
        <v>3911</v>
      </c>
      <c r="BL67" s="105">
        <f ca="1">(+TODAY()-BJ67)/365</f>
        <v>7.0246575342465754</v>
      </c>
      <c r="BM67" s="12"/>
      <c r="BN67" s="12">
        <v>0</v>
      </c>
      <c r="BO67" s="105">
        <v>0</v>
      </c>
      <c r="BP67" s="12"/>
      <c r="BQ67" s="12">
        <v>0</v>
      </c>
      <c r="BR67" s="12">
        <v>0</v>
      </c>
      <c r="BS67" s="12"/>
      <c r="BT67" s="12">
        <v>0</v>
      </c>
      <c r="BU67" s="12">
        <v>0</v>
      </c>
      <c r="BV67" s="12"/>
      <c r="BW67" s="12">
        <v>0</v>
      </c>
      <c r="BX67" s="12">
        <v>0</v>
      </c>
      <c r="BY67" s="12"/>
      <c r="BZ67" s="12">
        <v>0</v>
      </c>
      <c r="CA67" s="12"/>
      <c r="CB67" s="12"/>
      <c r="CC67" s="12"/>
      <c r="CD67" s="78"/>
    </row>
    <row r="68" spans="1:82" ht="13.9" customHeight="1" x14ac:dyDescent="0.2">
      <c r="A68" s="12">
        <v>185</v>
      </c>
      <c r="B68" s="12" t="s">
        <v>4227</v>
      </c>
      <c r="C68" s="104" t="s">
        <v>299</v>
      </c>
      <c r="D68" s="99" t="s">
        <v>80</v>
      </c>
      <c r="E68" s="99" t="s">
        <v>6494</v>
      </c>
      <c r="F68" s="100">
        <v>43277</v>
      </c>
      <c r="G68" s="100">
        <v>44593</v>
      </c>
      <c r="H68" s="101">
        <f t="shared" si="6"/>
        <v>44683</v>
      </c>
      <c r="I68" s="101" t="s">
        <v>291</v>
      </c>
      <c r="J68" s="12" t="s">
        <v>4388</v>
      </c>
      <c r="K68" s="12" t="s">
        <v>507</v>
      </c>
      <c r="L68" s="12" t="s">
        <v>1849</v>
      </c>
      <c r="M68" s="102" t="str">
        <f t="shared" si="7"/>
        <v>SOTO MARTINEZ NOHEMI</v>
      </c>
      <c r="N68" s="102" t="s">
        <v>6868</v>
      </c>
      <c r="O68" s="102" t="s">
        <v>4730</v>
      </c>
      <c r="P68" s="12" t="s">
        <v>1954</v>
      </c>
      <c r="Q68" s="100">
        <v>31269</v>
      </c>
      <c r="R68" s="77">
        <f t="shared" si="8"/>
        <v>10</v>
      </c>
      <c r="S68" s="77">
        <f t="shared" si="9"/>
        <v>8</v>
      </c>
      <c r="T68" s="77">
        <f t="shared" si="10"/>
        <v>1985</v>
      </c>
      <c r="U68" s="103">
        <f t="shared" ca="1" si="11"/>
        <v>41.2</v>
      </c>
      <c r="V68" s="13" t="s">
        <v>452</v>
      </c>
      <c r="W68" s="13" t="s">
        <v>2141</v>
      </c>
      <c r="X68" s="12" t="s">
        <v>1497</v>
      </c>
      <c r="Y68" s="119" t="s">
        <v>181</v>
      </c>
      <c r="Z68" s="12" t="s">
        <v>170</v>
      </c>
      <c r="AA68" s="12" t="s">
        <v>636</v>
      </c>
      <c r="AB68" s="12" t="s">
        <v>1368</v>
      </c>
      <c r="AC68" s="12" t="s">
        <v>313</v>
      </c>
      <c r="AD68" s="12" t="s">
        <v>314</v>
      </c>
      <c r="AE68" s="12">
        <v>90</v>
      </c>
      <c r="AF68" s="13" t="s">
        <v>315</v>
      </c>
      <c r="AG68" s="12" t="s">
        <v>291</v>
      </c>
      <c r="AH68" s="104" t="s">
        <v>316</v>
      </c>
      <c r="AI68" s="12" t="s">
        <v>317</v>
      </c>
      <c r="AJ68" s="12" t="s">
        <v>318</v>
      </c>
      <c r="AK68" s="12" t="s">
        <v>2755</v>
      </c>
      <c r="AL68" s="104" t="s">
        <v>3047</v>
      </c>
      <c r="AM68" s="12" t="s">
        <v>2518</v>
      </c>
      <c r="AN68" s="12" t="s">
        <v>3184</v>
      </c>
      <c r="AO68" s="12" t="s">
        <v>398</v>
      </c>
      <c r="AP68" s="12"/>
      <c r="AQ68" s="12">
        <v>0</v>
      </c>
      <c r="AR68" s="12">
        <v>0</v>
      </c>
      <c r="AS68" s="12">
        <v>0</v>
      </c>
      <c r="AT68" s="12">
        <v>0</v>
      </c>
      <c r="AU68" s="12">
        <v>0</v>
      </c>
      <c r="AV68" s="12">
        <v>0</v>
      </c>
      <c r="AW68" s="12" t="s">
        <v>328</v>
      </c>
      <c r="AX68" s="12" t="s">
        <v>329</v>
      </c>
      <c r="AY68" s="12" t="s">
        <v>330</v>
      </c>
      <c r="AZ68" s="12"/>
      <c r="BA68" s="12"/>
      <c r="BB68" s="12"/>
      <c r="BC68" s="12"/>
      <c r="BD68" s="12" t="s">
        <v>3523</v>
      </c>
      <c r="BE68" s="12" t="s">
        <v>3578</v>
      </c>
      <c r="BF68" s="12" t="s">
        <v>3709</v>
      </c>
      <c r="BG68" s="12" t="s">
        <v>333</v>
      </c>
      <c r="BH68" s="12" t="s">
        <v>334</v>
      </c>
      <c r="BI68" s="12">
        <v>0</v>
      </c>
      <c r="BJ68" s="12"/>
      <c r="BK68" s="12" t="s">
        <v>3911</v>
      </c>
      <c r="BL68" s="105">
        <v>0</v>
      </c>
      <c r="BM68" s="12"/>
      <c r="BN68" s="12">
        <v>0</v>
      </c>
      <c r="BO68" s="105">
        <v>0</v>
      </c>
      <c r="BP68" s="12"/>
      <c r="BQ68" s="12">
        <v>0</v>
      </c>
      <c r="BR68" s="12">
        <v>0</v>
      </c>
      <c r="BS68" s="12"/>
      <c r="BT68" s="12">
        <v>0</v>
      </c>
      <c r="BU68" s="12">
        <v>0</v>
      </c>
      <c r="BV68" s="12"/>
      <c r="BW68" s="12">
        <v>0</v>
      </c>
      <c r="BX68" s="12">
        <v>0</v>
      </c>
      <c r="BY68" s="12"/>
      <c r="BZ68" s="12">
        <v>0</v>
      </c>
      <c r="CA68" s="12"/>
      <c r="CB68" s="12"/>
      <c r="CC68" s="12"/>
      <c r="CD68" s="78"/>
    </row>
    <row r="69" spans="1:82" ht="13.9" customHeight="1" x14ac:dyDescent="0.2">
      <c r="A69" s="12">
        <v>188</v>
      </c>
      <c r="B69" s="12" t="s">
        <v>4228</v>
      </c>
      <c r="C69" s="104" t="s">
        <v>299</v>
      </c>
      <c r="D69" s="99" t="s">
        <v>80</v>
      </c>
      <c r="E69" s="99" t="s">
        <v>6739</v>
      </c>
      <c r="F69" s="100">
        <v>43313</v>
      </c>
      <c r="G69" s="100">
        <v>44593</v>
      </c>
      <c r="H69" s="101">
        <f t="shared" si="6"/>
        <v>44683</v>
      </c>
      <c r="I69" s="101" t="s">
        <v>291</v>
      </c>
      <c r="J69" s="12" t="s">
        <v>4389</v>
      </c>
      <c r="K69" s="12" t="s">
        <v>4503</v>
      </c>
      <c r="L69" s="12" t="s">
        <v>1850</v>
      </c>
      <c r="M69" s="102" t="str">
        <f t="shared" si="7"/>
        <v>ESCAMILLA ESTRADA  TERESA ABIGAIL</v>
      </c>
      <c r="N69" s="102" t="s">
        <v>7147</v>
      </c>
      <c r="O69" s="102" t="s">
        <v>4731</v>
      </c>
      <c r="P69" s="12" t="s">
        <v>1954</v>
      </c>
      <c r="Q69" s="100">
        <v>33340</v>
      </c>
      <c r="R69" s="77">
        <f t="shared" si="8"/>
        <v>12</v>
      </c>
      <c r="S69" s="77">
        <f t="shared" si="9"/>
        <v>4</v>
      </c>
      <c r="T69" s="77">
        <f t="shared" si="10"/>
        <v>1991</v>
      </c>
      <c r="U69" s="103">
        <f t="shared" ca="1" si="11"/>
        <v>35.526027397260272</v>
      </c>
      <c r="V69" s="13" t="s">
        <v>308</v>
      </c>
      <c r="W69" s="13" t="s">
        <v>2142</v>
      </c>
      <c r="X69" s="12" t="s">
        <v>1497</v>
      </c>
      <c r="Y69" s="122" t="s">
        <v>182</v>
      </c>
      <c r="Z69" s="12" t="s">
        <v>174</v>
      </c>
      <c r="AA69" s="12" t="s">
        <v>432</v>
      </c>
      <c r="AB69" s="12" t="s">
        <v>2303</v>
      </c>
      <c r="AC69" s="12" t="s">
        <v>313</v>
      </c>
      <c r="AD69" s="12" t="s">
        <v>314</v>
      </c>
      <c r="AE69" s="12">
        <v>90</v>
      </c>
      <c r="AF69" s="13" t="s">
        <v>315</v>
      </c>
      <c r="AG69" s="12" t="s">
        <v>291</v>
      </c>
      <c r="AH69" s="104" t="s">
        <v>316</v>
      </c>
      <c r="AI69" s="12" t="s">
        <v>317</v>
      </c>
      <c r="AJ69" s="12" t="s">
        <v>318</v>
      </c>
      <c r="AK69" s="12" t="s">
        <v>2756</v>
      </c>
      <c r="AL69" s="104" t="s">
        <v>3048</v>
      </c>
      <c r="AM69" s="12" t="s">
        <v>2519</v>
      </c>
      <c r="AN69" s="12" t="s">
        <v>3182</v>
      </c>
      <c r="AO69" s="12" t="s">
        <v>398</v>
      </c>
      <c r="AP69" s="12"/>
      <c r="AQ69" s="12">
        <v>0</v>
      </c>
      <c r="AR69" s="12">
        <v>0</v>
      </c>
      <c r="AS69" s="12">
        <v>0</v>
      </c>
      <c r="AT69" s="12">
        <v>0</v>
      </c>
      <c r="AU69" s="12">
        <v>0</v>
      </c>
      <c r="AV69" s="12">
        <v>0</v>
      </c>
      <c r="AW69" s="12" t="s">
        <v>328</v>
      </c>
      <c r="AX69" s="12" t="s">
        <v>329</v>
      </c>
      <c r="AY69" s="12" t="s">
        <v>330</v>
      </c>
      <c r="AZ69" s="12"/>
      <c r="BA69" s="12"/>
      <c r="BB69" s="12"/>
      <c r="BC69" s="12"/>
      <c r="BD69" s="12" t="s">
        <v>3524</v>
      </c>
      <c r="BE69" s="12" t="s">
        <v>325</v>
      </c>
      <c r="BF69" s="12" t="s">
        <v>3710</v>
      </c>
      <c r="BG69" s="12" t="s">
        <v>333</v>
      </c>
      <c r="BH69" s="12" t="s">
        <v>334</v>
      </c>
      <c r="BI69" s="12">
        <v>3</v>
      </c>
      <c r="BJ69" s="12" t="s">
        <v>3880</v>
      </c>
      <c r="BK69" s="12" t="s">
        <v>3911</v>
      </c>
      <c r="BL69" s="105" t="s">
        <v>3947</v>
      </c>
      <c r="BM69" s="12"/>
      <c r="BN69" s="12" t="s">
        <v>571</v>
      </c>
      <c r="BO69" s="105" t="s">
        <v>3953</v>
      </c>
      <c r="BP69" s="12"/>
      <c r="BQ69" s="12" t="s">
        <v>571</v>
      </c>
      <c r="BR69" s="12" t="s">
        <v>3953</v>
      </c>
      <c r="BS69" s="12"/>
      <c r="BT69" s="12">
        <v>0</v>
      </c>
      <c r="BU69" s="12">
        <v>0</v>
      </c>
      <c r="BV69" s="12"/>
      <c r="BW69" s="12">
        <v>0</v>
      </c>
      <c r="BX69" s="12">
        <v>0</v>
      </c>
      <c r="BY69" s="12"/>
      <c r="BZ69" s="12">
        <v>0</v>
      </c>
      <c r="CA69" s="12"/>
      <c r="CB69" s="12"/>
      <c r="CC69" s="12"/>
      <c r="CD69" s="78"/>
    </row>
    <row r="70" spans="1:82" ht="13.9" customHeight="1" x14ac:dyDescent="0.2">
      <c r="A70" s="12">
        <v>186</v>
      </c>
      <c r="B70" s="12" t="s">
        <v>4097</v>
      </c>
      <c r="C70" s="78" t="s">
        <v>335</v>
      </c>
      <c r="D70" s="99" t="s">
        <v>86</v>
      </c>
      <c r="E70" s="99" t="s">
        <v>6740</v>
      </c>
      <c r="F70" s="100">
        <v>43361</v>
      </c>
      <c r="G70" s="100">
        <v>44921</v>
      </c>
      <c r="H70" s="101">
        <f t="shared" si="6"/>
        <v>45011</v>
      </c>
      <c r="I70" s="101" t="s">
        <v>290</v>
      </c>
      <c r="J70" s="12" t="s">
        <v>4374</v>
      </c>
      <c r="K70" s="12" t="s">
        <v>4385</v>
      </c>
      <c r="L70" s="12" t="s">
        <v>1817</v>
      </c>
      <c r="M70" s="102" t="str">
        <f t="shared" si="7"/>
        <v xml:space="preserve">GERONIMO ROCHA ARTURO  </v>
      </c>
      <c r="N70" s="102" t="s">
        <v>7148</v>
      </c>
      <c r="O70" s="102" t="s">
        <v>4693</v>
      </c>
      <c r="P70" s="12" t="s">
        <v>1953</v>
      </c>
      <c r="Q70" s="100">
        <v>30827</v>
      </c>
      <c r="R70" s="77">
        <f t="shared" si="8"/>
        <v>25</v>
      </c>
      <c r="S70" s="77">
        <f t="shared" si="9"/>
        <v>5</v>
      </c>
      <c r="T70" s="77">
        <f t="shared" si="10"/>
        <v>1984</v>
      </c>
      <c r="U70" s="103">
        <f t="shared" ca="1" si="11"/>
        <v>42.410958904109592</v>
      </c>
      <c r="V70" s="13" t="s">
        <v>452</v>
      </c>
      <c r="W70" s="13" t="s">
        <v>2104</v>
      </c>
      <c r="X70" s="12" t="s">
        <v>1497</v>
      </c>
      <c r="Y70" s="12" t="s">
        <v>135</v>
      </c>
      <c r="Z70" s="12" t="s">
        <v>153</v>
      </c>
      <c r="AA70" s="12" t="s">
        <v>347</v>
      </c>
      <c r="AB70" s="12" t="s">
        <v>842</v>
      </c>
      <c r="AC70" s="12" t="s">
        <v>313</v>
      </c>
      <c r="AD70" s="12" t="s">
        <v>349</v>
      </c>
      <c r="AE70" s="12">
        <v>90</v>
      </c>
      <c r="AF70" s="13" t="s">
        <v>315</v>
      </c>
      <c r="AG70" s="12" t="s">
        <v>290</v>
      </c>
      <c r="AH70" s="104" t="s">
        <v>2342</v>
      </c>
      <c r="AI70" s="12" t="s">
        <v>317</v>
      </c>
      <c r="AJ70" s="12" t="s">
        <v>318</v>
      </c>
      <c r="AK70" s="12">
        <v>4443869691</v>
      </c>
      <c r="AL70" s="104" t="s">
        <v>3010</v>
      </c>
      <c r="AM70" s="12" t="s">
        <v>2481</v>
      </c>
      <c r="AN70" s="12" t="s">
        <v>478</v>
      </c>
      <c r="AO70" s="12" t="s">
        <v>398</v>
      </c>
      <c r="AP70" s="12"/>
      <c r="AQ70" s="12">
        <v>0</v>
      </c>
      <c r="AR70" s="12">
        <v>0</v>
      </c>
      <c r="AS70" s="12">
        <v>0</v>
      </c>
      <c r="AT70" s="12">
        <v>0</v>
      </c>
      <c r="AU70" s="12">
        <v>0</v>
      </c>
      <c r="AV70" s="12">
        <v>0</v>
      </c>
      <c r="AW70" s="12" t="s">
        <v>328</v>
      </c>
      <c r="AX70" s="12" t="s">
        <v>329</v>
      </c>
      <c r="AY70" s="12" t="s">
        <v>330</v>
      </c>
      <c r="AZ70" s="12"/>
      <c r="BA70" s="12"/>
      <c r="BB70" s="12"/>
      <c r="BC70" s="12"/>
      <c r="BD70" s="12" t="s">
        <v>3504</v>
      </c>
      <c r="BE70" s="12" t="s">
        <v>560</v>
      </c>
      <c r="BF70" s="12" t="s">
        <v>3683</v>
      </c>
      <c r="BG70" s="12" t="s">
        <v>362</v>
      </c>
      <c r="BH70" s="12" t="s">
        <v>362</v>
      </c>
      <c r="BI70" s="12">
        <v>4</v>
      </c>
      <c r="BJ70" s="100">
        <v>39691</v>
      </c>
      <c r="BK70" s="12" t="s">
        <v>3888</v>
      </c>
      <c r="BL70" s="105">
        <f ca="1">(+TODAY()-BJ70)/365</f>
        <v>18.126027397260273</v>
      </c>
      <c r="BM70" s="100">
        <v>36038</v>
      </c>
      <c r="BN70" s="12" t="s">
        <v>3888</v>
      </c>
      <c r="BO70" s="105">
        <f ca="1">(+TODAY()-BM70)/365</f>
        <v>28.134246575342466</v>
      </c>
      <c r="BP70" s="100">
        <v>43132</v>
      </c>
      <c r="BQ70" s="12"/>
      <c r="BR70" s="12"/>
      <c r="BS70" s="12"/>
      <c r="BT70" s="12"/>
      <c r="BU70" s="12"/>
      <c r="BV70" s="12"/>
      <c r="BW70" s="12"/>
      <c r="BX70" s="12"/>
      <c r="BY70" s="12"/>
      <c r="BZ70" s="12"/>
      <c r="CA70" s="12"/>
      <c r="CB70" s="12"/>
      <c r="CC70" s="12"/>
      <c r="CD70" s="78"/>
    </row>
    <row r="71" spans="1:82" ht="13.9" customHeight="1" x14ac:dyDescent="0.25">
      <c r="A71" s="12">
        <v>193</v>
      </c>
      <c r="B71" s="12" t="s">
        <v>4132</v>
      </c>
      <c r="C71" s="78" t="s">
        <v>335</v>
      </c>
      <c r="D71" s="107" t="s">
        <v>161</v>
      </c>
      <c r="E71" s="28">
        <v>6139437567</v>
      </c>
      <c r="F71" s="100">
        <v>43409</v>
      </c>
      <c r="G71" s="100">
        <v>44911</v>
      </c>
      <c r="H71" s="101">
        <f t="shared" si="6"/>
        <v>45001</v>
      </c>
      <c r="I71" s="101" t="s">
        <v>291</v>
      </c>
      <c r="J71" s="12" t="s">
        <v>4406</v>
      </c>
      <c r="K71" s="12" t="s">
        <v>4515</v>
      </c>
      <c r="L71" s="12" t="s">
        <v>1890</v>
      </c>
      <c r="M71" s="102" t="str">
        <f t="shared" si="7"/>
        <v>RESENDIZ VILLALON  CAROLINA</v>
      </c>
      <c r="N71" s="102" t="s">
        <v>7149</v>
      </c>
      <c r="O71" s="102" t="s">
        <v>4776</v>
      </c>
      <c r="P71" s="12" t="s">
        <v>1954</v>
      </c>
      <c r="Q71" s="100">
        <v>34504</v>
      </c>
      <c r="R71" s="77">
        <f t="shared" si="8"/>
        <v>19</v>
      </c>
      <c r="S71" s="77">
        <f t="shared" si="9"/>
        <v>6</v>
      </c>
      <c r="T71" s="77">
        <f t="shared" si="10"/>
        <v>1994</v>
      </c>
      <c r="U71" s="103">
        <f t="shared" ca="1" si="11"/>
        <v>32.336986301369862</v>
      </c>
      <c r="V71" s="13" t="s">
        <v>308</v>
      </c>
      <c r="W71" s="13" t="s">
        <v>2187</v>
      </c>
      <c r="X71" s="12" t="s">
        <v>1497</v>
      </c>
      <c r="Y71" s="12" t="s">
        <v>218</v>
      </c>
      <c r="Z71" s="12" t="s">
        <v>167</v>
      </c>
      <c r="AA71" s="12" t="s">
        <v>636</v>
      </c>
      <c r="AB71" s="12" t="s">
        <v>2308</v>
      </c>
      <c r="AC71" s="12" t="s">
        <v>313</v>
      </c>
      <c r="AD71" s="12" t="s">
        <v>314</v>
      </c>
      <c r="AE71" s="12">
        <v>90</v>
      </c>
      <c r="AF71" s="13" t="s">
        <v>2330</v>
      </c>
      <c r="AG71" s="12" t="s">
        <v>291</v>
      </c>
      <c r="AH71" s="104" t="s">
        <v>2343</v>
      </c>
      <c r="AI71" s="12" t="s">
        <v>317</v>
      </c>
      <c r="AJ71" s="12" t="s">
        <v>318</v>
      </c>
      <c r="AK71" s="12" t="s">
        <v>2795</v>
      </c>
      <c r="AL71" s="104" t="s">
        <v>3091</v>
      </c>
      <c r="AM71" s="12" t="s">
        <v>2560</v>
      </c>
      <c r="AN71" s="12" t="s">
        <v>325</v>
      </c>
      <c r="AO71" s="12" t="s">
        <v>398</v>
      </c>
      <c r="AP71" s="12"/>
      <c r="AQ71" s="12">
        <v>0</v>
      </c>
      <c r="AR71" s="12">
        <v>0</v>
      </c>
      <c r="AS71" s="12">
        <v>0</v>
      </c>
      <c r="AT71" s="12">
        <v>0</v>
      </c>
      <c r="AU71" s="12">
        <v>0</v>
      </c>
      <c r="AV71" s="12">
        <v>0</v>
      </c>
      <c r="AW71" s="12" t="s">
        <v>420</v>
      </c>
      <c r="AX71" s="12" t="s">
        <v>329</v>
      </c>
      <c r="AY71" s="12" t="s">
        <v>330</v>
      </c>
      <c r="AZ71" s="12"/>
      <c r="BA71" s="12"/>
      <c r="BB71" s="12"/>
      <c r="BC71" s="12"/>
      <c r="BD71" s="12" t="s">
        <v>3541</v>
      </c>
      <c r="BE71" s="12" t="s">
        <v>325</v>
      </c>
      <c r="BF71" s="12" t="s">
        <v>3747</v>
      </c>
      <c r="BG71" s="12" t="s">
        <v>362</v>
      </c>
      <c r="BH71" s="12" t="s">
        <v>362</v>
      </c>
      <c r="BI71" s="12" t="s">
        <v>362</v>
      </c>
      <c r="BJ71" s="12" t="s">
        <v>3888</v>
      </c>
      <c r="BK71" s="12" t="s">
        <v>3911</v>
      </c>
      <c r="BL71" s="105">
        <v>0</v>
      </c>
      <c r="BM71" s="12"/>
      <c r="BN71" s="12">
        <v>0</v>
      </c>
      <c r="BO71" s="105">
        <v>0</v>
      </c>
      <c r="BP71" s="12"/>
      <c r="BQ71" s="12">
        <v>0</v>
      </c>
      <c r="BR71" s="12">
        <v>0</v>
      </c>
      <c r="BS71" s="12"/>
      <c r="BT71" s="12">
        <v>0</v>
      </c>
      <c r="BU71" s="12">
        <v>0</v>
      </c>
      <c r="BV71" s="12"/>
      <c r="BW71" s="12">
        <v>0</v>
      </c>
      <c r="BX71" s="12">
        <v>0</v>
      </c>
      <c r="BY71" s="12"/>
      <c r="BZ71" s="12">
        <v>0</v>
      </c>
      <c r="CA71" s="12"/>
      <c r="CB71" s="12"/>
      <c r="CC71" s="12"/>
      <c r="CD71" s="78"/>
    </row>
    <row r="72" spans="1:82" ht="13.9" customHeight="1" x14ac:dyDescent="0.2">
      <c r="A72" s="12">
        <v>194</v>
      </c>
      <c r="B72" s="12" t="s">
        <v>4113</v>
      </c>
      <c r="C72" s="78" t="s">
        <v>335</v>
      </c>
      <c r="D72" s="99" t="s">
        <v>161</v>
      </c>
      <c r="E72" s="99" t="s">
        <v>6495</v>
      </c>
      <c r="F72" s="100">
        <v>43416</v>
      </c>
      <c r="G72" s="100">
        <v>44914</v>
      </c>
      <c r="H72" s="101">
        <f t="shared" si="6"/>
        <v>45004</v>
      </c>
      <c r="I72" s="101" t="s">
        <v>290</v>
      </c>
      <c r="J72" s="12" t="s">
        <v>4382</v>
      </c>
      <c r="K72" s="12" t="s">
        <v>4498</v>
      </c>
      <c r="L72" s="12" t="s">
        <v>1831</v>
      </c>
      <c r="M72" s="102" t="str">
        <f t="shared" si="7"/>
        <v>CABRERA SANTIAGO VENANCIO</v>
      </c>
      <c r="N72" s="102" t="s">
        <v>6869</v>
      </c>
      <c r="O72" s="102" t="s">
        <v>4709</v>
      </c>
      <c r="P72" s="12" t="s">
        <v>1953</v>
      </c>
      <c r="Q72" s="100">
        <v>34953</v>
      </c>
      <c r="R72" s="77">
        <f t="shared" si="8"/>
        <v>11</v>
      </c>
      <c r="S72" s="77">
        <f t="shared" si="9"/>
        <v>9</v>
      </c>
      <c r="T72" s="77">
        <f t="shared" si="10"/>
        <v>1995</v>
      </c>
      <c r="U72" s="103">
        <f t="shared" ca="1" si="11"/>
        <v>31.106849315068494</v>
      </c>
      <c r="V72" s="13" t="s">
        <v>452</v>
      </c>
      <c r="W72" s="13" t="s">
        <v>2120</v>
      </c>
      <c r="X72" s="12" t="s">
        <v>1497</v>
      </c>
      <c r="Y72" s="12" t="s">
        <v>165</v>
      </c>
      <c r="Z72" s="12" t="s">
        <v>164</v>
      </c>
      <c r="AA72" s="12" t="s">
        <v>347</v>
      </c>
      <c r="AB72" s="12" t="s">
        <v>2297</v>
      </c>
      <c r="AC72" s="12" t="s">
        <v>313</v>
      </c>
      <c r="AD72" s="12" t="s">
        <v>314</v>
      </c>
      <c r="AE72" s="12">
        <v>90</v>
      </c>
      <c r="AF72" s="13" t="s">
        <v>2330</v>
      </c>
      <c r="AG72" s="12" t="s">
        <v>290</v>
      </c>
      <c r="AH72" s="104" t="s">
        <v>2343</v>
      </c>
      <c r="AI72" s="12" t="s">
        <v>317</v>
      </c>
      <c r="AJ72" s="12" t="s">
        <v>318</v>
      </c>
      <c r="AK72" s="12" t="s">
        <v>2739</v>
      </c>
      <c r="AL72" s="104" t="s">
        <v>3026</v>
      </c>
      <c r="AM72" s="12" t="s">
        <v>2497</v>
      </c>
      <c r="AN72" s="12" t="s">
        <v>325</v>
      </c>
      <c r="AO72" s="12" t="s">
        <v>398</v>
      </c>
      <c r="AP72" s="12"/>
      <c r="AQ72" s="12">
        <v>0</v>
      </c>
      <c r="AR72" s="12">
        <v>0</v>
      </c>
      <c r="AS72" s="12">
        <v>0</v>
      </c>
      <c r="AT72" s="12">
        <v>0</v>
      </c>
      <c r="AU72" s="12">
        <v>0</v>
      </c>
      <c r="AV72" s="12">
        <v>0</v>
      </c>
      <c r="AW72" s="12" t="s">
        <v>420</v>
      </c>
      <c r="AX72" s="12" t="s">
        <v>329</v>
      </c>
      <c r="AY72" s="12" t="s">
        <v>330</v>
      </c>
      <c r="AZ72" s="12"/>
      <c r="BA72" s="12"/>
      <c r="BB72" s="12"/>
      <c r="BC72" s="12"/>
      <c r="BD72" s="12" t="s">
        <v>2497</v>
      </c>
      <c r="BE72" s="12" t="s">
        <v>325</v>
      </c>
      <c r="BF72" s="12" t="s">
        <v>3691</v>
      </c>
      <c r="BG72" s="12" t="s">
        <v>362</v>
      </c>
      <c r="BH72" s="12" t="s">
        <v>362</v>
      </c>
      <c r="BI72" s="12">
        <v>1</v>
      </c>
      <c r="BJ72" s="100">
        <v>43434</v>
      </c>
      <c r="BK72" s="12" t="s">
        <v>3911</v>
      </c>
      <c r="BL72" s="105">
        <f ca="1">(+TODAY()-BJ72)/365</f>
        <v>7.8712328767123285</v>
      </c>
      <c r="BM72" s="12"/>
      <c r="BN72" s="12">
        <v>0</v>
      </c>
      <c r="BO72" s="105">
        <v>0</v>
      </c>
      <c r="BP72" s="12"/>
      <c r="BQ72" s="12">
        <v>0</v>
      </c>
      <c r="BR72" s="12">
        <v>0</v>
      </c>
      <c r="BS72" s="12"/>
      <c r="BT72" s="12">
        <v>0</v>
      </c>
      <c r="BU72" s="12">
        <v>0</v>
      </c>
      <c r="BV72" s="12"/>
      <c r="BW72" s="12">
        <v>0</v>
      </c>
      <c r="BX72" s="12">
        <v>0</v>
      </c>
      <c r="BY72" s="12"/>
      <c r="BZ72" s="12">
        <v>0</v>
      </c>
      <c r="CA72" s="12"/>
      <c r="CB72" s="12"/>
      <c r="CC72" s="12"/>
      <c r="CD72" s="78"/>
    </row>
    <row r="73" spans="1:82" ht="13.9" customHeight="1" x14ac:dyDescent="0.2">
      <c r="A73" s="12">
        <v>199</v>
      </c>
      <c r="B73" s="12" t="s">
        <v>4155</v>
      </c>
      <c r="C73" s="78" t="s">
        <v>335</v>
      </c>
      <c r="D73" s="107" t="s">
        <v>232</v>
      </c>
      <c r="E73" s="99" t="s">
        <v>6741</v>
      </c>
      <c r="F73" s="100">
        <v>43501</v>
      </c>
      <c r="G73" s="100">
        <v>44926</v>
      </c>
      <c r="H73" s="101">
        <f t="shared" si="6"/>
        <v>45016</v>
      </c>
      <c r="I73" s="101" t="s">
        <v>291</v>
      </c>
      <c r="J73" s="12" t="s">
        <v>4414</v>
      </c>
      <c r="K73" s="12" t="s">
        <v>4524</v>
      </c>
      <c r="L73" s="12" t="s">
        <v>1746</v>
      </c>
      <c r="M73" s="102" t="str">
        <f t="shared" si="7"/>
        <v>CANDELARIA  MONSIVAIS JUAN MANUEL</v>
      </c>
      <c r="N73" s="102" t="s">
        <v>7150</v>
      </c>
      <c r="O73" s="102" t="s">
        <v>4799</v>
      </c>
      <c r="P73" s="12" t="s">
        <v>1953</v>
      </c>
      <c r="Q73" s="100">
        <v>33236</v>
      </c>
      <c r="R73" s="77">
        <f t="shared" si="8"/>
        <v>29</v>
      </c>
      <c r="S73" s="77">
        <f t="shared" si="9"/>
        <v>12</v>
      </c>
      <c r="T73" s="77">
        <f t="shared" si="10"/>
        <v>1990</v>
      </c>
      <c r="U73" s="103">
        <f t="shared" ca="1" si="11"/>
        <v>35.81095890410959</v>
      </c>
      <c r="V73" s="13" t="s">
        <v>342</v>
      </c>
      <c r="W73" s="13" t="s">
        <v>2208</v>
      </c>
      <c r="X73" s="12" t="s">
        <v>1497</v>
      </c>
      <c r="Y73" s="108" t="s">
        <v>216</v>
      </c>
      <c r="Z73" s="12" t="s">
        <v>233</v>
      </c>
      <c r="AA73" s="12" t="s">
        <v>857</v>
      </c>
      <c r="AB73" s="12" t="s">
        <v>2310</v>
      </c>
      <c r="AC73" s="12" t="s">
        <v>313</v>
      </c>
      <c r="AD73" s="12" t="s">
        <v>349</v>
      </c>
      <c r="AE73" s="12">
        <v>90</v>
      </c>
      <c r="AF73" s="13" t="s">
        <v>315</v>
      </c>
      <c r="AG73" s="12" t="s">
        <v>291</v>
      </c>
      <c r="AH73" s="104" t="s">
        <v>2342</v>
      </c>
      <c r="AI73" s="12" t="s">
        <v>317</v>
      </c>
      <c r="AJ73" s="12" t="s">
        <v>318</v>
      </c>
      <c r="AK73" s="12" t="s">
        <v>2813</v>
      </c>
      <c r="AL73" s="104" t="s">
        <v>3112</v>
      </c>
      <c r="AM73" s="12" t="s">
        <v>2581</v>
      </c>
      <c r="AN73" s="12" t="s">
        <v>325</v>
      </c>
      <c r="AO73" s="12" t="s">
        <v>398</v>
      </c>
      <c r="AP73" s="12"/>
      <c r="AQ73" s="12">
        <v>0</v>
      </c>
      <c r="AR73" s="12">
        <v>0</v>
      </c>
      <c r="AS73" s="12">
        <v>0</v>
      </c>
      <c r="AT73" s="12">
        <v>0</v>
      </c>
      <c r="AU73" s="12">
        <v>0</v>
      </c>
      <c r="AV73" s="12">
        <v>0</v>
      </c>
      <c r="AW73" s="12" t="s">
        <v>328</v>
      </c>
      <c r="AX73" s="12" t="s">
        <v>329</v>
      </c>
      <c r="AY73" s="12" t="s">
        <v>330</v>
      </c>
      <c r="AZ73" s="12"/>
      <c r="BA73" s="12"/>
      <c r="BB73" s="12"/>
      <c r="BC73" s="12"/>
      <c r="BD73" s="12" t="s">
        <v>3553</v>
      </c>
      <c r="BE73" s="12" t="s">
        <v>3580</v>
      </c>
      <c r="BF73" s="12">
        <v>444116951</v>
      </c>
      <c r="BG73" s="12" t="s">
        <v>362</v>
      </c>
      <c r="BH73" s="12" t="s">
        <v>362</v>
      </c>
      <c r="BI73" s="12" t="s">
        <v>3831</v>
      </c>
      <c r="BJ73" s="12"/>
      <c r="BK73" s="12"/>
      <c r="BL73" s="105"/>
      <c r="BM73" s="12"/>
      <c r="BN73" s="12"/>
      <c r="BO73" s="105"/>
      <c r="BP73" s="12"/>
      <c r="BQ73" s="12"/>
      <c r="BR73" s="12"/>
      <c r="BS73" s="12"/>
      <c r="BT73" s="12"/>
      <c r="BU73" s="12"/>
      <c r="BV73" s="12"/>
      <c r="BW73" s="12"/>
      <c r="BX73" s="12"/>
      <c r="BY73" s="12"/>
      <c r="BZ73" s="12"/>
      <c r="CA73" s="12"/>
      <c r="CB73" s="12"/>
      <c r="CC73" s="12"/>
      <c r="CD73" s="78"/>
    </row>
    <row r="74" spans="1:82" ht="13.9" customHeight="1" x14ac:dyDescent="0.2">
      <c r="A74" s="12">
        <v>202</v>
      </c>
      <c r="B74" s="12" t="s">
        <v>4150</v>
      </c>
      <c r="C74" s="78" t="s">
        <v>335</v>
      </c>
      <c r="D74" s="107" t="s">
        <v>127</v>
      </c>
      <c r="E74" s="99" t="s">
        <v>1685</v>
      </c>
      <c r="F74" s="100">
        <v>43535</v>
      </c>
      <c r="G74" s="100">
        <v>44911</v>
      </c>
      <c r="H74" s="101">
        <f t="shared" si="6"/>
        <v>45001</v>
      </c>
      <c r="I74" s="101" t="s">
        <v>291</v>
      </c>
      <c r="J74" s="12" t="s">
        <v>1445</v>
      </c>
      <c r="K74" s="12" t="s">
        <v>4522</v>
      </c>
      <c r="L74" s="12" t="s">
        <v>1904</v>
      </c>
      <c r="M74" s="102" t="str">
        <f t="shared" si="7"/>
        <v>OBREGON PRIETO  MARIO ALBERTO</v>
      </c>
      <c r="N74" s="102" t="s">
        <v>7151</v>
      </c>
      <c r="O74" s="102" t="s">
        <v>4794</v>
      </c>
      <c r="P74" s="12" t="s">
        <v>1953</v>
      </c>
      <c r="Q74" s="100">
        <v>32495</v>
      </c>
      <c r="R74" s="77">
        <f t="shared" si="8"/>
        <v>18</v>
      </c>
      <c r="S74" s="77">
        <f t="shared" si="9"/>
        <v>12</v>
      </c>
      <c r="T74" s="77">
        <f t="shared" si="10"/>
        <v>1988</v>
      </c>
      <c r="U74" s="103">
        <f t="shared" ca="1" si="11"/>
        <v>37.841095890410962</v>
      </c>
      <c r="V74" s="13" t="s">
        <v>342</v>
      </c>
      <c r="W74" s="13" t="s">
        <v>2203</v>
      </c>
      <c r="X74" s="12" t="s">
        <v>1497</v>
      </c>
      <c r="Y74" s="12" t="s">
        <v>225</v>
      </c>
      <c r="Z74" s="12" t="s">
        <v>129</v>
      </c>
      <c r="AA74" s="12" t="s">
        <v>636</v>
      </c>
      <c r="AB74" s="12" t="s">
        <v>2302</v>
      </c>
      <c r="AC74" s="12" t="s">
        <v>313</v>
      </c>
      <c r="AD74" s="12" t="s">
        <v>314</v>
      </c>
      <c r="AE74" s="12">
        <v>90</v>
      </c>
      <c r="AF74" s="13" t="s">
        <v>413</v>
      </c>
      <c r="AG74" s="12" t="s">
        <v>291</v>
      </c>
      <c r="AH74" s="104" t="s">
        <v>2344</v>
      </c>
      <c r="AI74" s="12" t="s">
        <v>317</v>
      </c>
      <c r="AJ74" s="12" t="s">
        <v>318</v>
      </c>
      <c r="AK74" s="12" t="s">
        <v>2808</v>
      </c>
      <c r="AL74" s="104" t="s">
        <v>3107</v>
      </c>
      <c r="AM74" s="12" t="s">
        <v>2576</v>
      </c>
      <c r="AN74" s="12" t="s">
        <v>381</v>
      </c>
      <c r="AO74" s="12" t="s">
        <v>398</v>
      </c>
      <c r="AP74" s="12"/>
      <c r="AQ74" s="12">
        <v>0</v>
      </c>
      <c r="AR74" s="12">
        <v>0</v>
      </c>
      <c r="AS74" s="12">
        <v>0</v>
      </c>
      <c r="AT74" s="12">
        <v>0</v>
      </c>
      <c r="AU74" s="12">
        <v>0</v>
      </c>
      <c r="AV74" s="12">
        <v>0</v>
      </c>
      <c r="AW74" s="12" t="s">
        <v>420</v>
      </c>
      <c r="AX74" s="12" t="s">
        <v>329</v>
      </c>
      <c r="AY74" s="12" t="s">
        <v>330</v>
      </c>
      <c r="AZ74" s="12"/>
      <c r="BA74" s="12"/>
      <c r="BB74" s="12"/>
      <c r="BC74" s="12"/>
      <c r="BD74" s="12" t="s">
        <v>3549</v>
      </c>
      <c r="BE74" s="12" t="s">
        <v>439</v>
      </c>
      <c r="BF74" s="12" t="s">
        <v>3761</v>
      </c>
      <c r="BG74" s="12" t="s">
        <v>333</v>
      </c>
      <c r="BH74" s="12" t="s">
        <v>362</v>
      </c>
      <c r="BI74" s="12">
        <v>1</v>
      </c>
      <c r="BJ74" s="100">
        <v>43312</v>
      </c>
      <c r="BK74" s="12" t="s">
        <v>3911</v>
      </c>
      <c r="BL74" s="105">
        <f ca="1">(+TODAY()-BJ74)/365</f>
        <v>8.205479452054794</v>
      </c>
      <c r="BM74" s="12"/>
      <c r="BN74" s="12">
        <v>0</v>
      </c>
      <c r="BO74" s="105">
        <v>0</v>
      </c>
      <c r="BP74" s="12"/>
      <c r="BQ74" s="12">
        <v>0</v>
      </c>
      <c r="BR74" s="12">
        <v>0</v>
      </c>
      <c r="BS74" s="12"/>
      <c r="BT74" s="12">
        <v>0</v>
      </c>
      <c r="BU74" s="12">
        <v>0</v>
      </c>
      <c r="BV74" s="12"/>
      <c r="BW74" s="12">
        <v>0</v>
      </c>
      <c r="BX74" s="12">
        <v>0</v>
      </c>
      <c r="BY74" s="12"/>
      <c r="BZ74" s="12">
        <v>0</v>
      </c>
      <c r="CA74" s="12"/>
      <c r="CB74" s="12"/>
      <c r="CC74" s="12"/>
      <c r="CD74" s="78"/>
    </row>
    <row r="75" spans="1:82" ht="13.9" customHeight="1" x14ac:dyDescent="0.2">
      <c r="A75" s="12">
        <v>204</v>
      </c>
      <c r="B75" s="12" t="s">
        <v>4143</v>
      </c>
      <c r="C75" s="78" t="s">
        <v>335</v>
      </c>
      <c r="D75" s="107" t="s">
        <v>228</v>
      </c>
      <c r="E75" s="99" t="s">
        <v>6496</v>
      </c>
      <c r="F75" s="100">
        <v>43565</v>
      </c>
      <c r="G75" s="100">
        <v>44911</v>
      </c>
      <c r="H75" s="101">
        <f t="shared" si="6"/>
        <v>45001</v>
      </c>
      <c r="I75" s="101" t="s">
        <v>291</v>
      </c>
      <c r="J75" s="12" t="s">
        <v>366</v>
      </c>
      <c r="K75" s="12" t="s">
        <v>4519</v>
      </c>
      <c r="L75" s="12" t="s">
        <v>1897</v>
      </c>
      <c r="M75" s="102" t="str">
        <f t="shared" si="7"/>
        <v>HERNANDEZ ARIAS MARIA MAGDALENA</v>
      </c>
      <c r="N75" s="102" t="s">
        <v>6870</v>
      </c>
      <c r="O75" s="102" t="s">
        <v>4787</v>
      </c>
      <c r="P75" s="12" t="s">
        <v>1954</v>
      </c>
      <c r="Q75" s="100">
        <v>33474</v>
      </c>
      <c r="R75" s="77">
        <f t="shared" si="8"/>
        <v>24</v>
      </c>
      <c r="S75" s="77">
        <f t="shared" si="9"/>
        <v>8</v>
      </c>
      <c r="T75" s="77">
        <f t="shared" si="10"/>
        <v>1991</v>
      </c>
      <c r="U75" s="103">
        <f t="shared" ca="1" si="11"/>
        <v>35.158904109589038</v>
      </c>
      <c r="V75" s="13" t="s">
        <v>1450</v>
      </c>
      <c r="W75" s="13" t="s">
        <v>2196</v>
      </c>
      <c r="X75" s="12" t="s">
        <v>1497</v>
      </c>
      <c r="Y75" s="108" t="s">
        <v>229</v>
      </c>
      <c r="Z75" s="12" t="s">
        <v>146</v>
      </c>
      <c r="AA75" s="12" t="s">
        <v>857</v>
      </c>
      <c r="AB75" s="12" t="s">
        <v>948</v>
      </c>
      <c r="AC75" s="12" t="s">
        <v>313</v>
      </c>
      <c r="AD75" s="12" t="s">
        <v>314</v>
      </c>
      <c r="AE75" s="12">
        <v>90</v>
      </c>
      <c r="AF75" s="13" t="s">
        <v>949</v>
      </c>
      <c r="AG75" s="12" t="s">
        <v>291</v>
      </c>
      <c r="AH75" s="104" t="s">
        <v>414</v>
      </c>
      <c r="AI75" s="12" t="s">
        <v>317</v>
      </c>
      <c r="AJ75" s="12" t="s">
        <v>318</v>
      </c>
      <c r="AK75" s="12" t="s">
        <v>2803</v>
      </c>
      <c r="AL75" s="104" t="s">
        <v>3100</v>
      </c>
      <c r="AM75" s="12" t="s">
        <v>2569</v>
      </c>
      <c r="AN75" s="12" t="s">
        <v>439</v>
      </c>
      <c r="AO75" s="12" t="s">
        <v>398</v>
      </c>
      <c r="AP75" s="12"/>
      <c r="AQ75" s="12">
        <v>0</v>
      </c>
      <c r="AR75" s="12">
        <v>0</v>
      </c>
      <c r="AS75" s="12">
        <v>0</v>
      </c>
      <c r="AT75" s="12">
        <v>0</v>
      </c>
      <c r="AU75" s="12">
        <v>0</v>
      </c>
      <c r="AV75" s="12">
        <v>0</v>
      </c>
      <c r="AW75" s="12" t="s">
        <v>420</v>
      </c>
      <c r="AX75" s="12" t="s">
        <v>329</v>
      </c>
      <c r="AY75" s="12" t="s">
        <v>330</v>
      </c>
      <c r="AZ75" s="12"/>
      <c r="BA75" s="12"/>
      <c r="BB75" s="12"/>
      <c r="BC75" s="12"/>
      <c r="BD75" s="12" t="s">
        <v>3546</v>
      </c>
      <c r="BE75" s="12" t="s">
        <v>3185</v>
      </c>
      <c r="BF75" s="12" t="s">
        <v>3756</v>
      </c>
      <c r="BG75" s="12" t="s">
        <v>488</v>
      </c>
      <c r="BH75" s="12" t="s">
        <v>398</v>
      </c>
      <c r="BI75" s="12">
        <v>1</v>
      </c>
      <c r="BJ75" s="12" t="s">
        <v>3888</v>
      </c>
      <c r="BK75" s="12" t="s">
        <v>3911</v>
      </c>
      <c r="BL75" s="105">
        <v>0</v>
      </c>
      <c r="BM75" s="12"/>
      <c r="BN75" s="12">
        <v>0</v>
      </c>
      <c r="BO75" s="105">
        <v>0</v>
      </c>
      <c r="BP75" s="12"/>
      <c r="BQ75" s="12">
        <v>0</v>
      </c>
      <c r="BR75" s="12">
        <v>0</v>
      </c>
      <c r="BS75" s="12"/>
      <c r="BT75" s="12">
        <v>0</v>
      </c>
      <c r="BU75" s="12">
        <v>0</v>
      </c>
      <c r="BV75" s="12"/>
      <c r="BW75" s="12">
        <v>0</v>
      </c>
      <c r="BX75" s="12">
        <v>0</v>
      </c>
      <c r="BY75" s="12"/>
      <c r="BZ75" s="12">
        <v>0</v>
      </c>
      <c r="CA75" s="12"/>
      <c r="CB75" s="12"/>
      <c r="CC75" s="12"/>
      <c r="CD75" s="78"/>
    </row>
    <row r="76" spans="1:82" s="116" customFormat="1" ht="13.9" customHeight="1" x14ac:dyDescent="0.2">
      <c r="A76" s="109">
        <v>205</v>
      </c>
      <c r="B76" s="109" t="s">
        <v>4083</v>
      </c>
      <c r="C76" s="110" t="s">
        <v>335</v>
      </c>
      <c r="D76" s="109" t="s">
        <v>228</v>
      </c>
      <c r="E76" s="111" t="s">
        <v>1651</v>
      </c>
      <c r="F76" s="112">
        <v>43615</v>
      </c>
      <c r="G76" s="112">
        <v>44914</v>
      </c>
      <c r="H76" s="113">
        <f t="shared" si="6"/>
        <v>45004</v>
      </c>
      <c r="I76" s="113" t="s">
        <v>290</v>
      </c>
      <c r="J76" s="109" t="s">
        <v>4366</v>
      </c>
      <c r="K76" s="109" t="s">
        <v>960</v>
      </c>
      <c r="L76" s="109" t="s">
        <v>1719</v>
      </c>
      <c r="M76" s="128" t="str">
        <f t="shared" si="7"/>
        <v>CHARCAS TORRES HUMBERTO</v>
      </c>
      <c r="N76" s="128" t="s">
        <v>6871</v>
      </c>
      <c r="O76" s="128" t="s">
        <v>4675</v>
      </c>
      <c r="P76" s="109" t="s">
        <v>1953</v>
      </c>
      <c r="Q76" s="112">
        <v>29198</v>
      </c>
      <c r="R76" s="125">
        <f t="shared" si="8"/>
        <v>9</v>
      </c>
      <c r="S76" s="125">
        <f t="shared" si="9"/>
        <v>12</v>
      </c>
      <c r="T76" s="125">
        <f t="shared" si="10"/>
        <v>1979</v>
      </c>
      <c r="U76" s="142">
        <f t="shared" ca="1" si="11"/>
        <v>46.873972602739727</v>
      </c>
      <c r="V76" s="114" t="s">
        <v>342</v>
      </c>
      <c r="W76" s="114" t="s">
        <v>2086</v>
      </c>
      <c r="X76" s="109" t="s">
        <v>1497</v>
      </c>
      <c r="Y76" s="109" t="s">
        <v>122</v>
      </c>
      <c r="Z76" s="109" t="s">
        <v>147</v>
      </c>
      <c r="AA76" s="109" t="s">
        <v>2271</v>
      </c>
      <c r="AB76" s="109" t="s">
        <v>2293</v>
      </c>
      <c r="AC76" s="109" t="s">
        <v>313</v>
      </c>
      <c r="AD76" s="109" t="s">
        <v>314</v>
      </c>
      <c r="AE76" s="109">
        <v>90</v>
      </c>
      <c r="AF76" s="114" t="s">
        <v>949</v>
      </c>
      <c r="AG76" s="109" t="s">
        <v>290</v>
      </c>
      <c r="AH76" s="115" t="s">
        <v>414</v>
      </c>
      <c r="AI76" s="109" t="s">
        <v>317</v>
      </c>
      <c r="AJ76" s="109" t="s">
        <v>318</v>
      </c>
      <c r="AK76" s="109" t="s">
        <v>2716</v>
      </c>
      <c r="AL76" s="115" t="s">
        <v>2992</v>
      </c>
      <c r="AM76" s="109" t="s">
        <v>2468</v>
      </c>
      <c r="AN76" s="109" t="s">
        <v>381</v>
      </c>
      <c r="AO76" s="109" t="s">
        <v>398</v>
      </c>
      <c r="AP76" s="109"/>
      <c r="AQ76" s="109">
        <v>0</v>
      </c>
      <c r="AR76" s="109">
        <v>0</v>
      </c>
      <c r="AS76" s="109">
        <v>0</v>
      </c>
      <c r="AT76" s="109">
        <v>0</v>
      </c>
      <c r="AU76" s="109">
        <v>0</v>
      </c>
      <c r="AV76" s="109">
        <v>0</v>
      </c>
      <c r="AW76" s="109" t="s">
        <v>328</v>
      </c>
      <c r="AX76" s="109" t="s">
        <v>329</v>
      </c>
      <c r="AY76" s="109" t="s">
        <v>330</v>
      </c>
      <c r="AZ76" s="109"/>
      <c r="BA76" s="109"/>
      <c r="BB76" s="109"/>
      <c r="BC76" s="109"/>
      <c r="BD76" s="109" t="s">
        <v>2468</v>
      </c>
      <c r="BE76" s="109" t="s">
        <v>381</v>
      </c>
      <c r="BF76" s="109" t="s">
        <v>3666</v>
      </c>
      <c r="BG76" s="109" t="s">
        <v>362</v>
      </c>
      <c r="BH76" s="109" t="s">
        <v>3814</v>
      </c>
      <c r="BI76" s="109">
        <v>4</v>
      </c>
      <c r="BJ76" s="109" t="s">
        <v>3860</v>
      </c>
      <c r="BK76" s="109" t="s">
        <v>3911</v>
      </c>
      <c r="BL76" s="111">
        <v>26</v>
      </c>
      <c r="BM76" s="109"/>
      <c r="BN76" s="109" t="s">
        <v>1953</v>
      </c>
      <c r="BO76" s="111">
        <v>21</v>
      </c>
      <c r="BP76" s="109"/>
      <c r="BQ76" s="109" t="s">
        <v>1953</v>
      </c>
      <c r="BR76" s="109">
        <v>12</v>
      </c>
      <c r="BS76" s="109"/>
      <c r="BT76" s="109" t="s">
        <v>571</v>
      </c>
      <c r="BU76" s="109"/>
      <c r="BV76" s="109"/>
      <c r="BW76" s="109" t="s">
        <v>571</v>
      </c>
      <c r="BX76" s="109"/>
      <c r="BY76" s="109"/>
      <c r="BZ76" s="109"/>
      <c r="CA76" s="109"/>
      <c r="CB76" s="109"/>
      <c r="CC76" s="109"/>
      <c r="CD76" s="110"/>
    </row>
    <row r="77" spans="1:82" ht="13.9" customHeight="1" x14ac:dyDescent="0.2">
      <c r="A77" s="12">
        <v>211</v>
      </c>
      <c r="B77" s="12" t="s">
        <v>4151</v>
      </c>
      <c r="C77" s="78" t="s">
        <v>335</v>
      </c>
      <c r="D77" s="107" t="s">
        <v>127</v>
      </c>
      <c r="E77" s="99" t="s">
        <v>1686</v>
      </c>
      <c r="F77" s="100">
        <v>43661</v>
      </c>
      <c r="G77" s="100">
        <v>44911</v>
      </c>
      <c r="H77" s="101">
        <f t="shared" si="6"/>
        <v>45001</v>
      </c>
      <c r="I77" s="101" t="s">
        <v>291</v>
      </c>
      <c r="J77" s="12" t="s">
        <v>942</v>
      </c>
      <c r="K77" s="12" t="s">
        <v>446</v>
      </c>
      <c r="L77" s="12" t="s">
        <v>1905</v>
      </c>
      <c r="M77" s="102" t="str">
        <f t="shared" si="7"/>
        <v>OROZCO CRUZ  EDGAR GERARDO</v>
      </c>
      <c r="N77" s="102" t="s">
        <v>7152</v>
      </c>
      <c r="O77" s="102" t="s">
        <v>4795</v>
      </c>
      <c r="P77" s="12" t="s">
        <v>1953</v>
      </c>
      <c r="Q77" s="100">
        <v>32000</v>
      </c>
      <c r="R77" s="77">
        <f t="shared" si="8"/>
        <v>11</v>
      </c>
      <c r="S77" s="77">
        <f t="shared" si="9"/>
        <v>8</v>
      </c>
      <c r="T77" s="77">
        <f t="shared" si="10"/>
        <v>1987</v>
      </c>
      <c r="U77" s="103">
        <f t="shared" ca="1" si="11"/>
        <v>39.197260273972603</v>
      </c>
      <c r="V77" s="13" t="s">
        <v>342</v>
      </c>
      <c r="W77" s="13" t="s">
        <v>2204</v>
      </c>
      <c r="X77" s="12" t="s">
        <v>1497</v>
      </c>
      <c r="Y77" s="108" t="s">
        <v>216</v>
      </c>
      <c r="Z77" s="12" t="s">
        <v>231</v>
      </c>
      <c r="AA77" s="12" t="s">
        <v>857</v>
      </c>
      <c r="AB77" s="12" t="s">
        <v>2289</v>
      </c>
      <c r="AC77" s="12" t="s">
        <v>313</v>
      </c>
      <c r="AD77" s="12" t="s">
        <v>314</v>
      </c>
      <c r="AE77" s="12">
        <v>90</v>
      </c>
      <c r="AF77" s="13" t="s">
        <v>413</v>
      </c>
      <c r="AG77" s="12" t="s">
        <v>291</v>
      </c>
      <c r="AH77" s="104" t="s">
        <v>2344</v>
      </c>
      <c r="AI77" s="12" t="s">
        <v>317</v>
      </c>
      <c r="AJ77" s="12" t="s">
        <v>318</v>
      </c>
      <c r="AK77" s="12" t="s">
        <v>2809</v>
      </c>
      <c r="AL77" s="104" t="s">
        <v>3108</v>
      </c>
      <c r="AM77" s="12" t="s">
        <v>2577</v>
      </c>
      <c r="AN77" s="12" t="s">
        <v>381</v>
      </c>
      <c r="AO77" s="12" t="s">
        <v>398</v>
      </c>
      <c r="AP77" s="12"/>
      <c r="AQ77" s="12">
        <v>0</v>
      </c>
      <c r="AR77" s="12">
        <v>0</v>
      </c>
      <c r="AS77" s="12">
        <v>0</v>
      </c>
      <c r="AT77" s="12">
        <v>0</v>
      </c>
      <c r="AU77" s="12">
        <v>0</v>
      </c>
      <c r="AV77" s="12">
        <v>0</v>
      </c>
      <c r="AW77" s="12" t="s">
        <v>420</v>
      </c>
      <c r="AX77" s="12" t="s">
        <v>329</v>
      </c>
      <c r="AY77" s="12" t="s">
        <v>330</v>
      </c>
      <c r="AZ77" s="12" t="s">
        <v>3429</v>
      </c>
      <c r="BA77" s="12" t="s">
        <v>3448</v>
      </c>
      <c r="BB77" s="100">
        <v>44044</v>
      </c>
      <c r="BC77" s="12" t="s">
        <v>2289</v>
      </c>
      <c r="BD77" s="12" t="s">
        <v>3550</v>
      </c>
      <c r="BE77" s="12" t="s">
        <v>381</v>
      </c>
      <c r="BF77" s="12" t="s">
        <v>3762</v>
      </c>
      <c r="BG77" s="12" t="s">
        <v>333</v>
      </c>
      <c r="BH77" s="12" t="s">
        <v>362</v>
      </c>
      <c r="BI77" s="12">
        <v>2</v>
      </c>
      <c r="BJ77" s="12" t="s">
        <v>3898</v>
      </c>
      <c r="BK77" s="12" t="s">
        <v>3911</v>
      </c>
      <c r="BL77" s="105">
        <v>14</v>
      </c>
      <c r="BM77" s="12"/>
      <c r="BN77" s="12" t="s">
        <v>1953</v>
      </c>
      <c r="BO77" s="105">
        <v>12</v>
      </c>
      <c r="BP77" s="12"/>
      <c r="BQ77" s="12">
        <v>0</v>
      </c>
      <c r="BR77" s="12">
        <v>0</v>
      </c>
      <c r="BS77" s="12"/>
      <c r="BT77" s="12">
        <v>0</v>
      </c>
      <c r="BU77" s="12">
        <v>0</v>
      </c>
      <c r="BV77" s="12"/>
      <c r="BW77" s="12">
        <v>0</v>
      </c>
      <c r="BX77" s="12">
        <v>0</v>
      </c>
      <c r="BY77" s="12"/>
      <c r="BZ77" s="12">
        <v>0</v>
      </c>
      <c r="CA77" s="12"/>
      <c r="CB77" s="12"/>
      <c r="CC77" s="12"/>
      <c r="CD77" s="78"/>
    </row>
    <row r="78" spans="1:82" ht="13.9" customHeight="1" x14ac:dyDescent="0.2">
      <c r="A78" s="12">
        <v>323</v>
      </c>
      <c r="B78" s="12" t="s">
        <v>4126</v>
      </c>
      <c r="C78" s="78" t="s">
        <v>335</v>
      </c>
      <c r="D78" s="107" t="s">
        <v>116</v>
      </c>
      <c r="E78" s="99" t="s">
        <v>1674</v>
      </c>
      <c r="F78" s="100">
        <v>43693</v>
      </c>
      <c r="G78" s="100">
        <v>44774</v>
      </c>
      <c r="H78" s="101">
        <f t="shared" si="6"/>
        <v>44864</v>
      </c>
      <c r="I78" s="101" t="s">
        <v>291</v>
      </c>
      <c r="J78" s="12" t="s">
        <v>4385</v>
      </c>
      <c r="K78" s="12" t="s">
        <v>405</v>
      </c>
      <c r="L78" s="12" t="s">
        <v>1884</v>
      </c>
      <c r="M78" s="102" t="str">
        <f t="shared" si="7"/>
        <v>ROCHA REYES MAYRA ALEJANDRA</v>
      </c>
      <c r="N78" s="102" t="s">
        <v>6872</v>
      </c>
      <c r="O78" s="102" t="s">
        <v>4770</v>
      </c>
      <c r="P78" s="12" t="s">
        <v>1954</v>
      </c>
      <c r="Q78" s="100">
        <v>33393</v>
      </c>
      <c r="R78" s="77">
        <f t="shared" si="8"/>
        <v>4</v>
      </c>
      <c r="S78" s="77">
        <f t="shared" si="9"/>
        <v>6</v>
      </c>
      <c r="T78" s="77">
        <f t="shared" si="10"/>
        <v>1991</v>
      </c>
      <c r="U78" s="103">
        <f t="shared" ca="1" si="11"/>
        <v>35.38082191780822</v>
      </c>
      <c r="V78" s="13" t="s">
        <v>308</v>
      </c>
      <c r="W78" s="13" t="s">
        <v>2181</v>
      </c>
      <c r="X78" s="12" t="s">
        <v>1497</v>
      </c>
      <c r="Y78" s="14" t="s">
        <v>217</v>
      </c>
      <c r="Z78" s="12" t="s">
        <v>214</v>
      </c>
      <c r="AA78" s="12" t="s">
        <v>857</v>
      </c>
      <c r="AB78" s="12" t="s">
        <v>533</v>
      </c>
      <c r="AC78" s="12" t="s">
        <v>313</v>
      </c>
      <c r="AD78" s="12" t="s">
        <v>349</v>
      </c>
      <c r="AE78" s="12">
        <v>90</v>
      </c>
      <c r="AF78" s="13" t="s">
        <v>350</v>
      </c>
      <c r="AG78" s="12" t="s">
        <v>291</v>
      </c>
      <c r="AH78" s="104" t="s">
        <v>351</v>
      </c>
      <c r="AI78" s="12" t="s">
        <v>317</v>
      </c>
      <c r="AJ78" s="12" t="s">
        <v>318</v>
      </c>
      <c r="AK78" s="12" t="s">
        <v>2789</v>
      </c>
      <c r="AL78" s="104" t="s">
        <v>3085</v>
      </c>
      <c r="AM78" s="12" t="s">
        <v>2554</v>
      </c>
      <c r="AN78" s="12" t="s">
        <v>478</v>
      </c>
      <c r="AO78" s="12" t="s">
        <v>398</v>
      </c>
      <c r="AP78" s="12"/>
      <c r="AQ78" s="12">
        <v>0</v>
      </c>
      <c r="AR78" s="12">
        <v>0</v>
      </c>
      <c r="AS78" s="12">
        <v>0</v>
      </c>
      <c r="AT78" s="12">
        <v>0</v>
      </c>
      <c r="AU78" s="12">
        <v>0</v>
      </c>
      <c r="AV78" s="12">
        <v>0</v>
      </c>
      <c r="AW78" s="12">
        <v>0</v>
      </c>
      <c r="AX78" s="12" t="s">
        <v>357</v>
      </c>
      <c r="AY78" s="12" t="s">
        <v>330</v>
      </c>
      <c r="AZ78" s="12" t="s">
        <v>3428</v>
      </c>
      <c r="BA78" s="12" t="s">
        <v>3444</v>
      </c>
      <c r="BB78" s="100">
        <v>44776</v>
      </c>
      <c r="BC78" s="12" t="s">
        <v>533</v>
      </c>
      <c r="BD78" s="12" t="s">
        <v>3539</v>
      </c>
      <c r="BE78" s="12" t="s">
        <v>325</v>
      </c>
      <c r="BF78" s="12" t="s">
        <v>3743</v>
      </c>
      <c r="BG78" s="12" t="s">
        <v>488</v>
      </c>
      <c r="BH78" s="12" t="s">
        <v>334</v>
      </c>
      <c r="BI78" s="12" t="s">
        <v>362</v>
      </c>
      <c r="BJ78" s="12" t="s">
        <v>3888</v>
      </c>
      <c r="BK78" s="12" t="s">
        <v>3911</v>
      </c>
      <c r="BL78" s="105">
        <v>0</v>
      </c>
      <c r="BM78" s="12"/>
      <c r="BN78" s="12">
        <v>0</v>
      </c>
      <c r="BO78" s="105">
        <v>0</v>
      </c>
      <c r="BP78" s="12"/>
      <c r="BQ78" s="12">
        <v>0</v>
      </c>
      <c r="BR78" s="12">
        <v>0</v>
      </c>
      <c r="BS78" s="12"/>
      <c r="BT78" s="12">
        <v>0</v>
      </c>
      <c r="BU78" s="12">
        <v>0</v>
      </c>
      <c r="BV78" s="12"/>
      <c r="BW78" s="12">
        <v>0</v>
      </c>
      <c r="BX78" s="12">
        <v>0</v>
      </c>
      <c r="BY78" s="12"/>
      <c r="BZ78" s="12">
        <v>0</v>
      </c>
      <c r="CA78" s="12"/>
      <c r="CB78" s="12"/>
      <c r="CC78" s="12"/>
      <c r="CD78" s="78"/>
    </row>
    <row r="79" spans="1:82" s="116" customFormat="1" ht="13.9" customHeight="1" x14ac:dyDescent="0.2">
      <c r="A79" s="12">
        <v>212</v>
      </c>
      <c r="B79" s="12" t="s">
        <v>4230</v>
      </c>
      <c r="C79" s="104" t="s">
        <v>299</v>
      </c>
      <c r="D79" s="99" t="s">
        <v>80</v>
      </c>
      <c r="E79" s="99" t="s">
        <v>1668</v>
      </c>
      <c r="F79" s="100">
        <v>43710</v>
      </c>
      <c r="G79" s="100">
        <v>44562</v>
      </c>
      <c r="H79" s="101">
        <f t="shared" si="6"/>
        <v>44652</v>
      </c>
      <c r="I79" s="101" t="s">
        <v>291</v>
      </c>
      <c r="J79" s="12" t="s">
        <v>4390</v>
      </c>
      <c r="K79" s="12" t="s">
        <v>687</v>
      </c>
      <c r="L79" s="12" t="s">
        <v>1852</v>
      </c>
      <c r="M79" s="102" t="str">
        <f t="shared" si="7"/>
        <v>CARRIZALES RANGEL DULCE ANNGE</v>
      </c>
      <c r="N79" s="102" t="s">
        <v>6873</v>
      </c>
      <c r="O79" s="102" t="s">
        <v>4733</v>
      </c>
      <c r="P79" s="12" t="s">
        <v>1954</v>
      </c>
      <c r="Q79" s="100">
        <v>33886</v>
      </c>
      <c r="R79" s="77">
        <f t="shared" si="8"/>
        <v>9</v>
      </c>
      <c r="S79" s="77">
        <f t="shared" si="9"/>
        <v>10</v>
      </c>
      <c r="T79" s="77">
        <f t="shared" si="10"/>
        <v>1992</v>
      </c>
      <c r="U79" s="103">
        <f t="shared" ca="1" si="11"/>
        <v>34.030136986301372</v>
      </c>
      <c r="V79" s="13" t="s">
        <v>308</v>
      </c>
      <c r="W79" s="13" t="s">
        <v>2144</v>
      </c>
      <c r="X79" s="12" t="s">
        <v>1497</v>
      </c>
      <c r="Y79" s="12" t="s">
        <v>185</v>
      </c>
      <c r="Z79" s="12" t="s">
        <v>170</v>
      </c>
      <c r="AA79" s="12" t="s">
        <v>432</v>
      </c>
      <c r="AB79" s="12" t="s">
        <v>2299</v>
      </c>
      <c r="AC79" s="12" t="s">
        <v>313</v>
      </c>
      <c r="AD79" s="12" t="s">
        <v>314</v>
      </c>
      <c r="AE79" s="12">
        <v>90</v>
      </c>
      <c r="AF79" s="13" t="s">
        <v>315</v>
      </c>
      <c r="AG79" s="12" t="s">
        <v>291</v>
      </c>
      <c r="AH79" s="104" t="s">
        <v>316</v>
      </c>
      <c r="AI79" s="12" t="s">
        <v>317</v>
      </c>
      <c r="AJ79" s="12" t="s">
        <v>318</v>
      </c>
      <c r="AK79" s="12" t="s">
        <v>2758</v>
      </c>
      <c r="AL79" s="104" t="s">
        <v>3050</v>
      </c>
      <c r="AM79" s="12" t="s">
        <v>2521</v>
      </c>
      <c r="AN79" s="12" t="s">
        <v>325</v>
      </c>
      <c r="AO79" s="12" t="s">
        <v>398</v>
      </c>
      <c r="AP79" s="12"/>
      <c r="AQ79" s="12">
        <v>0</v>
      </c>
      <c r="AR79" s="12">
        <v>0</v>
      </c>
      <c r="AS79" s="12">
        <v>0</v>
      </c>
      <c r="AT79" s="12">
        <v>0</v>
      </c>
      <c r="AU79" s="12">
        <v>0</v>
      </c>
      <c r="AV79" s="12">
        <v>0</v>
      </c>
      <c r="AW79" s="12" t="s">
        <v>328</v>
      </c>
      <c r="AX79" s="12" t="s">
        <v>329</v>
      </c>
      <c r="AY79" s="12" t="s">
        <v>330</v>
      </c>
      <c r="AZ79" s="12"/>
      <c r="BA79" s="12"/>
      <c r="BB79" s="12"/>
      <c r="BC79" s="12"/>
      <c r="BD79" s="12" t="s">
        <v>2521</v>
      </c>
      <c r="BE79" s="12" t="s">
        <v>325</v>
      </c>
      <c r="BF79" s="12" t="s">
        <v>3712</v>
      </c>
      <c r="BG79" s="12" t="s">
        <v>333</v>
      </c>
      <c r="BH79" s="12" t="s">
        <v>334</v>
      </c>
      <c r="BI79" s="12">
        <v>1</v>
      </c>
      <c r="BJ79" s="100">
        <v>43612</v>
      </c>
      <c r="BK79" s="12" t="s">
        <v>3911</v>
      </c>
      <c r="BL79" s="105">
        <f ca="1">(+TODAY()-BJ79)/365</f>
        <v>7.3835616438356162</v>
      </c>
      <c r="BM79" s="12"/>
      <c r="BN79" s="12">
        <v>0</v>
      </c>
      <c r="BO79" s="105">
        <v>0</v>
      </c>
      <c r="BP79" s="12"/>
      <c r="BQ79" s="12">
        <v>0</v>
      </c>
      <c r="BR79" s="12">
        <v>0</v>
      </c>
      <c r="BS79" s="12"/>
      <c r="BT79" s="12">
        <v>0</v>
      </c>
      <c r="BU79" s="12">
        <v>0</v>
      </c>
      <c r="BV79" s="12"/>
      <c r="BW79" s="12">
        <v>0</v>
      </c>
      <c r="BX79" s="12">
        <v>0</v>
      </c>
      <c r="BY79" s="12"/>
      <c r="BZ79" s="12">
        <v>0</v>
      </c>
      <c r="CA79" s="12"/>
      <c r="CB79" s="12"/>
      <c r="CC79" s="12"/>
      <c r="CD79" s="110"/>
    </row>
    <row r="80" spans="1:82" ht="13.9" customHeight="1" x14ac:dyDescent="0.2">
      <c r="A80" s="12">
        <v>213</v>
      </c>
      <c r="B80" s="12" t="s">
        <v>4181</v>
      </c>
      <c r="C80" s="106" t="s">
        <v>1390</v>
      </c>
      <c r="D80" s="107" t="s">
        <v>281</v>
      </c>
      <c r="E80" s="99" t="s">
        <v>6497</v>
      </c>
      <c r="F80" s="100">
        <v>43780</v>
      </c>
      <c r="G80" s="100">
        <v>44546</v>
      </c>
      <c r="H80" s="101">
        <f t="shared" si="6"/>
        <v>44636</v>
      </c>
      <c r="I80" s="101" t="s">
        <v>291</v>
      </c>
      <c r="J80" s="12" t="s">
        <v>960</v>
      </c>
      <c r="K80" s="12" t="s">
        <v>4463</v>
      </c>
      <c r="L80" s="12" t="s">
        <v>1938</v>
      </c>
      <c r="M80" s="102" t="str">
        <f t="shared" si="7"/>
        <v>TORRES VALDEZ LUIS ENRIQUE</v>
      </c>
      <c r="N80" s="102" t="s">
        <v>6874</v>
      </c>
      <c r="O80" s="102" t="s">
        <v>4845</v>
      </c>
      <c r="P80" s="12" t="s">
        <v>1953</v>
      </c>
      <c r="Q80" s="100">
        <v>35356</v>
      </c>
      <c r="R80" s="77">
        <f t="shared" si="8"/>
        <v>18</v>
      </c>
      <c r="S80" s="77">
        <f t="shared" si="9"/>
        <v>10</v>
      </c>
      <c r="T80" s="77">
        <f t="shared" si="10"/>
        <v>1996</v>
      </c>
      <c r="U80" s="103">
        <f t="shared" ca="1" si="11"/>
        <v>30.002739726027396</v>
      </c>
      <c r="V80" s="13" t="s">
        <v>389</v>
      </c>
      <c r="W80" s="13" t="s">
        <v>2256</v>
      </c>
      <c r="X80" s="12" t="s">
        <v>2324</v>
      </c>
      <c r="Y80" s="108" t="s">
        <v>274</v>
      </c>
      <c r="Z80" s="12" t="s">
        <v>263</v>
      </c>
      <c r="AA80" s="12" t="s">
        <v>636</v>
      </c>
      <c r="AB80" s="12" t="s">
        <v>2315</v>
      </c>
      <c r="AC80" s="12" t="s">
        <v>313</v>
      </c>
      <c r="AD80" s="12" t="s">
        <v>349</v>
      </c>
      <c r="AE80" s="12">
        <v>90</v>
      </c>
      <c r="AF80" s="13" t="s">
        <v>375</v>
      </c>
      <c r="AG80" s="12" t="s">
        <v>291</v>
      </c>
      <c r="AH80" s="104" t="s">
        <v>1398</v>
      </c>
      <c r="AI80" s="12" t="s">
        <v>317</v>
      </c>
      <c r="AJ80" s="12" t="s">
        <v>318</v>
      </c>
      <c r="AK80" s="12" t="s">
        <v>2854</v>
      </c>
      <c r="AL80" s="104" t="s">
        <v>3160</v>
      </c>
      <c r="AM80" s="12" t="s">
        <v>2618</v>
      </c>
      <c r="AN80" s="12" t="s">
        <v>401</v>
      </c>
      <c r="AO80" s="12" t="s">
        <v>398</v>
      </c>
      <c r="AP80" s="12"/>
      <c r="AQ80" s="12">
        <v>0</v>
      </c>
      <c r="AR80" s="12">
        <v>0</v>
      </c>
      <c r="AS80" s="12">
        <v>0</v>
      </c>
      <c r="AT80" s="12">
        <v>0</v>
      </c>
      <c r="AU80" s="12">
        <v>0</v>
      </c>
      <c r="AV80" s="12">
        <v>0</v>
      </c>
      <c r="AW80" s="12" t="s">
        <v>328</v>
      </c>
      <c r="AX80" s="12" t="s">
        <v>329</v>
      </c>
      <c r="AY80" s="12" t="s">
        <v>330</v>
      </c>
      <c r="AZ80" s="12"/>
      <c r="BA80" s="12"/>
      <c r="BB80" s="12"/>
      <c r="BC80" s="12"/>
      <c r="BD80" s="12" t="s">
        <v>3572</v>
      </c>
      <c r="BE80" s="12" t="s">
        <v>622</v>
      </c>
      <c r="BF80" s="12" t="s">
        <v>3803</v>
      </c>
      <c r="BG80" s="12" t="s">
        <v>333</v>
      </c>
      <c r="BH80" s="12" t="s">
        <v>362</v>
      </c>
      <c r="BI80" s="12" t="s">
        <v>3831</v>
      </c>
      <c r="BJ80" s="12" t="s">
        <v>3831</v>
      </c>
      <c r="BK80" s="12"/>
      <c r="BL80" s="105"/>
      <c r="BM80" s="12"/>
      <c r="BN80" s="12"/>
      <c r="BO80" s="105"/>
      <c r="BP80" s="12"/>
      <c r="BQ80" s="12"/>
      <c r="BR80" s="12"/>
      <c r="BS80" s="12"/>
      <c r="BT80" s="12"/>
      <c r="BU80" s="12"/>
      <c r="BV80" s="12"/>
      <c r="BW80" s="12"/>
      <c r="BX80" s="12"/>
      <c r="BY80" s="12"/>
      <c r="BZ80" s="12"/>
      <c r="CA80" s="12"/>
      <c r="CB80" s="12"/>
      <c r="CC80" s="12"/>
      <c r="CD80" s="78"/>
    </row>
    <row r="81" spans="1:82" ht="13.9" customHeight="1" x14ac:dyDescent="0.2">
      <c r="A81" s="12">
        <v>214</v>
      </c>
      <c r="B81" s="12" t="s">
        <v>4182</v>
      </c>
      <c r="C81" s="106" t="s">
        <v>1390</v>
      </c>
      <c r="D81" s="107" t="s">
        <v>281</v>
      </c>
      <c r="E81" s="99" t="s">
        <v>6498</v>
      </c>
      <c r="F81" s="100">
        <v>43784</v>
      </c>
      <c r="G81" s="100">
        <v>44621</v>
      </c>
      <c r="H81" s="101">
        <f t="shared" si="6"/>
        <v>44711</v>
      </c>
      <c r="I81" s="101" t="s">
        <v>291</v>
      </c>
      <c r="J81" s="12" t="s">
        <v>507</v>
      </c>
      <c r="K81" s="12" t="s">
        <v>836</v>
      </c>
      <c r="L81" s="12" t="s">
        <v>1939</v>
      </c>
      <c r="M81" s="102" t="str">
        <f t="shared" si="7"/>
        <v>MARTINEZ MENDEZ SUSANA</v>
      </c>
      <c r="N81" s="102" t="s">
        <v>6875</v>
      </c>
      <c r="O81" s="102" t="s">
        <v>4846</v>
      </c>
      <c r="P81" s="12" t="s">
        <v>1954</v>
      </c>
      <c r="Q81" s="100">
        <v>28266</v>
      </c>
      <c r="R81" s="77">
        <f t="shared" si="8"/>
        <v>21</v>
      </c>
      <c r="S81" s="77">
        <f t="shared" si="9"/>
        <v>5</v>
      </c>
      <c r="T81" s="77">
        <f t="shared" si="10"/>
        <v>1977</v>
      </c>
      <c r="U81" s="103">
        <f t="shared" ca="1" si="11"/>
        <v>49.42739726027397</v>
      </c>
      <c r="V81" s="13" t="s">
        <v>1450</v>
      </c>
      <c r="W81" s="13" t="s">
        <v>2257</v>
      </c>
      <c r="X81" s="12" t="s">
        <v>1426</v>
      </c>
      <c r="Y81" s="108" t="s">
        <v>275</v>
      </c>
      <c r="Z81" s="12" t="s">
        <v>263</v>
      </c>
      <c r="AA81" s="12" t="s">
        <v>636</v>
      </c>
      <c r="AB81" s="12" t="s">
        <v>2302</v>
      </c>
      <c r="AC81" s="12" t="s">
        <v>313</v>
      </c>
      <c r="AD81" s="12" t="s">
        <v>349</v>
      </c>
      <c r="AE81" s="12">
        <v>90</v>
      </c>
      <c r="AF81" s="13" t="s">
        <v>375</v>
      </c>
      <c r="AG81" s="12" t="s">
        <v>291</v>
      </c>
      <c r="AH81" s="104" t="s">
        <v>1398</v>
      </c>
      <c r="AI81" s="12" t="s">
        <v>317</v>
      </c>
      <c r="AJ81" s="12" t="s">
        <v>318</v>
      </c>
      <c r="AK81" s="12" t="s">
        <v>2855</v>
      </c>
      <c r="AL81" s="104" t="s">
        <v>3161</v>
      </c>
      <c r="AM81" s="12" t="s">
        <v>2619</v>
      </c>
      <c r="AN81" s="12" t="s">
        <v>3178</v>
      </c>
      <c r="AO81" s="12" t="s">
        <v>398</v>
      </c>
      <c r="AP81" s="12"/>
      <c r="AQ81" s="12">
        <v>0</v>
      </c>
      <c r="AR81" s="12">
        <v>0</v>
      </c>
      <c r="AS81" s="12">
        <v>0</v>
      </c>
      <c r="AT81" s="12">
        <v>0</v>
      </c>
      <c r="AU81" s="12">
        <v>0</v>
      </c>
      <c r="AV81" s="12">
        <v>0</v>
      </c>
      <c r="AW81" s="12" t="s">
        <v>328</v>
      </c>
      <c r="AX81" s="12" t="s">
        <v>329</v>
      </c>
      <c r="AY81" s="12" t="s">
        <v>330</v>
      </c>
      <c r="AZ81" s="12" t="s">
        <v>3431</v>
      </c>
      <c r="BA81" s="12" t="s">
        <v>3452</v>
      </c>
      <c r="BB81" s="12"/>
      <c r="BC81" s="12"/>
      <c r="BD81" s="12" t="s">
        <v>2619</v>
      </c>
      <c r="BE81" s="12" t="s">
        <v>3178</v>
      </c>
      <c r="BF81" s="12" t="s">
        <v>3804</v>
      </c>
      <c r="BG81" s="12" t="s">
        <v>488</v>
      </c>
      <c r="BH81" s="12" t="s">
        <v>362</v>
      </c>
      <c r="BI81" s="12">
        <v>2</v>
      </c>
      <c r="BJ81" s="100">
        <v>36014</v>
      </c>
      <c r="BK81" s="12" t="s">
        <v>3888</v>
      </c>
      <c r="BL81" s="105">
        <f ca="1">(+TODAY()-BJ81)/365</f>
        <v>28.2</v>
      </c>
      <c r="BM81" s="100">
        <v>39580</v>
      </c>
      <c r="BN81" s="12" t="s">
        <v>3888</v>
      </c>
      <c r="BO81" s="105">
        <f ca="1">(+TODAY()-BM81)/365</f>
        <v>18.43013698630137</v>
      </c>
      <c r="BP81" s="12"/>
      <c r="BQ81" s="12"/>
      <c r="BR81" s="12"/>
      <c r="BS81" s="12"/>
      <c r="BT81" s="12"/>
      <c r="BU81" s="12"/>
      <c r="BV81" s="12"/>
      <c r="BW81" s="12"/>
      <c r="BX81" s="12"/>
      <c r="BY81" s="12"/>
      <c r="BZ81" s="12"/>
      <c r="CA81" s="12"/>
      <c r="CB81" s="12"/>
      <c r="CC81" s="12"/>
      <c r="CD81" s="78"/>
    </row>
    <row r="82" spans="1:82" ht="13.9" customHeight="1" x14ac:dyDescent="0.2">
      <c r="A82" s="12">
        <v>216</v>
      </c>
      <c r="B82" s="12" t="s">
        <v>4144</v>
      </c>
      <c r="C82" s="78" t="s">
        <v>335</v>
      </c>
      <c r="D82" s="107" t="s">
        <v>228</v>
      </c>
      <c r="E82" s="99" t="s">
        <v>1683</v>
      </c>
      <c r="F82" s="100">
        <v>43836</v>
      </c>
      <c r="G82" s="100">
        <v>44911</v>
      </c>
      <c r="H82" s="101">
        <f t="shared" si="6"/>
        <v>45001</v>
      </c>
      <c r="I82" s="101" t="s">
        <v>291</v>
      </c>
      <c r="J82" s="12" t="s">
        <v>404</v>
      </c>
      <c r="K82" s="12" t="s">
        <v>4520</v>
      </c>
      <c r="L82" s="12" t="s">
        <v>1898</v>
      </c>
      <c r="M82" s="102" t="str">
        <f t="shared" si="7"/>
        <v>GOMEZ AVILA NIDIA MELISSA</v>
      </c>
      <c r="N82" s="102" t="s">
        <v>6876</v>
      </c>
      <c r="O82" s="102" t="s">
        <v>4788</v>
      </c>
      <c r="P82" s="12" t="s">
        <v>1954</v>
      </c>
      <c r="Q82" s="100">
        <v>33467</v>
      </c>
      <c r="R82" s="77">
        <f t="shared" si="8"/>
        <v>17</v>
      </c>
      <c r="S82" s="77">
        <f t="shared" si="9"/>
        <v>8</v>
      </c>
      <c r="T82" s="77">
        <f t="shared" si="10"/>
        <v>1991</v>
      </c>
      <c r="U82" s="103">
        <f t="shared" ca="1" si="11"/>
        <v>35.178082191780824</v>
      </c>
      <c r="V82" s="13" t="s">
        <v>308</v>
      </c>
      <c r="W82" s="13" t="s">
        <v>2197</v>
      </c>
      <c r="X82" s="12" t="s">
        <v>1497</v>
      </c>
      <c r="Y82" s="108" t="s">
        <v>217</v>
      </c>
      <c r="Z82" s="12" t="s">
        <v>230</v>
      </c>
      <c r="AA82" s="12" t="s">
        <v>636</v>
      </c>
      <c r="AB82" s="12" t="s">
        <v>948</v>
      </c>
      <c r="AC82" s="12" t="s">
        <v>313</v>
      </c>
      <c r="AD82" s="12" t="s">
        <v>314</v>
      </c>
      <c r="AE82" s="12">
        <v>90</v>
      </c>
      <c r="AF82" s="13" t="s">
        <v>949</v>
      </c>
      <c r="AG82" s="12" t="s">
        <v>291</v>
      </c>
      <c r="AH82" s="104" t="s">
        <v>414</v>
      </c>
      <c r="AI82" s="12" t="s">
        <v>317</v>
      </c>
      <c r="AJ82" s="12" t="s">
        <v>318</v>
      </c>
      <c r="AK82" s="12" t="s">
        <v>2804</v>
      </c>
      <c r="AL82" s="104" t="s">
        <v>3101</v>
      </c>
      <c r="AM82" s="12" t="s">
        <v>2570</v>
      </c>
      <c r="AN82" s="12" t="s">
        <v>622</v>
      </c>
      <c r="AO82" s="12" t="s">
        <v>398</v>
      </c>
      <c r="AP82" s="12"/>
      <c r="AQ82" s="12">
        <v>0</v>
      </c>
      <c r="AR82" s="12">
        <v>0</v>
      </c>
      <c r="AS82" s="12">
        <v>0</v>
      </c>
      <c r="AT82" s="12">
        <v>0</v>
      </c>
      <c r="AU82" s="12">
        <v>0</v>
      </c>
      <c r="AV82" s="12">
        <v>0</v>
      </c>
      <c r="AW82" s="12" t="s">
        <v>420</v>
      </c>
      <c r="AX82" s="12" t="s">
        <v>329</v>
      </c>
      <c r="AY82" s="12" t="s">
        <v>330</v>
      </c>
      <c r="AZ82" s="12"/>
      <c r="BA82" s="12"/>
      <c r="BB82" s="12"/>
      <c r="BC82" s="12"/>
      <c r="BD82" s="12" t="s">
        <v>2570</v>
      </c>
      <c r="BE82" s="12" t="s">
        <v>622</v>
      </c>
      <c r="BF82" s="12" t="s">
        <v>3757</v>
      </c>
      <c r="BG82" s="12" t="s">
        <v>333</v>
      </c>
      <c r="BH82" s="12" t="s">
        <v>3824</v>
      </c>
      <c r="BI82" s="12" t="s">
        <v>3831</v>
      </c>
      <c r="BJ82" s="12" t="s">
        <v>3831</v>
      </c>
      <c r="BK82" s="12"/>
      <c r="BL82" s="105"/>
      <c r="BM82" s="12"/>
      <c r="BN82" s="12"/>
      <c r="BO82" s="105"/>
      <c r="BP82" s="12"/>
      <c r="BQ82" s="12"/>
      <c r="BR82" s="12"/>
      <c r="BS82" s="12"/>
      <c r="BT82" s="12"/>
      <c r="BU82" s="12"/>
      <c r="BV82" s="12"/>
      <c r="BW82" s="12"/>
      <c r="BX82" s="12"/>
      <c r="BY82" s="12"/>
      <c r="BZ82" s="12"/>
      <c r="CA82" s="12"/>
      <c r="CB82" s="12"/>
      <c r="CC82" s="12"/>
      <c r="CD82" s="78"/>
    </row>
    <row r="83" spans="1:82" ht="13.9" customHeight="1" x14ac:dyDescent="0.2">
      <c r="A83" s="12">
        <v>218</v>
      </c>
      <c r="B83" s="12" t="s">
        <v>4114</v>
      </c>
      <c r="C83" s="78" t="s">
        <v>335</v>
      </c>
      <c r="D83" s="99" t="s">
        <v>161</v>
      </c>
      <c r="E83" s="99" t="s">
        <v>6499</v>
      </c>
      <c r="F83" s="100">
        <v>43884</v>
      </c>
      <c r="G83" s="100">
        <v>44914</v>
      </c>
      <c r="H83" s="101">
        <f t="shared" si="6"/>
        <v>45004</v>
      </c>
      <c r="I83" s="101" t="s">
        <v>290</v>
      </c>
      <c r="J83" s="12" t="s">
        <v>366</v>
      </c>
      <c r="K83" s="12" t="s">
        <v>507</v>
      </c>
      <c r="L83" s="12" t="s">
        <v>1748</v>
      </c>
      <c r="M83" s="102" t="str">
        <f t="shared" si="7"/>
        <v>HERNANDEZ MARTINEZ FRANCISCO</v>
      </c>
      <c r="N83" s="102" t="s">
        <v>6877</v>
      </c>
      <c r="O83" s="102" t="s">
        <v>4710</v>
      </c>
      <c r="P83" s="12" t="s">
        <v>1953</v>
      </c>
      <c r="Q83" s="100">
        <v>36863</v>
      </c>
      <c r="R83" s="77">
        <f t="shared" si="8"/>
        <v>3</v>
      </c>
      <c r="S83" s="77">
        <f t="shared" si="9"/>
        <v>12</v>
      </c>
      <c r="T83" s="77">
        <f t="shared" si="10"/>
        <v>2000</v>
      </c>
      <c r="U83" s="103">
        <f t="shared" ca="1" si="11"/>
        <v>25.873972602739727</v>
      </c>
      <c r="V83" s="13" t="s">
        <v>389</v>
      </c>
      <c r="W83" s="13" t="s">
        <v>2121</v>
      </c>
      <c r="X83" s="12" t="s">
        <v>1497</v>
      </c>
      <c r="Y83" s="12" t="s">
        <v>112</v>
      </c>
      <c r="Z83" s="12" t="s">
        <v>164</v>
      </c>
      <c r="AA83" s="12" t="s">
        <v>347</v>
      </c>
      <c r="AB83" s="12" t="s">
        <v>2297</v>
      </c>
      <c r="AC83" s="12" t="s">
        <v>313</v>
      </c>
      <c r="AD83" s="12" t="s">
        <v>314</v>
      </c>
      <c r="AE83" s="12">
        <v>90</v>
      </c>
      <c r="AF83" s="13" t="s">
        <v>2330</v>
      </c>
      <c r="AG83" s="12" t="s">
        <v>290</v>
      </c>
      <c r="AH83" s="104" t="s">
        <v>2343</v>
      </c>
      <c r="AI83" s="12" t="s">
        <v>317</v>
      </c>
      <c r="AJ83" s="12" t="s">
        <v>318</v>
      </c>
      <c r="AK83" s="12" t="s">
        <v>2740</v>
      </c>
      <c r="AL83" s="104" t="s">
        <v>3027</v>
      </c>
      <c r="AM83" s="12" t="s">
        <v>2498</v>
      </c>
      <c r="AN83" s="12" t="s">
        <v>622</v>
      </c>
      <c r="AO83" s="12" t="s">
        <v>398</v>
      </c>
      <c r="AP83" s="12"/>
      <c r="AQ83" s="12">
        <v>0</v>
      </c>
      <c r="AR83" s="12">
        <v>0</v>
      </c>
      <c r="AS83" s="12">
        <v>0</v>
      </c>
      <c r="AT83" s="12">
        <v>0</v>
      </c>
      <c r="AU83" s="12">
        <v>0</v>
      </c>
      <c r="AV83" s="12">
        <v>0</v>
      </c>
      <c r="AW83" s="12" t="s">
        <v>420</v>
      </c>
      <c r="AX83" s="12" t="s">
        <v>329</v>
      </c>
      <c r="AY83" s="12" t="s">
        <v>330</v>
      </c>
      <c r="AZ83" s="12"/>
      <c r="BA83" s="12"/>
      <c r="BB83" s="12"/>
      <c r="BC83" s="12"/>
      <c r="BD83" s="12" t="s">
        <v>2498</v>
      </c>
      <c r="BE83" s="12" t="s">
        <v>622</v>
      </c>
      <c r="BF83" s="12" t="s">
        <v>3692</v>
      </c>
      <c r="BG83" s="12" t="s">
        <v>362</v>
      </c>
      <c r="BH83" s="12" t="s">
        <v>362</v>
      </c>
      <c r="BI83" s="12" t="s">
        <v>362</v>
      </c>
      <c r="BJ83" s="12" t="s">
        <v>3888</v>
      </c>
      <c r="BK83" s="12" t="s">
        <v>3911</v>
      </c>
      <c r="BL83" s="105">
        <v>0</v>
      </c>
      <c r="BM83" s="12"/>
      <c r="BN83" s="12">
        <v>0</v>
      </c>
      <c r="BO83" s="105">
        <v>0</v>
      </c>
      <c r="BP83" s="12"/>
      <c r="BQ83" s="12">
        <v>0</v>
      </c>
      <c r="BR83" s="12">
        <v>0</v>
      </c>
      <c r="BS83" s="12"/>
      <c r="BT83" s="12">
        <v>0</v>
      </c>
      <c r="BU83" s="12">
        <v>0</v>
      </c>
      <c r="BV83" s="12"/>
      <c r="BW83" s="12">
        <v>0</v>
      </c>
      <c r="BX83" s="12">
        <v>0</v>
      </c>
      <c r="BY83" s="12"/>
      <c r="BZ83" s="12">
        <v>0</v>
      </c>
      <c r="CA83" s="12"/>
      <c r="CB83" s="12"/>
      <c r="CC83" s="12"/>
      <c r="CD83" s="78"/>
    </row>
    <row r="84" spans="1:82" ht="13.9" customHeight="1" x14ac:dyDescent="0.2">
      <c r="A84" s="12">
        <v>220</v>
      </c>
      <c r="B84" s="12" t="s">
        <v>4056</v>
      </c>
      <c r="C84" s="78" t="s">
        <v>335</v>
      </c>
      <c r="D84" s="99" t="s">
        <v>127</v>
      </c>
      <c r="E84" s="99" t="s">
        <v>6500</v>
      </c>
      <c r="F84" s="100">
        <v>43885</v>
      </c>
      <c r="G84" s="100">
        <v>44949</v>
      </c>
      <c r="H84" s="101">
        <f t="shared" si="6"/>
        <v>45039</v>
      </c>
      <c r="I84" s="101" t="s">
        <v>290</v>
      </c>
      <c r="J84" s="12" t="s">
        <v>507</v>
      </c>
      <c r="K84" s="12" t="s">
        <v>1044</v>
      </c>
      <c r="L84" s="12" t="s">
        <v>1781</v>
      </c>
      <c r="M84" s="102" t="str">
        <f t="shared" si="7"/>
        <v>MARTINEZ RODRIGUEZ MARIA MONICA</v>
      </c>
      <c r="N84" s="102" t="s">
        <v>6878</v>
      </c>
      <c r="O84" s="102" t="s">
        <v>4646</v>
      </c>
      <c r="P84" s="12" t="s">
        <v>1954</v>
      </c>
      <c r="Q84" s="100">
        <v>33640</v>
      </c>
      <c r="R84" s="77">
        <f t="shared" si="8"/>
        <v>6</v>
      </c>
      <c r="S84" s="77">
        <f t="shared" si="9"/>
        <v>2</v>
      </c>
      <c r="T84" s="77">
        <f t="shared" si="10"/>
        <v>1992</v>
      </c>
      <c r="U84" s="103">
        <f t="shared" ca="1" si="11"/>
        <v>34.704109589041096</v>
      </c>
      <c r="V84" s="13" t="s">
        <v>308</v>
      </c>
      <c r="W84" s="13" t="s">
        <v>2058</v>
      </c>
      <c r="X84" s="12" t="s">
        <v>1497</v>
      </c>
      <c r="Y84" s="12" t="s">
        <v>106</v>
      </c>
      <c r="Z84" s="12" t="s">
        <v>129</v>
      </c>
      <c r="AA84" s="12" t="s">
        <v>636</v>
      </c>
      <c r="AB84" s="12" t="s">
        <v>2289</v>
      </c>
      <c r="AC84" s="12" t="s">
        <v>313</v>
      </c>
      <c r="AD84" s="12" t="s">
        <v>314</v>
      </c>
      <c r="AE84" s="12">
        <v>90</v>
      </c>
      <c r="AF84" s="13" t="s">
        <v>949</v>
      </c>
      <c r="AG84" s="12" t="s">
        <v>290</v>
      </c>
      <c r="AH84" s="104" t="s">
        <v>414</v>
      </c>
      <c r="AI84" s="12" t="s">
        <v>317</v>
      </c>
      <c r="AJ84" s="12" t="s">
        <v>318</v>
      </c>
      <c r="AK84" s="12" t="s">
        <v>2703</v>
      </c>
      <c r="AL84" s="104" t="s">
        <v>2964</v>
      </c>
      <c r="AM84" s="12" t="s">
        <v>2440</v>
      </c>
      <c r="AN84" s="12" t="s">
        <v>325</v>
      </c>
      <c r="AO84" s="12" t="s">
        <v>398</v>
      </c>
      <c r="AP84" s="12"/>
      <c r="AQ84" s="12">
        <v>0</v>
      </c>
      <c r="AR84" s="12">
        <v>0</v>
      </c>
      <c r="AS84" s="12">
        <v>0</v>
      </c>
      <c r="AT84" s="12">
        <v>0</v>
      </c>
      <c r="AU84" s="12">
        <v>0</v>
      </c>
      <c r="AV84" s="12">
        <v>0</v>
      </c>
      <c r="AW84" s="12" t="s">
        <v>328</v>
      </c>
      <c r="AX84" s="12" t="s">
        <v>329</v>
      </c>
      <c r="AY84" s="12" t="s">
        <v>330</v>
      </c>
      <c r="AZ84" s="12"/>
      <c r="BA84" s="12"/>
      <c r="BB84" s="12"/>
      <c r="BC84" s="12"/>
      <c r="BD84" s="12" t="s">
        <v>3488</v>
      </c>
      <c r="BE84" s="12" t="s">
        <v>325</v>
      </c>
      <c r="BF84" s="12" t="s">
        <v>3651</v>
      </c>
      <c r="BG84" s="12" t="s">
        <v>488</v>
      </c>
      <c r="BH84" s="12" t="s">
        <v>362</v>
      </c>
      <c r="BI84" s="12">
        <v>3</v>
      </c>
      <c r="BJ84" s="12" t="s">
        <v>3888</v>
      </c>
      <c r="BK84" s="12" t="s">
        <v>3911</v>
      </c>
      <c r="BL84" s="105">
        <v>9</v>
      </c>
      <c r="BM84" s="12"/>
      <c r="BN84" s="12" t="s">
        <v>1953</v>
      </c>
      <c r="BO84" s="105">
        <v>7</v>
      </c>
      <c r="BP84" s="12"/>
      <c r="BQ84" s="12" t="s">
        <v>1953</v>
      </c>
      <c r="BR84" s="12">
        <v>12</v>
      </c>
      <c r="BS84" s="12"/>
      <c r="BT84" s="12"/>
      <c r="BU84" s="12"/>
      <c r="BV84" s="12"/>
      <c r="BW84" s="12"/>
      <c r="BX84" s="12"/>
      <c r="BY84" s="12"/>
      <c r="BZ84" s="12"/>
      <c r="CA84" s="12"/>
      <c r="CB84" s="12"/>
      <c r="CC84" s="12"/>
      <c r="CD84" s="78"/>
    </row>
    <row r="85" spans="1:82" ht="13.9" customHeight="1" x14ac:dyDescent="0.2">
      <c r="A85" s="12">
        <v>223</v>
      </c>
      <c r="B85" s="12" t="s">
        <v>4049</v>
      </c>
      <c r="C85" s="78" t="s">
        <v>335</v>
      </c>
      <c r="D85" s="99" t="s">
        <v>105</v>
      </c>
      <c r="E85" s="99" t="s">
        <v>6742</v>
      </c>
      <c r="F85" s="100">
        <v>44053</v>
      </c>
      <c r="G85" s="100">
        <v>44921</v>
      </c>
      <c r="H85" s="101">
        <f t="shared" si="6"/>
        <v>45011</v>
      </c>
      <c r="I85" s="101" t="s">
        <v>290</v>
      </c>
      <c r="J85" s="12" t="s">
        <v>4348</v>
      </c>
      <c r="K85" s="12" t="s">
        <v>4472</v>
      </c>
      <c r="L85" s="12" t="s">
        <v>1746</v>
      </c>
      <c r="M85" s="153" t="str">
        <f t="shared" si="7"/>
        <v>FABIAN  ROMO JUAN MANUEL</v>
      </c>
      <c r="N85" s="102" t="s">
        <v>7153</v>
      </c>
      <c r="O85" s="102" t="s">
        <v>4631</v>
      </c>
      <c r="P85" s="12" t="s">
        <v>1953</v>
      </c>
      <c r="Q85" s="100">
        <v>36726</v>
      </c>
      <c r="R85" s="77">
        <f t="shared" si="8"/>
        <v>19</v>
      </c>
      <c r="S85" s="77">
        <f t="shared" si="9"/>
        <v>7</v>
      </c>
      <c r="T85" s="77">
        <f t="shared" si="10"/>
        <v>2000</v>
      </c>
      <c r="U85" s="103">
        <f t="shared" ca="1" si="11"/>
        <v>26.24931506849315</v>
      </c>
      <c r="V85" s="13" t="s">
        <v>452</v>
      </c>
      <c r="W85" s="13" t="s">
        <v>2043</v>
      </c>
      <c r="X85" s="12" t="s">
        <v>454</v>
      </c>
      <c r="Y85" s="12" t="s">
        <v>110</v>
      </c>
      <c r="Z85" s="12" t="s">
        <v>111</v>
      </c>
      <c r="AA85" s="12" t="s">
        <v>347</v>
      </c>
      <c r="AB85" s="12" t="s">
        <v>2287</v>
      </c>
      <c r="AC85" s="12" t="s">
        <v>313</v>
      </c>
      <c r="AD85" s="12" t="s">
        <v>349</v>
      </c>
      <c r="AE85" s="12">
        <v>90</v>
      </c>
      <c r="AF85" s="13" t="s">
        <v>859</v>
      </c>
      <c r="AG85" s="12" t="s">
        <v>290</v>
      </c>
      <c r="AH85" s="104" t="s">
        <v>2337</v>
      </c>
      <c r="AI85" s="12" t="s">
        <v>317</v>
      </c>
      <c r="AJ85" s="12" t="s">
        <v>318</v>
      </c>
      <c r="AK85" s="12" t="s">
        <v>2689</v>
      </c>
      <c r="AL85" s="104" t="s">
        <v>2949</v>
      </c>
      <c r="AM85" s="12" t="s">
        <v>2430</v>
      </c>
      <c r="AN85" s="12" t="s">
        <v>478</v>
      </c>
      <c r="AO85" s="12" t="s">
        <v>398</v>
      </c>
      <c r="AP85" s="12"/>
      <c r="AQ85" s="12">
        <v>0</v>
      </c>
      <c r="AR85" s="12">
        <v>0</v>
      </c>
      <c r="AS85" s="12">
        <v>0</v>
      </c>
      <c r="AT85" s="12">
        <v>0</v>
      </c>
      <c r="AU85" s="12">
        <v>0</v>
      </c>
      <c r="AV85" s="12">
        <v>0</v>
      </c>
      <c r="AW85" s="12" t="s">
        <v>328</v>
      </c>
      <c r="AX85" s="12" t="s">
        <v>357</v>
      </c>
      <c r="AY85" s="12" t="s">
        <v>330</v>
      </c>
      <c r="AZ85" s="12"/>
      <c r="BA85" s="12"/>
      <c r="BB85" s="12"/>
      <c r="BC85" s="12"/>
      <c r="BD85" s="12" t="s">
        <v>3478</v>
      </c>
      <c r="BE85" s="12" t="s">
        <v>622</v>
      </c>
      <c r="BF85" s="12" t="s">
        <v>3637</v>
      </c>
      <c r="BG85" s="12" t="s">
        <v>362</v>
      </c>
      <c r="BH85" s="12" t="s">
        <v>362</v>
      </c>
      <c r="BI85" s="12">
        <v>2</v>
      </c>
      <c r="BJ85" s="100">
        <v>43636</v>
      </c>
      <c r="BK85" s="12" t="s">
        <v>3911</v>
      </c>
      <c r="BL85" s="105">
        <f ca="1">(+TODAY()-BJ85)/365</f>
        <v>7.3178082191780822</v>
      </c>
      <c r="BM85" s="12"/>
      <c r="BN85" s="12" t="s">
        <v>1953</v>
      </c>
      <c r="BO85" s="105" t="s">
        <v>3944</v>
      </c>
      <c r="BP85" s="12"/>
      <c r="BQ85" s="12">
        <v>0</v>
      </c>
      <c r="BR85" s="12">
        <v>0</v>
      </c>
      <c r="BS85" s="12"/>
      <c r="BT85" s="12">
        <v>0</v>
      </c>
      <c r="BU85" s="12">
        <v>0</v>
      </c>
      <c r="BV85" s="12"/>
      <c r="BW85" s="12">
        <v>0</v>
      </c>
      <c r="BX85" s="12">
        <v>0</v>
      </c>
      <c r="BY85" s="12"/>
      <c r="BZ85" s="12">
        <v>0</v>
      </c>
      <c r="CA85" s="12"/>
      <c r="CB85" s="12"/>
      <c r="CC85" s="12"/>
      <c r="CD85" s="78"/>
    </row>
    <row r="86" spans="1:82" ht="13.9" customHeight="1" x14ac:dyDescent="0.2">
      <c r="A86" s="12">
        <v>225</v>
      </c>
      <c r="B86" s="12" t="s">
        <v>4115</v>
      </c>
      <c r="C86" s="78" t="s">
        <v>335</v>
      </c>
      <c r="D86" s="99" t="s">
        <v>161</v>
      </c>
      <c r="E86" s="99" t="s">
        <v>6501</v>
      </c>
      <c r="F86" s="100">
        <v>44067</v>
      </c>
      <c r="G86" s="100">
        <v>44914</v>
      </c>
      <c r="H86" s="101">
        <f t="shared" si="6"/>
        <v>45004</v>
      </c>
      <c r="I86" s="101" t="s">
        <v>290</v>
      </c>
      <c r="J86" s="12" t="s">
        <v>4317</v>
      </c>
      <c r="K86" s="12" t="s">
        <v>4499</v>
      </c>
      <c r="L86" s="12" t="s">
        <v>1832</v>
      </c>
      <c r="M86" s="102" t="str">
        <f t="shared" si="7"/>
        <v>DIAZ ESPINOSA CAMILO</v>
      </c>
      <c r="N86" s="102" t="s">
        <v>6879</v>
      </c>
      <c r="O86" s="102" t="s">
        <v>4711</v>
      </c>
      <c r="P86" s="12" t="s">
        <v>1953</v>
      </c>
      <c r="Q86" s="100">
        <v>26057</v>
      </c>
      <c r="R86" s="77">
        <f t="shared" si="8"/>
        <v>4</v>
      </c>
      <c r="S86" s="77">
        <f t="shared" si="9"/>
        <v>5</v>
      </c>
      <c r="T86" s="77">
        <f t="shared" si="10"/>
        <v>1971</v>
      </c>
      <c r="U86" s="103">
        <f t="shared" ca="1" si="11"/>
        <v>55.479452054794521</v>
      </c>
      <c r="V86" s="13" t="s">
        <v>342</v>
      </c>
      <c r="W86" s="13" t="s">
        <v>2122</v>
      </c>
      <c r="X86" s="12" t="s">
        <v>1497</v>
      </c>
      <c r="Y86" s="12" t="s">
        <v>166</v>
      </c>
      <c r="Z86" s="12" t="s">
        <v>164</v>
      </c>
      <c r="AA86" s="12" t="s">
        <v>347</v>
      </c>
      <c r="AB86" s="12" t="s">
        <v>2297</v>
      </c>
      <c r="AC86" s="12" t="s">
        <v>313</v>
      </c>
      <c r="AD86" s="12" t="s">
        <v>314</v>
      </c>
      <c r="AE86" s="12">
        <v>90</v>
      </c>
      <c r="AF86" s="13" t="s">
        <v>2330</v>
      </c>
      <c r="AG86" s="12" t="s">
        <v>290</v>
      </c>
      <c r="AH86" s="104" t="s">
        <v>2343</v>
      </c>
      <c r="AI86" s="12" t="s">
        <v>317</v>
      </c>
      <c r="AJ86" s="12" t="s">
        <v>318</v>
      </c>
      <c r="AK86" s="12" t="s">
        <v>2741</v>
      </c>
      <c r="AL86" s="104" t="s">
        <v>3028</v>
      </c>
      <c r="AM86" s="12" t="s">
        <v>2499</v>
      </c>
      <c r="AN86" s="12" t="s">
        <v>325</v>
      </c>
      <c r="AO86" s="12" t="s">
        <v>327</v>
      </c>
      <c r="AP86" s="12"/>
      <c r="AQ86" s="12">
        <v>0</v>
      </c>
      <c r="AR86" s="12">
        <v>0</v>
      </c>
      <c r="AS86" s="12">
        <v>0</v>
      </c>
      <c r="AT86" s="12">
        <v>0</v>
      </c>
      <c r="AU86" s="12">
        <v>0</v>
      </c>
      <c r="AV86" s="12">
        <v>0</v>
      </c>
      <c r="AW86" s="12" t="s">
        <v>329</v>
      </c>
      <c r="AX86" s="12" t="s">
        <v>329</v>
      </c>
      <c r="AY86" s="12" t="s">
        <v>330</v>
      </c>
      <c r="AZ86" s="12"/>
      <c r="BA86" s="12"/>
      <c r="BB86" s="12"/>
      <c r="BC86" s="12"/>
      <c r="BD86" s="12" t="s">
        <v>3510</v>
      </c>
      <c r="BE86" s="12" t="s">
        <v>381</v>
      </c>
      <c r="BF86" s="12" t="s">
        <v>3693</v>
      </c>
      <c r="BG86" s="12" t="s">
        <v>333</v>
      </c>
      <c r="BH86" s="12" t="s">
        <v>362</v>
      </c>
      <c r="BI86" s="12" t="s">
        <v>362</v>
      </c>
      <c r="BJ86" s="12" t="s">
        <v>3888</v>
      </c>
      <c r="BK86" s="12" t="s">
        <v>3911</v>
      </c>
      <c r="BL86" s="105">
        <v>0</v>
      </c>
      <c r="BM86" s="12"/>
      <c r="BN86" s="12">
        <v>0</v>
      </c>
      <c r="BO86" s="105">
        <v>0</v>
      </c>
      <c r="BP86" s="12"/>
      <c r="BQ86" s="12">
        <v>0</v>
      </c>
      <c r="BR86" s="12">
        <v>0</v>
      </c>
      <c r="BS86" s="12"/>
      <c r="BT86" s="12">
        <v>0</v>
      </c>
      <c r="BU86" s="12">
        <v>0</v>
      </c>
      <c r="BV86" s="12"/>
      <c r="BW86" s="12">
        <v>0</v>
      </c>
      <c r="BX86" s="12">
        <v>0</v>
      </c>
      <c r="BY86" s="12"/>
      <c r="BZ86" s="12">
        <v>0</v>
      </c>
      <c r="CA86" s="12"/>
      <c r="CB86" s="12"/>
      <c r="CC86" s="12"/>
      <c r="CD86" s="78"/>
    </row>
    <row r="87" spans="1:82" ht="13.9" customHeight="1" x14ac:dyDescent="0.2">
      <c r="A87" s="107">
        <v>227</v>
      </c>
      <c r="B87" s="107" t="s">
        <v>4207</v>
      </c>
      <c r="C87" s="78" t="s">
        <v>363</v>
      </c>
      <c r="D87" s="107" t="s">
        <v>86</v>
      </c>
      <c r="E87" s="99" t="s">
        <v>1691</v>
      </c>
      <c r="F87" s="100">
        <v>44081</v>
      </c>
      <c r="G87" s="117">
        <v>44562</v>
      </c>
      <c r="H87" s="101">
        <f t="shared" si="6"/>
        <v>44652</v>
      </c>
      <c r="I87" s="101" t="s">
        <v>291</v>
      </c>
      <c r="J87" s="12" t="s">
        <v>704</v>
      </c>
      <c r="K87" s="12" t="s">
        <v>4531</v>
      </c>
      <c r="L87" s="12" t="s">
        <v>1919</v>
      </c>
      <c r="M87" s="102" t="str">
        <f t="shared" si="7"/>
        <v>GONZALEZ CASTRO JUAN AUCENCIO</v>
      </c>
      <c r="N87" s="102" t="s">
        <v>6880</v>
      </c>
      <c r="O87" s="102" t="s">
        <v>4820</v>
      </c>
      <c r="P87" s="12" t="s">
        <v>1953</v>
      </c>
      <c r="Q87" s="100">
        <v>28255</v>
      </c>
      <c r="R87" s="77">
        <f t="shared" si="8"/>
        <v>10</v>
      </c>
      <c r="S87" s="77">
        <f t="shared" si="9"/>
        <v>5</v>
      </c>
      <c r="T87" s="77">
        <f t="shared" si="10"/>
        <v>1977</v>
      </c>
      <c r="U87" s="103">
        <f t="shared" ca="1" si="11"/>
        <v>49.457534246575342</v>
      </c>
      <c r="V87" s="13" t="s">
        <v>342</v>
      </c>
      <c r="W87" s="13" t="s">
        <v>2230</v>
      </c>
      <c r="X87" s="12" t="s">
        <v>693</v>
      </c>
      <c r="Y87" s="108" t="s">
        <v>216</v>
      </c>
      <c r="Z87" s="12" t="s">
        <v>246</v>
      </c>
      <c r="AA87" s="12" t="s">
        <v>857</v>
      </c>
      <c r="AB87" s="12" t="s">
        <v>1428</v>
      </c>
      <c r="AC87" s="12" t="s">
        <v>313</v>
      </c>
      <c r="AD87" s="12" t="s">
        <v>314</v>
      </c>
      <c r="AE87" s="12">
        <v>90</v>
      </c>
      <c r="AF87" s="13" t="s">
        <v>375</v>
      </c>
      <c r="AG87" s="12" t="s">
        <v>291</v>
      </c>
      <c r="AH87" s="104" t="s">
        <v>2348</v>
      </c>
      <c r="AI87" s="12" t="s">
        <v>317</v>
      </c>
      <c r="AJ87" s="12" t="s">
        <v>318</v>
      </c>
      <c r="AK87" s="12" t="s">
        <v>2832</v>
      </c>
      <c r="AL87" s="104" t="s">
        <v>3134</v>
      </c>
      <c r="AM87" s="12" t="s">
        <v>2603</v>
      </c>
      <c r="AN87" s="12" t="s">
        <v>381</v>
      </c>
      <c r="AO87" s="12" t="s">
        <v>327</v>
      </c>
      <c r="AP87" s="12"/>
      <c r="AQ87" s="12">
        <v>0</v>
      </c>
      <c r="AR87" s="12">
        <v>0</v>
      </c>
      <c r="AS87" s="12">
        <v>0</v>
      </c>
      <c r="AT87" s="12">
        <v>0</v>
      </c>
      <c r="AU87" s="12">
        <v>0</v>
      </c>
      <c r="AV87" s="12">
        <v>0</v>
      </c>
      <c r="AW87" s="12" t="s">
        <v>328</v>
      </c>
      <c r="AX87" s="12" t="s">
        <v>329</v>
      </c>
      <c r="AY87" s="12" t="s">
        <v>330</v>
      </c>
      <c r="AZ87" s="12"/>
      <c r="BA87" s="12" t="s">
        <v>3450</v>
      </c>
      <c r="BB87" s="12"/>
      <c r="BC87" s="12"/>
      <c r="BD87" s="12" t="s">
        <v>2603</v>
      </c>
      <c r="BE87" s="12" t="s">
        <v>381</v>
      </c>
      <c r="BF87" s="12" t="s">
        <v>3783</v>
      </c>
      <c r="BG87" s="12" t="s">
        <v>362</v>
      </c>
      <c r="BH87" s="12" t="s">
        <v>362</v>
      </c>
      <c r="BI87" s="12">
        <v>3</v>
      </c>
      <c r="BJ87" s="12" t="s">
        <v>3906</v>
      </c>
      <c r="BK87" s="12" t="s">
        <v>3911</v>
      </c>
      <c r="BL87" s="105">
        <v>22</v>
      </c>
      <c r="BM87" s="12"/>
      <c r="BN87" s="12" t="s">
        <v>1953</v>
      </c>
      <c r="BO87" s="105">
        <v>17</v>
      </c>
      <c r="BP87" s="12"/>
      <c r="BQ87" s="12" t="s">
        <v>3911</v>
      </c>
      <c r="BR87" s="12">
        <v>15</v>
      </c>
      <c r="BS87" s="12"/>
      <c r="BT87" s="12">
        <v>0</v>
      </c>
      <c r="BU87" s="12">
        <v>0</v>
      </c>
      <c r="BV87" s="12"/>
      <c r="BW87" s="12">
        <v>0</v>
      </c>
      <c r="BX87" s="12">
        <v>0</v>
      </c>
      <c r="BY87" s="12"/>
      <c r="BZ87" s="12">
        <v>0</v>
      </c>
      <c r="CA87" s="12"/>
      <c r="CB87" s="12"/>
      <c r="CC87" s="12"/>
      <c r="CD87" s="78"/>
    </row>
    <row r="88" spans="1:82" ht="13.9" customHeight="1" x14ac:dyDescent="0.2">
      <c r="A88" s="107">
        <v>229</v>
      </c>
      <c r="B88" s="107" t="s">
        <v>7245</v>
      </c>
      <c r="C88" s="78" t="s">
        <v>363</v>
      </c>
      <c r="D88" s="107" t="s">
        <v>86</v>
      </c>
      <c r="E88" s="99" t="s">
        <v>1636</v>
      </c>
      <c r="F88" s="100">
        <v>44095</v>
      </c>
      <c r="G88" s="117">
        <v>44396</v>
      </c>
      <c r="H88" s="101">
        <f t="shared" si="6"/>
        <v>44486</v>
      </c>
      <c r="I88" s="101" t="s">
        <v>290</v>
      </c>
      <c r="J88" s="12" t="s">
        <v>735</v>
      </c>
      <c r="K88" s="12" t="s">
        <v>4457</v>
      </c>
      <c r="L88" s="12" t="s">
        <v>1738</v>
      </c>
      <c r="M88" s="102" t="str">
        <f t="shared" si="7"/>
        <v>RIVERA NEGRETE ROMAN</v>
      </c>
      <c r="N88" s="102" t="s">
        <v>6881</v>
      </c>
      <c r="O88" s="102" t="s">
        <v>4596</v>
      </c>
      <c r="P88" s="12" t="s">
        <v>1953</v>
      </c>
      <c r="Q88" s="100">
        <v>29076</v>
      </c>
      <c r="R88" s="77">
        <f t="shared" si="8"/>
        <v>9</v>
      </c>
      <c r="S88" s="77">
        <f t="shared" si="9"/>
        <v>8</v>
      </c>
      <c r="T88" s="77">
        <f t="shared" si="10"/>
        <v>1979</v>
      </c>
      <c r="U88" s="103">
        <f t="shared" ca="1" si="11"/>
        <v>47.208219178082189</v>
      </c>
      <c r="V88" s="13" t="s">
        <v>342</v>
      </c>
      <c r="W88" s="13" t="s">
        <v>2007</v>
      </c>
      <c r="X88" s="12" t="s">
        <v>1497</v>
      </c>
      <c r="Y88" s="12" t="s">
        <v>87</v>
      </c>
      <c r="Z88" s="12" t="s">
        <v>88</v>
      </c>
      <c r="AA88" s="12" t="s">
        <v>392</v>
      </c>
      <c r="AB88" s="12" t="s">
        <v>374</v>
      </c>
      <c r="AC88" s="12" t="s">
        <v>313</v>
      </c>
      <c r="AD88" s="12" t="s">
        <v>314</v>
      </c>
      <c r="AE88" s="12">
        <v>90</v>
      </c>
      <c r="AF88" s="13" t="s">
        <v>375</v>
      </c>
      <c r="AG88" s="12" t="s">
        <v>290</v>
      </c>
      <c r="AH88" s="104" t="s">
        <v>2334</v>
      </c>
      <c r="AI88" s="12" t="s">
        <v>317</v>
      </c>
      <c r="AJ88" s="12" t="s">
        <v>318</v>
      </c>
      <c r="AK88" s="12" t="s">
        <v>2664</v>
      </c>
      <c r="AL88" s="104" t="s">
        <v>2914</v>
      </c>
      <c r="AM88" s="12" t="s">
        <v>2395</v>
      </c>
      <c r="AN88" s="12" t="s">
        <v>381</v>
      </c>
      <c r="AO88" s="12" t="s">
        <v>398</v>
      </c>
      <c r="AP88" s="12"/>
      <c r="AQ88" s="12">
        <v>0</v>
      </c>
      <c r="AR88" s="12">
        <v>0</v>
      </c>
      <c r="AS88" s="12">
        <v>0</v>
      </c>
      <c r="AT88" s="12">
        <v>0</v>
      </c>
      <c r="AU88" s="12">
        <v>0</v>
      </c>
      <c r="AV88" s="12">
        <v>0</v>
      </c>
      <c r="AW88" s="12" t="s">
        <v>328</v>
      </c>
      <c r="AX88" s="12" t="s">
        <v>357</v>
      </c>
      <c r="AY88" s="12" t="s">
        <v>330</v>
      </c>
      <c r="AZ88" s="12"/>
      <c r="BA88" s="12"/>
      <c r="BB88" s="12"/>
      <c r="BC88" s="12"/>
      <c r="BD88" s="12" t="s">
        <v>2395</v>
      </c>
      <c r="BE88" s="12" t="s">
        <v>381</v>
      </c>
      <c r="BF88" s="12">
        <v>0</v>
      </c>
      <c r="BG88" s="12" t="s">
        <v>333</v>
      </c>
      <c r="BH88" s="12" t="s">
        <v>362</v>
      </c>
      <c r="BI88" s="12">
        <v>2</v>
      </c>
      <c r="BJ88" s="12"/>
      <c r="BK88" s="12" t="s">
        <v>3911</v>
      </c>
      <c r="BL88" s="105">
        <v>19</v>
      </c>
      <c r="BM88" s="12"/>
      <c r="BN88" s="12" t="s">
        <v>3911</v>
      </c>
      <c r="BO88" s="105">
        <v>9</v>
      </c>
      <c r="BP88" s="12"/>
      <c r="BQ88" s="12">
        <v>0</v>
      </c>
      <c r="BR88" s="12">
        <v>0</v>
      </c>
      <c r="BS88" s="12"/>
      <c r="BT88" s="12">
        <v>0</v>
      </c>
      <c r="BU88" s="12">
        <v>0</v>
      </c>
      <c r="BV88" s="12"/>
      <c r="BW88" s="12">
        <v>0</v>
      </c>
      <c r="BX88" s="12">
        <v>0</v>
      </c>
      <c r="BY88" s="12"/>
      <c r="BZ88" s="12">
        <v>0</v>
      </c>
      <c r="CA88" s="12"/>
      <c r="CB88" s="12"/>
      <c r="CC88" s="12"/>
      <c r="CD88" s="78"/>
    </row>
    <row r="89" spans="1:82" ht="13.9" customHeight="1" x14ac:dyDescent="0.2">
      <c r="A89" s="12">
        <v>230</v>
      </c>
      <c r="B89" s="12" t="s">
        <v>4084</v>
      </c>
      <c r="C89" s="78" t="s">
        <v>335</v>
      </c>
      <c r="D89" s="107" t="s">
        <v>228</v>
      </c>
      <c r="E89" s="99" t="s">
        <v>1652</v>
      </c>
      <c r="F89" s="100">
        <v>44102</v>
      </c>
      <c r="G89" s="100">
        <v>44914</v>
      </c>
      <c r="H89" s="101">
        <f t="shared" si="6"/>
        <v>45004</v>
      </c>
      <c r="I89" s="101" t="s">
        <v>290</v>
      </c>
      <c r="J89" s="12" t="s">
        <v>366</v>
      </c>
      <c r="K89" s="12" t="s">
        <v>337</v>
      </c>
      <c r="L89" s="12" t="s">
        <v>1804</v>
      </c>
      <c r="M89" s="102" t="str">
        <f t="shared" si="7"/>
        <v>HERNANDEZ FLORES VICTOR EDUARDO</v>
      </c>
      <c r="N89" s="102" t="s">
        <v>6882</v>
      </c>
      <c r="O89" s="102" t="s">
        <v>4676</v>
      </c>
      <c r="P89" s="12" t="s">
        <v>1953</v>
      </c>
      <c r="Q89" s="100">
        <v>30610</v>
      </c>
      <c r="R89" s="77">
        <f t="shared" si="8"/>
        <v>21</v>
      </c>
      <c r="S89" s="77">
        <f t="shared" si="9"/>
        <v>10</v>
      </c>
      <c r="T89" s="77">
        <f t="shared" si="10"/>
        <v>1983</v>
      </c>
      <c r="U89" s="103">
        <f t="shared" ca="1" si="11"/>
        <v>43.005479452054793</v>
      </c>
      <c r="V89" s="13" t="s">
        <v>342</v>
      </c>
      <c r="W89" s="13" t="s">
        <v>2087</v>
      </c>
      <c r="X89" s="12" t="s">
        <v>1497</v>
      </c>
      <c r="Y89" s="121" t="s">
        <v>148</v>
      </c>
      <c r="Z89" s="12" t="s">
        <v>149</v>
      </c>
      <c r="AA89" s="12" t="s">
        <v>347</v>
      </c>
      <c r="AB89" s="12" t="s">
        <v>2293</v>
      </c>
      <c r="AC89" s="12" t="s">
        <v>313</v>
      </c>
      <c r="AD89" s="12" t="s">
        <v>314</v>
      </c>
      <c r="AE89" s="12">
        <v>90</v>
      </c>
      <c r="AF89" s="13" t="s">
        <v>949</v>
      </c>
      <c r="AG89" s="12" t="s">
        <v>290</v>
      </c>
      <c r="AH89" s="104" t="s">
        <v>414</v>
      </c>
      <c r="AI89" s="12" t="s">
        <v>317</v>
      </c>
      <c r="AJ89" s="12" t="s">
        <v>318</v>
      </c>
      <c r="AK89" s="12" t="s">
        <v>2717</v>
      </c>
      <c r="AL89" s="104" t="s">
        <v>2993</v>
      </c>
      <c r="AM89" s="12" t="s">
        <v>2469</v>
      </c>
      <c r="AN89" s="12" t="s">
        <v>381</v>
      </c>
      <c r="AO89" s="12" t="s">
        <v>327</v>
      </c>
      <c r="AP89" s="12"/>
      <c r="AQ89" s="12">
        <v>0</v>
      </c>
      <c r="AR89" s="12">
        <v>0</v>
      </c>
      <c r="AS89" s="12">
        <v>0</v>
      </c>
      <c r="AT89" s="12">
        <v>0</v>
      </c>
      <c r="AU89" s="12">
        <v>0</v>
      </c>
      <c r="AV89" s="12">
        <v>0</v>
      </c>
      <c r="AW89" s="12" t="s">
        <v>329</v>
      </c>
      <c r="AX89" s="12" t="s">
        <v>329</v>
      </c>
      <c r="AY89" s="12" t="s">
        <v>330</v>
      </c>
      <c r="AZ89" s="12"/>
      <c r="BA89" s="12"/>
      <c r="BB89" s="12"/>
      <c r="BC89" s="12"/>
      <c r="BD89" s="12" t="s">
        <v>2469</v>
      </c>
      <c r="BE89" s="12" t="s">
        <v>381</v>
      </c>
      <c r="BF89" s="12" t="s">
        <v>3667</v>
      </c>
      <c r="BG89" s="12" t="s">
        <v>488</v>
      </c>
      <c r="BH89" s="12" t="s">
        <v>362</v>
      </c>
      <c r="BI89" s="12">
        <v>4</v>
      </c>
      <c r="BJ89" s="12" t="s">
        <v>3861</v>
      </c>
      <c r="BK89" s="12" t="s">
        <v>3911</v>
      </c>
      <c r="BL89" s="105">
        <v>18</v>
      </c>
      <c r="BM89" s="12"/>
      <c r="BN89" s="12" t="s">
        <v>1953</v>
      </c>
      <c r="BO89" s="105">
        <v>15</v>
      </c>
      <c r="BP89" s="12"/>
      <c r="BQ89" s="12" t="s">
        <v>1953</v>
      </c>
      <c r="BR89" s="12">
        <v>12</v>
      </c>
      <c r="BS89" s="12"/>
      <c r="BT89" s="12" t="s">
        <v>571</v>
      </c>
      <c r="BU89" s="12"/>
      <c r="BV89" s="12"/>
      <c r="BW89" s="12" t="s">
        <v>571</v>
      </c>
      <c r="BX89" s="12"/>
      <c r="BY89" s="12"/>
      <c r="BZ89" s="12"/>
      <c r="CA89" s="12"/>
      <c r="CB89" s="12"/>
      <c r="CC89" s="12"/>
      <c r="CD89" s="78"/>
    </row>
    <row r="90" spans="1:82" ht="13.9" customHeight="1" x14ac:dyDescent="0.2">
      <c r="A90" s="12">
        <v>232</v>
      </c>
      <c r="B90" s="12" t="s">
        <v>4050</v>
      </c>
      <c r="C90" s="78" t="s">
        <v>335</v>
      </c>
      <c r="D90" s="99" t="s">
        <v>105</v>
      </c>
      <c r="E90" s="99" t="s">
        <v>6502</v>
      </c>
      <c r="F90" s="100">
        <v>44117</v>
      </c>
      <c r="G90" s="100">
        <v>44921</v>
      </c>
      <c r="H90" s="101">
        <f t="shared" si="6"/>
        <v>45011</v>
      </c>
      <c r="I90" s="101" t="s">
        <v>290</v>
      </c>
      <c r="J90" s="12" t="s">
        <v>928</v>
      </c>
      <c r="K90" s="12" t="s">
        <v>735</v>
      </c>
      <c r="L90" s="12" t="s">
        <v>1770</v>
      </c>
      <c r="M90" s="153" t="str">
        <f t="shared" si="7"/>
        <v>GALLEGOS RIVERA EMMANUEL</v>
      </c>
      <c r="N90" s="102" t="s">
        <v>6883</v>
      </c>
      <c r="O90" s="102" t="s">
        <v>4632</v>
      </c>
      <c r="P90" s="12" t="s">
        <v>1953</v>
      </c>
      <c r="Q90" s="100">
        <v>31683</v>
      </c>
      <c r="R90" s="77">
        <f t="shared" si="8"/>
        <v>28</v>
      </c>
      <c r="S90" s="77">
        <f t="shared" si="9"/>
        <v>9</v>
      </c>
      <c r="T90" s="77">
        <f t="shared" si="10"/>
        <v>1986</v>
      </c>
      <c r="U90" s="103">
        <f t="shared" ca="1" si="11"/>
        <v>40.065753424657537</v>
      </c>
      <c r="V90" s="13" t="s">
        <v>342</v>
      </c>
      <c r="W90" s="13" t="s">
        <v>2044</v>
      </c>
      <c r="X90" s="12" t="s">
        <v>454</v>
      </c>
      <c r="Y90" s="12" t="s">
        <v>112</v>
      </c>
      <c r="Z90" s="12" t="s">
        <v>111</v>
      </c>
      <c r="AA90" s="12" t="s">
        <v>347</v>
      </c>
      <c r="AB90" s="12" t="s">
        <v>2287</v>
      </c>
      <c r="AC90" s="12" t="s">
        <v>313</v>
      </c>
      <c r="AD90" s="12" t="s">
        <v>349</v>
      </c>
      <c r="AE90" s="12">
        <v>90</v>
      </c>
      <c r="AF90" s="13" t="s">
        <v>859</v>
      </c>
      <c r="AG90" s="12" t="s">
        <v>290</v>
      </c>
      <c r="AH90" s="104" t="s">
        <v>2337</v>
      </c>
      <c r="AI90" s="12" t="s">
        <v>317</v>
      </c>
      <c r="AJ90" s="12" t="s">
        <v>318</v>
      </c>
      <c r="AK90" s="12" t="s">
        <v>2690</v>
      </c>
      <c r="AL90" s="104" t="s">
        <v>2950</v>
      </c>
      <c r="AM90" s="12" t="s">
        <v>2431</v>
      </c>
      <c r="AN90" s="12" t="s">
        <v>381</v>
      </c>
      <c r="AO90" s="12" t="s">
        <v>398</v>
      </c>
      <c r="AP90" s="12"/>
      <c r="AQ90" s="12">
        <v>0</v>
      </c>
      <c r="AR90" s="12">
        <v>0</v>
      </c>
      <c r="AS90" s="12">
        <v>0</v>
      </c>
      <c r="AT90" s="12">
        <v>0</v>
      </c>
      <c r="AU90" s="12">
        <v>0</v>
      </c>
      <c r="AV90" s="12">
        <v>0</v>
      </c>
      <c r="AW90" s="12" t="s">
        <v>328</v>
      </c>
      <c r="AX90" s="12" t="s">
        <v>357</v>
      </c>
      <c r="AY90" s="12" t="s">
        <v>330</v>
      </c>
      <c r="AZ90" s="12"/>
      <c r="BA90" s="12"/>
      <c r="BB90" s="12"/>
      <c r="BC90" s="12"/>
      <c r="BD90" s="12" t="s">
        <v>2431</v>
      </c>
      <c r="BE90" s="12" t="s">
        <v>381</v>
      </c>
      <c r="BF90" s="12" t="s">
        <v>3638</v>
      </c>
      <c r="BG90" s="12" t="s">
        <v>362</v>
      </c>
      <c r="BH90" s="12" t="s">
        <v>3814</v>
      </c>
      <c r="BI90" s="12">
        <v>4</v>
      </c>
      <c r="BJ90" s="12" t="s">
        <v>3852</v>
      </c>
      <c r="BK90" s="12" t="s">
        <v>3911</v>
      </c>
      <c r="BL90" s="105" t="s">
        <v>3941</v>
      </c>
      <c r="BM90" s="12"/>
      <c r="BN90" s="12" t="s">
        <v>3911</v>
      </c>
      <c r="BO90" s="105" t="s">
        <v>3921</v>
      </c>
      <c r="BP90" s="12"/>
      <c r="BQ90" s="12" t="s">
        <v>3911</v>
      </c>
      <c r="BR90" s="12" t="s">
        <v>3922</v>
      </c>
      <c r="BS90" s="12"/>
      <c r="BT90" s="12" t="s">
        <v>3911</v>
      </c>
      <c r="BU90" s="12"/>
      <c r="BV90" s="12"/>
      <c r="BW90" s="12" t="s">
        <v>3911</v>
      </c>
      <c r="BX90" s="12">
        <v>0</v>
      </c>
      <c r="BY90" s="12"/>
      <c r="BZ90" s="12">
        <v>0</v>
      </c>
      <c r="CA90" s="12"/>
      <c r="CB90" s="12"/>
      <c r="CC90" s="12"/>
      <c r="CD90" s="78"/>
    </row>
    <row r="91" spans="1:82" ht="13.9" customHeight="1" x14ac:dyDescent="0.2">
      <c r="A91" s="107">
        <v>235</v>
      </c>
      <c r="B91" s="107" t="s">
        <v>4213</v>
      </c>
      <c r="C91" s="78" t="s">
        <v>363</v>
      </c>
      <c r="D91" s="107" t="s">
        <v>98</v>
      </c>
      <c r="E91" s="99" t="s">
        <v>6503</v>
      </c>
      <c r="F91" s="100">
        <v>44152</v>
      </c>
      <c r="G91" s="117">
        <v>44562</v>
      </c>
      <c r="H91" s="101">
        <f t="shared" si="6"/>
        <v>44652</v>
      </c>
      <c r="I91" s="101" t="s">
        <v>291</v>
      </c>
      <c r="J91" s="12" t="s">
        <v>1281</v>
      </c>
      <c r="K91" s="12" t="s">
        <v>4400</v>
      </c>
      <c r="L91" s="12" t="s">
        <v>1710</v>
      </c>
      <c r="M91" s="102" t="str">
        <f t="shared" si="7"/>
        <v>GUZMAN SILVA FRANCISCO JAVIER</v>
      </c>
      <c r="N91" s="102" t="s">
        <v>6884</v>
      </c>
      <c r="O91" s="102" t="s">
        <v>4825</v>
      </c>
      <c r="P91" s="12" t="s">
        <v>1953</v>
      </c>
      <c r="Q91" s="100">
        <v>27102</v>
      </c>
      <c r="R91" s="77">
        <f t="shared" si="8"/>
        <v>14</v>
      </c>
      <c r="S91" s="77">
        <f t="shared" si="9"/>
        <v>3</v>
      </c>
      <c r="T91" s="77">
        <f t="shared" si="10"/>
        <v>1974</v>
      </c>
      <c r="U91" s="103">
        <f t="shared" ca="1" si="11"/>
        <v>52.61643835616438</v>
      </c>
      <c r="V91" s="13" t="s">
        <v>342</v>
      </c>
      <c r="W91" s="13" t="s">
        <v>2236</v>
      </c>
      <c r="X91" s="12" t="s">
        <v>1497</v>
      </c>
      <c r="Y91" s="107" t="s">
        <v>216</v>
      </c>
      <c r="Z91" s="12" t="s">
        <v>255</v>
      </c>
      <c r="AA91" s="12" t="s">
        <v>636</v>
      </c>
      <c r="AB91" s="12" t="s">
        <v>2313</v>
      </c>
      <c r="AC91" s="12" t="s">
        <v>313</v>
      </c>
      <c r="AD91" s="12" t="s">
        <v>314</v>
      </c>
      <c r="AE91" s="12">
        <v>90</v>
      </c>
      <c r="AF91" s="13" t="s">
        <v>597</v>
      </c>
      <c r="AG91" s="12" t="s">
        <v>291</v>
      </c>
      <c r="AH91" s="104" t="s">
        <v>598</v>
      </c>
      <c r="AI91" s="12" t="s">
        <v>317</v>
      </c>
      <c r="AJ91" s="12" t="s">
        <v>318</v>
      </c>
      <c r="AK91" s="12" t="s">
        <v>2837</v>
      </c>
      <c r="AL91" s="104" t="s">
        <v>3140</v>
      </c>
      <c r="AM91" s="12" t="s">
        <v>2608</v>
      </c>
      <c r="AN91" s="12" t="s">
        <v>381</v>
      </c>
      <c r="AO91" s="12" t="s">
        <v>398</v>
      </c>
      <c r="AP91" s="12"/>
      <c r="AQ91" s="12">
        <v>0</v>
      </c>
      <c r="AR91" s="12">
        <v>0</v>
      </c>
      <c r="AS91" s="12">
        <v>0</v>
      </c>
      <c r="AT91" s="12">
        <v>0</v>
      </c>
      <c r="AU91" s="12">
        <v>0</v>
      </c>
      <c r="AV91" s="12">
        <v>0</v>
      </c>
      <c r="AW91" s="12" t="s">
        <v>328</v>
      </c>
      <c r="AX91" s="12" t="s">
        <v>357</v>
      </c>
      <c r="AY91" s="12" t="s">
        <v>330</v>
      </c>
      <c r="AZ91" s="12"/>
      <c r="BA91" s="12"/>
      <c r="BB91" s="12"/>
      <c r="BC91" s="12"/>
      <c r="BD91" s="12" t="s">
        <v>2608</v>
      </c>
      <c r="BE91" s="12" t="s">
        <v>381</v>
      </c>
      <c r="BF91" s="12" t="s">
        <v>3788</v>
      </c>
      <c r="BG91" s="12" t="s">
        <v>333</v>
      </c>
      <c r="BH91" s="12" t="s">
        <v>362</v>
      </c>
      <c r="BI91" s="12">
        <v>3</v>
      </c>
      <c r="BJ91" s="12" t="s">
        <v>3907</v>
      </c>
      <c r="BK91" s="12" t="s">
        <v>3911</v>
      </c>
      <c r="BL91" s="105" t="s">
        <v>3958</v>
      </c>
      <c r="BM91" s="12"/>
      <c r="BN91" s="12" t="s">
        <v>571</v>
      </c>
      <c r="BO91" s="105" t="s">
        <v>3959</v>
      </c>
      <c r="BP91" s="12"/>
      <c r="BQ91" s="12" t="s">
        <v>571</v>
      </c>
      <c r="BR91" s="12" t="s">
        <v>3962</v>
      </c>
      <c r="BS91" s="12"/>
      <c r="BT91" s="12">
        <v>0</v>
      </c>
      <c r="BU91" s="12">
        <v>0</v>
      </c>
      <c r="BV91" s="12"/>
      <c r="BW91" s="12">
        <v>0</v>
      </c>
      <c r="BX91" s="12">
        <v>0</v>
      </c>
      <c r="BY91" s="12"/>
      <c r="BZ91" s="12">
        <v>0</v>
      </c>
      <c r="CA91" s="12"/>
      <c r="CB91" s="12"/>
      <c r="CC91" s="12"/>
      <c r="CD91" s="78"/>
    </row>
    <row r="92" spans="1:82" ht="13.9" customHeight="1" x14ac:dyDescent="0.2">
      <c r="A92" s="107">
        <v>237</v>
      </c>
      <c r="B92" s="107" t="s">
        <v>3968</v>
      </c>
      <c r="C92" s="104" t="s">
        <v>299</v>
      </c>
      <c r="D92" s="99" t="s">
        <v>80</v>
      </c>
      <c r="E92" s="99" t="s">
        <v>6504</v>
      </c>
      <c r="F92" s="100">
        <v>44223</v>
      </c>
      <c r="G92" s="117">
        <v>44396</v>
      </c>
      <c r="H92" s="101">
        <f t="shared" si="6"/>
        <v>44486</v>
      </c>
      <c r="I92" s="101" t="s">
        <v>290</v>
      </c>
      <c r="J92" s="12" t="s">
        <v>366</v>
      </c>
      <c r="K92" s="12" t="s">
        <v>366</v>
      </c>
      <c r="L92" s="12" t="s">
        <v>1706</v>
      </c>
      <c r="M92" s="102" t="str">
        <f t="shared" si="7"/>
        <v>HERNANDEZ HERNANDEZ RENE</v>
      </c>
      <c r="N92" s="102" t="s">
        <v>6885</v>
      </c>
      <c r="O92" s="102" t="s">
        <v>4554</v>
      </c>
      <c r="P92" s="12" t="s">
        <v>1953</v>
      </c>
      <c r="Q92" s="100">
        <v>35288</v>
      </c>
      <c r="R92" s="77">
        <f t="shared" si="8"/>
        <v>11</v>
      </c>
      <c r="S92" s="77">
        <f t="shared" si="9"/>
        <v>8</v>
      </c>
      <c r="T92" s="77">
        <f t="shared" si="10"/>
        <v>1996</v>
      </c>
      <c r="U92" s="103">
        <f t="shared" ca="1" si="11"/>
        <v>30.18904109589041</v>
      </c>
      <c r="V92" s="13" t="s">
        <v>342</v>
      </c>
      <c r="W92" s="13" t="s">
        <v>1964</v>
      </c>
      <c r="X92" s="12" t="s">
        <v>1497</v>
      </c>
      <c r="Y92" s="108" t="s">
        <v>76</v>
      </c>
      <c r="Z92" s="12" t="s">
        <v>73</v>
      </c>
      <c r="AA92" s="12" t="s">
        <v>311</v>
      </c>
      <c r="AB92" s="12" t="s">
        <v>312</v>
      </c>
      <c r="AC92" s="12" t="s">
        <v>313</v>
      </c>
      <c r="AD92" s="12" t="s">
        <v>314</v>
      </c>
      <c r="AE92" s="12">
        <v>90</v>
      </c>
      <c r="AF92" s="13" t="s">
        <v>315</v>
      </c>
      <c r="AG92" s="12" t="s">
        <v>290</v>
      </c>
      <c r="AH92" s="104" t="s">
        <v>316</v>
      </c>
      <c r="AI92" s="12" t="s">
        <v>317</v>
      </c>
      <c r="AJ92" s="12" t="s">
        <v>318</v>
      </c>
      <c r="AK92" s="12" t="s">
        <v>2639</v>
      </c>
      <c r="AL92" s="104" t="s">
        <v>2872</v>
      </c>
      <c r="AM92" s="12" t="s">
        <v>2355</v>
      </c>
      <c r="AN92" s="12" t="s">
        <v>381</v>
      </c>
      <c r="AO92" s="12" t="s">
        <v>398</v>
      </c>
      <c r="AP92" s="12"/>
      <c r="AQ92" s="12">
        <v>0</v>
      </c>
      <c r="AR92" s="12">
        <v>0</v>
      </c>
      <c r="AS92" s="12">
        <v>0</v>
      </c>
      <c r="AT92" s="12">
        <v>0</v>
      </c>
      <c r="AU92" s="12">
        <v>0</v>
      </c>
      <c r="AV92" s="12">
        <v>0</v>
      </c>
      <c r="AW92" s="12" t="s">
        <v>328</v>
      </c>
      <c r="AX92" s="12" t="s">
        <v>329</v>
      </c>
      <c r="AY92" s="12" t="s">
        <v>330</v>
      </c>
      <c r="AZ92" s="12"/>
      <c r="BA92" s="12"/>
      <c r="BB92" s="12"/>
      <c r="BC92" s="12"/>
      <c r="BD92" s="12" t="s">
        <v>2355</v>
      </c>
      <c r="BE92" s="12" t="s">
        <v>381</v>
      </c>
      <c r="BF92" s="12" t="s">
        <v>3587</v>
      </c>
      <c r="BG92" s="12" t="s">
        <v>333</v>
      </c>
      <c r="BH92" s="12" t="s">
        <v>334</v>
      </c>
      <c r="BI92" s="12">
        <v>1</v>
      </c>
      <c r="BJ92" s="12" t="s">
        <v>3829</v>
      </c>
      <c r="BK92" s="12" t="s">
        <v>3911</v>
      </c>
      <c r="BL92" s="105" t="s">
        <v>3919</v>
      </c>
      <c r="BM92" s="12"/>
      <c r="BN92" s="12">
        <v>0</v>
      </c>
      <c r="BO92" s="105">
        <v>0</v>
      </c>
      <c r="BP92" s="12"/>
      <c r="BQ92" s="12">
        <v>0</v>
      </c>
      <c r="BR92" s="12">
        <v>0</v>
      </c>
      <c r="BS92" s="12"/>
      <c r="BT92" s="12">
        <v>0</v>
      </c>
      <c r="BU92" s="12">
        <v>0</v>
      </c>
      <c r="BV92" s="12"/>
      <c r="BW92" s="12">
        <v>0</v>
      </c>
      <c r="BX92" s="12">
        <v>0</v>
      </c>
      <c r="BY92" s="12"/>
      <c r="BZ92" s="12">
        <v>0</v>
      </c>
      <c r="CA92" s="12"/>
      <c r="CB92" s="12"/>
      <c r="CC92" s="12"/>
      <c r="CD92" s="78"/>
    </row>
    <row r="93" spans="1:82" ht="13.9" customHeight="1" x14ac:dyDescent="0.2">
      <c r="A93" s="12">
        <v>239</v>
      </c>
      <c r="B93" s="12" t="s">
        <v>4098</v>
      </c>
      <c r="C93" s="78" t="s">
        <v>335</v>
      </c>
      <c r="D93" s="99" t="s">
        <v>86</v>
      </c>
      <c r="E93" s="99" t="s">
        <v>6743</v>
      </c>
      <c r="F93" s="100">
        <v>44263</v>
      </c>
      <c r="G93" s="100">
        <v>44921</v>
      </c>
      <c r="H93" s="101">
        <f t="shared" si="6"/>
        <v>45011</v>
      </c>
      <c r="I93" s="101" t="s">
        <v>290</v>
      </c>
      <c r="J93" s="12" t="s">
        <v>851</v>
      </c>
      <c r="K93" s="12" t="s">
        <v>793</v>
      </c>
      <c r="L93" s="12" t="s">
        <v>1818</v>
      </c>
      <c r="M93" s="102" t="str">
        <f t="shared" si="7"/>
        <v>LOPEZ  LOPEZ JUAN MARCELO</v>
      </c>
      <c r="N93" s="102" t="s">
        <v>7154</v>
      </c>
      <c r="O93" s="102" t="s">
        <v>4694</v>
      </c>
      <c r="P93" s="12" t="s">
        <v>1953</v>
      </c>
      <c r="Q93" s="100">
        <v>26680</v>
      </c>
      <c r="R93" s="77">
        <f t="shared" si="8"/>
        <v>16</v>
      </c>
      <c r="S93" s="77">
        <f t="shared" si="9"/>
        <v>1</v>
      </c>
      <c r="T93" s="77">
        <f t="shared" si="10"/>
        <v>1973</v>
      </c>
      <c r="U93" s="103">
        <f t="shared" ca="1" si="11"/>
        <v>53.772602739726025</v>
      </c>
      <c r="V93" s="13" t="s">
        <v>342</v>
      </c>
      <c r="W93" s="13" t="s">
        <v>2105</v>
      </c>
      <c r="X93" s="12" t="s">
        <v>1497</v>
      </c>
      <c r="Y93" s="12" t="s">
        <v>155</v>
      </c>
      <c r="Z93" s="12" t="s">
        <v>153</v>
      </c>
      <c r="AA93" s="12" t="s">
        <v>347</v>
      </c>
      <c r="AB93" s="12" t="s">
        <v>842</v>
      </c>
      <c r="AC93" s="12" t="s">
        <v>313</v>
      </c>
      <c r="AD93" s="12" t="s">
        <v>314</v>
      </c>
      <c r="AE93" s="12">
        <v>90</v>
      </c>
      <c r="AF93" s="13" t="s">
        <v>315</v>
      </c>
      <c r="AG93" s="12" t="s">
        <v>290</v>
      </c>
      <c r="AH93" s="104" t="s">
        <v>2342</v>
      </c>
      <c r="AI93" s="12" t="s">
        <v>317</v>
      </c>
      <c r="AJ93" s="12" t="s">
        <v>318</v>
      </c>
      <c r="AK93" s="12" t="s">
        <v>2730</v>
      </c>
      <c r="AL93" s="104" t="s">
        <v>3011</v>
      </c>
      <c r="AM93" s="12" t="s">
        <v>2482</v>
      </c>
      <c r="AN93" s="12" t="s">
        <v>381</v>
      </c>
      <c r="AO93" s="12" t="s">
        <v>398</v>
      </c>
      <c r="AP93" s="12"/>
      <c r="AQ93" s="12">
        <v>0</v>
      </c>
      <c r="AR93" s="12">
        <v>0</v>
      </c>
      <c r="AS93" s="12">
        <v>0</v>
      </c>
      <c r="AT93" s="12">
        <v>0</v>
      </c>
      <c r="AU93" s="12">
        <v>0</v>
      </c>
      <c r="AV93" s="12">
        <v>0</v>
      </c>
      <c r="AW93" s="12" t="s">
        <v>328</v>
      </c>
      <c r="AX93" s="12" t="s">
        <v>329</v>
      </c>
      <c r="AY93" s="12" t="s">
        <v>330</v>
      </c>
      <c r="AZ93" s="12"/>
      <c r="BA93" s="12"/>
      <c r="BB93" s="12"/>
      <c r="BC93" s="12"/>
      <c r="BD93" s="12" t="s">
        <v>2482</v>
      </c>
      <c r="BE93" s="12" t="s">
        <v>381</v>
      </c>
      <c r="BF93" s="12" t="s">
        <v>3684</v>
      </c>
      <c r="BG93" s="12" t="s">
        <v>333</v>
      </c>
      <c r="BH93" s="12" t="s">
        <v>362</v>
      </c>
      <c r="BI93" s="12">
        <v>3</v>
      </c>
      <c r="BJ93" s="12" t="s">
        <v>3869</v>
      </c>
      <c r="BK93" s="12" t="s">
        <v>3911</v>
      </c>
      <c r="BL93" s="105">
        <v>0</v>
      </c>
      <c r="BM93" s="12"/>
      <c r="BN93" s="12">
        <v>0</v>
      </c>
      <c r="BO93" s="105">
        <v>0</v>
      </c>
      <c r="BP93" s="12"/>
      <c r="BQ93" s="12">
        <v>0</v>
      </c>
      <c r="BR93" s="12">
        <v>0</v>
      </c>
      <c r="BS93" s="12"/>
      <c r="BT93" s="12">
        <v>0</v>
      </c>
      <c r="BU93" s="12">
        <v>0</v>
      </c>
      <c r="BV93" s="12"/>
      <c r="BW93" s="12">
        <v>0</v>
      </c>
      <c r="BX93" s="12">
        <v>0</v>
      </c>
      <c r="BY93" s="12"/>
      <c r="BZ93" s="12">
        <v>0</v>
      </c>
      <c r="CA93" s="12"/>
      <c r="CB93" s="12"/>
      <c r="CC93" s="12"/>
      <c r="CD93" s="78"/>
    </row>
    <row r="94" spans="1:82" s="116" customFormat="1" ht="13.9" customHeight="1" x14ac:dyDescent="0.2">
      <c r="A94" s="109">
        <v>240</v>
      </c>
      <c r="B94" s="109" t="s">
        <v>7246</v>
      </c>
      <c r="C94" s="110" t="s">
        <v>363</v>
      </c>
      <c r="D94" s="109" t="s">
        <v>86</v>
      </c>
      <c r="E94" s="111" t="s">
        <v>6505</v>
      </c>
      <c r="F94" s="112">
        <v>44277</v>
      </c>
      <c r="G94" s="112">
        <v>44396</v>
      </c>
      <c r="H94" s="113">
        <f t="shared" si="6"/>
        <v>44486</v>
      </c>
      <c r="I94" s="113" t="s">
        <v>290</v>
      </c>
      <c r="J94" s="109" t="s">
        <v>1280</v>
      </c>
      <c r="K94" s="109" t="s">
        <v>4440</v>
      </c>
      <c r="L94" s="109" t="s">
        <v>1739</v>
      </c>
      <c r="M94" s="128" t="str">
        <f t="shared" si="7"/>
        <v>RAMIREZ GUTIERREZ MIGUEL</v>
      </c>
      <c r="N94" s="128" t="s">
        <v>6886</v>
      </c>
      <c r="O94" s="128" t="s">
        <v>4597</v>
      </c>
      <c r="P94" s="109" t="s">
        <v>1953</v>
      </c>
      <c r="Q94" s="112">
        <v>34470</v>
      </c>
      <c r="R94" s="125">
        <f t="shared" si="8"/>
        <v>16</v>
      </c>
      <c r="S94" s="125">
        <f t="shared" si="9"/>
        <v>5</v>
      </c>
      <c r="T94" s="125">
        <f t="shared" si="10"/>
        <v>1994</v>
      </c>
      <c r="U94" s="142">
        <f t="shared" ca="1" si="11"/>
        <v>32.43013698630137</v>
      </c>
      <c r="V94" s="114" t="s">
        <v>389</v>
      </c>
      <c r="W94" s="114" t="s">
        <v>2008</v>
      </c>
      <c r="X94" s="109" t="s">
        <v>1497</v>
      </c>
      <c r="Y94" s="109" t="s">
        <v>91</v>
      </c>
      <c r="Z94" s="109" t="s">
        <v>90</v>
      </c>
      <c r="AA94" s="109" t="s">
        <v>455</v>
      </c>
      <c r="AB94" s="109" t="s">
        <v>374</v>
      </c>
      <c r="AC94" s="109" t="s">
        <v>313</v>
      </c>
      <c r="AD94" s="109" t="s">
        <v>314</v>
      </c>
      <c r="AE94" s="109">
        <v>90</v>
      </c>
      <c r="AF94" s="114" t="s">
        <v>375</v>
      </c>
      <c r="AG94" s="109" t="s">
        <v>290</v>
      </c>
      <c r="AH94" s="115" t="s">
        <v>2335</v>
      </c>
      <c r="AI94" s="109" t="s">
        <v>317</v>
      </c>
      <c r="AJ94" s="109" t="s">
        <v>318</v>
      </c>
      <c r="AK94" s="109">
        <v>4442911987</v>
      </c>
      <c r="AL94" s="115" t="s">
        <v>2915</v>
      </c>
      <c r="AM94" s="109" t="s">
        <v>2396</v>
      </c>
      <c r="AN94" s="109" t="s">
        <v>3177</v>
      </c>
      <c r="AO94" s="109" t="s">
        <v>398</v>
      </c>
      <c r="AP94" s="109"/>
      <c r="AQ94" s="109">
        <v>0</v>
      </c>
      <c r="AR94" s="109">
        <v>0</v>
      </c>
      <c r="AS94" s="109">
        <v>0</v>
      </c>
      <c r="AT94" s="109">
        <v>0</v>
      </c>
      <c r="AU94" s="109">
        <v>0</v>
      </c>
      <c r="AV94" s="109">
        <v>0</v>
      </c>
      <c r="AW94" s="109" t="s">
        <v>328</v>
      </c>
      <c r="AX94" s="109" t="s">
        <v>357</v>
      </c>
      <c r="AY94" s="109" t="s">
        <v>330</v>
      </c>
      <c r="AZ94" s="109"/>
      <c r="BA94" s="109"/>
      <c r="BB94" s="109"/>
      <c r="BC94" s="109"/>
      <c r="BD94" s="109" t="s">
        <v>3469</v>
      </c>
      <c r="BE94" s="109" t="s">
        <v>439</v>
      </c>
      <c r="BF94" s="109">
        <v>4445105041</v>
      </c>
      <c r="BG94" s="109" t="s">
        <v>333</v>
      </c>
      <c r="BH94" s="109" t="s">
        <v>3819</v>
      </c>
      <c r="BI94" s="109">
        <v>1</v>
      </c>
      <c r="BJ94" s="109"/>
      <c r="BK94" s="109" t="s">
        <v>3911</v>
      </c>
      <c r="BL94" s="111">
        <v>9</v>
      </c>
      <c r="BM94" s="109"/>
      <c r="BN94" s="109">
        <v>0</v>
      </c>
      <c r="BO94" s="111">
        <v>0</v>
      </c>
      <c r="BP94" s="109"/>
      <c r="BQ94" s="109">
        <v>0</v>
      </c>
      <c r="BR94" s="109">
        <v>0</v>
      </c>
      <c r="BS94" s="109"/>
      <c r="BT94" s="109">
        <v>0</v>
      </c>
      <c r="BU94" s="109">
        <v>0</v>
      </c>
      <c r="BV94" s="109"/>
      <c r="BW94" s="109">
        <v>0</v>
      </c>
      <c r="BX94" s="109">
        <v>0</v>
      </c>
      <c r="BY94" s="109"/>
      <c r="BZ94" s="109">
        <v>0</v>
      </c>
      <c r="CA94" s="109"/>
      <c r="CB94" s="109"/>
      <c r="CC94" s="109"/>
      <c r="CD94" s="110"/>
    </row>
    <row r="95" spans="1:82" ht="13.9" customHeight="1" x14ac:dyDescent="0.2">
      <c r="A95" s="12">
        <v>243</v>
      </c>
      <c r="B95" s="12" t="s">
        <v>4116</v>
      </c>
      <c r="C95" s="78" t="s">
        <v>335</v>
      </c>
      <c r="D95" s="99" t="s">
        <v>161</v>
      </c>
      <c r="E95" s="99" t="s">
        <v>6744</v>
      </c>
      <c r="F95" s="100">
        <v>44284</v>
      </c>
      <c r="G95" s="100">
        <v>44914</v>
      </c>
      <c r="H95" s="101">
        <f t="shared" si="6"/>
        <v>45004</v>
      </c>
      <c r="I95" s="101" t="s">
        <v>290</v>
      </c>
      <c r="J95" s="12" t="s">
        <v>4383</v>
      </c>
      <c r="K95" s="12" t="s">
        <v>446</v>
      </c>
      <c r="L95" s="12" t="s">
        <v>1833</v>
      </c>
      <c r="M95" s="102" t="str">
        <f t="shared" si="7"/>
        <v>MARTINEZ  CRUZ FROYLAN</v>
      </c>
      <c r="N95" s="102" t="s">
        <v>7155</v>
      </c>
      <c r="O95" s="102" t="s">
        <v>4712</v>
      </c>
      <c r="P95" s="12" t="s">
        <v>1953</v>
      </c>
      <c r="Q95" s="100">
        <v>29512</v>
      </c>
      <c r="R95" s="77">
        <f t="shared" si="8"/>
        <v>18</v>
      </c>
      <c r="S95" s="77">
        <f t="shared" si="9"/>
        <v>10</v>
      </c>
      <c r="T95" s="77">
        <f t="shared" si="10"/>
        <v>1980</v>
      </c>
      <c r="U95" s="103">
        <f t="shared" ca="1" si="11"/>
        <v>46.013698630136986</v>
      </c>
      <c r="V95" s="13" t="s">
        <v>452</v>
      </c>
      <c r="W95" s="13" t="s">
        <v>2123</v>
      </c>
      <c r="X95" s="12" t="s">
        <v>1497</v>
      </c>
      <c r="Y95" s="12" t="s">
        <v>113</v>
      </c>
      <c r="Z95" s="12" t="s">
        <v>164</v>
      </c>
      <c r="AA95" s="12" t="s">
        <v>347</v>
      </c>
      <c r="AB95" s="12" t="s">
        <v>2297</v>
      </c>
      <c r="AC95" s="12" t="s">
        <v>313</v>
      </c>
      <c r="AD95" s="12" t="s">
        <v>314</v>
      </c>
      <c r="AE95" s="12">
        <v>90</v>
      </c>
      <c r="AF95" s="13" t="s">
        <v>2330</v>
      </c>
      <c r="AG95" s="12" t="s">
        <v>290</v>
      </c>
      <c r="AH95" s="104" t="s">
        <v>2343</v>
      </c>
      <c r="AI95" s="12" t="s">
        <v>317</v>
      </c>
      <c r="AJ95" s="12" t="s">
        <v>318</v>
      </c>
      <c r="AK95" s="12" t="s">
        <v>2742</v>
      </c>
      <c r="AL95" s="104" t="s">
        <v>3029</v>
      </c>
      <c r="AM95" s="12" t="s">
        <v>2500</v>
      </c>
      <c r="AN95" s="12" t="s">
        <v>478</v>
      </c>
      <c r="AO95" s="12" t="s">
        <v>398</v>
      </c>
      <c r="AP95" s="12"/>
      <c r="AQ95" s="12">
        <v>0</v>
      </c>
      <c r="AR95" s="12">
        <v>0</v>
      </c>
      <c r="AS95" s="12">
        <v>0</v>
      </c>
      <c r="AT95" s="12">
        <v>0</v>
      </c>
      <c r="AU95" s="12">
        <v>0</v>
      </c>
      <c r="AV95" s="12">
        <v>0</v>
      </c>
      <c r="AW95" s="12" t="s">
        <v>420</v>
      </c>
      <c r="AX95" s="12" t="s">
        <v>329</v>
      </c>
      <c r="AY95" s="12" t="s">
        <v>330</v>
      </c>
      <c r="AZ95" s="12"/>
      <c r="BA95" s="12"/>
      <c r="BB95" s="12"/>
      <c r="BC95" s="12"/>
      <c r="BD95" s="12" t="s">
        <v>2500</v>
      </c>
      <c r="BE95" s="12" t="s">
        <v>478</v>
      </c>
      <c r="BF95" s="12" t="s">
        <v>3694</v>
      </c>
      <c r="BG95" s="12" t="s">
        <v>333</v>
      </c>
      <c r="BH95" s="12" t="s">
        <v>362</v>
      </c>
      <c r="BI95" s="12">
        <v>2</v>
      </c>
      <c r="BJ95" s="12" t="s">
        <v>3888</v>
      </c>
      <c r="BK95" s="12" t="s">
        <v>3911</v>
      </c>
      <c r="BL95" s="105">
        <v>25</v>
      </c>
      <c r="BM95" s="12"/>
      <c r="BN95" s="12" t="s">
        <v>1953</v>
      </c>
      <c r="BO95" s="105">
        <v>23</v>
      </c>
      <c r="BP95" s="12"/>
      <c r="BQ95" s="12">
        <v>0</v>
      </c>
      <c r="BR95" s="12">
        <v>0</v>
      </c>
      <c r="BS95" s="12"/>
      <c r="BT95" s="12">
        <v>0</v>
      </c>
      <c r="BU95" s="12">
        <v>0</v>
      </c>
      <c r="BV95" s="12"/>
      <c r="BW95" s="12">
        <v>0</v>
      </c>
      <c r="BX95" s="12">
        <v>0</v>
      </c>
      <c r="BY95" s="12"/>
      <c r="BZ95" s="12">
        <v>0</v>
      </c>
      <c r="CA95" s="12"/>
      <c r="CB95" s="12"/>
      <c r="CC95" s="12"/>
      <c r="CD95" s="78"/>
    </row>
    <row r="96" spans="1:82" ht="13.9" customHeight="1" x14ac:dyDescent="0.2">
      <c r="A96" s="12">
        <v>247</v>
      </c>
      <c r="B96" s="12" t="s">
        <v>4035</v>
      </c>
      <c r="C96" s="104" t="s">
        <v>5046</v>
      </c>
      <c r="D96" s="107" t="s">
        <v>285</v>
      </c>
      <c r="E96" s="99" t="s">
        <v>6506</v>
      </c>
      <c r="F96" s="100">
        <v>44291</v>
      </c>
      <c r="G96" s="100">
        <v>45146</v>
      </c>
      <c r="H96" s="101">
        <f t="shared" si="6"/>
        <v>45236</v>
      </c>
      <c r="I96" s="101" t="s">
        <v>291</v>
      </c>
      <c r="J96" s="12" t="s">
        <v>4435</v>
      </c>
      <c r="K96" s="12" t="s">
        <v>704</v>
      </c>
      <c r="L96" s="12" t="s">
        <v>1948</v>
      </c>
      <c r="M96" s="102" t="str">
        <f t="shared" si="7"/>
        <v>ARVIZU GONZALEZ MARIA FERNANDA</v>
      </c>
      <c r="N96" s="102" t="s">
        <v>6887</v>
      </c>
      <c r="O96" s="102" t="s">
        <v>4855</v>
      </c>
      <c r="P96" s="12" t="s">
        <v>1953</v>
      </c>
      <c r="Q96" s="100">
        <v>36277</v>
      </c>
      <c r="R96" s="77">
        <f t="shared" si="8"/>
        <v>27</v>
      </c>
      <c r="S96" s="77">
        <f t="shared" si="9"/>
        <v>4</v>
      </c>
      <c r="T96" s="77">
        <f t="shared" si="10"/>
        <v>1999</v>
      </c>
      <c r="U96" s="103">
        <f t="shared" ca="1" si="11"/>
        <v>27.479452054794521</v>
      </c>
      <c r="V96" s="13" t="s">
        <v>308</v>
      </c>
      <c r="W96" s="13" t="s">
        <v>2266</v>
      </c>
      <c r="X96" s="12" t="s">
        <v>1497</v>
      </c>
      <c r="Y96" s="108" t="s">
        <v>283</v>
      </c>
      <c r="Z96" s="12" t="s">
        <v>282</v>
      </c>
      <c r="AA96" s="12" t="s">
        <v>636</v>
      </c>
      <c r="AB96" s="12" t="s">
        <v>2316</v>
      </c>
      <c r="AC96" s="12" t="s">
        <v>313</v>
      </c>
      <c r="AD96" s="12" t="s">
        <v>349</v>
      </c>
      <c r="AE96" s="12">
        <v>90</v>
      </c>
      <c r="AF96" s="13" t="s">
        <v>375</v>
      </c>
      <c r="AG96" s="12" t="s">
        <v>291</v>
      </c>
      <c r="AH96" s="104">
        <v>0</v>
      </c>
      <c r="AI96" s="12" t="s">
        <v>317</v>
      </c>
      <c r="AJ96" s="12" t="s">
        <v>318</v>
      </c>
      <c r="AK96" s="12" t="s">
        <v>2863</v>
      </c>
      <c r="AL96" s="104" t="s">
        <v>3170</v>
      </c>
      <c r="AM96" s="12" t="s">
        <v>2627</v>
      </c>
      <c r="AN96" s="12" t="s">
        <v>401</v>
      </c>
      <c r="AO96" s="12" t="s">
        <v>398</v>
      </c>
      <c r="AP96" s="12"/>
      <c r="AQ96" s="12" t="s">
        <v>3347</v>
      </c>
      <c r="AR96" s="12">
        <v>115</v>
      </c>
      <c r="AS96" s="12" t="s">
        <v>328</v>
      </c>
      <c r="AT96" s="12" t="s">
        <v>483</v>
      </c>
      <c r="AU96" s="12" t="s">
        <v>483</v>
      </c>
      <c r="AV96" s="12">
        <v>78280</v>
      </c>
      <c r="AW96" s="12">
        <v>0</v>
      </c>
      <c r="AX96" s="12">
        <v>0</v>
      </c>
      <c r="AY96" s="12" t="s">
        <v>330</v>
      </c>
      <c r="AZ96" s="12"/>
      <c r="BA96" s="12"/>
      <c r="BB96" s="12"/>
      <c r="BC96" s="12"/>
      <c r="BD96" s="12" t="s">
        <v>3574</v>
      </c>
      <c r="BE96" s="12" t="s">
        <v>325</v>
      </c>
      <c r="BF96" s="12" t="s">
        <v>3811</v>
      </c>
      <c r="BG96" s="12" t="s">
        <v>444</v>
      </c>
      <c r="BH96" s="12" t="s">
        <v>334</v>
      </c>
      <c r="BI96" s="12" t="s">
        <v>362</v>
      </c>
      <c r="BJ96" s="12" t="s">
        <v>3888</v>
      </c>
      <c r="BK96" s="12" t="s">
        <v>3911</v>
      </c>
      <c r="BL96" s="105">
        <v>0</v>
      </c>
      <c r="BM96" s="12"/>
      <c r="BN96" s="12">
        <v>0</v>
      </c>
      <c r="BO96" s="105">
        <v>0</v>
      </c>
      <c r="BP96" s="12"/>
      <c r="BQ96" s="12">
        <v>0</v>
      </c>
      <c r="BR96" s="12">
        <v>0</v>
      </c>
      <c r="BS96" s="12"/>
      <c r="BT96" s="12">
        <v>0</v>
      </c>
      <c r="BU96" s="12">
        <v>0</v>
      </c>
      <c r="BV96" s="12"/>
      <c r="BW96" s="12">
        <v>0</v>
      </c>
      <c r="BX96" s="12">
        <v>0</v>
      </c>
      <c r="BY96" s="12"/>
      <c r="BZ96" s="12">
        <v>0</v>
      </c>
      <c r="CA96" s="12"/>
      <c r="CB96" s="12"/>
      <c r="CC96" s="12"/>
      <c r="CD96" s="78"/>
    </row>
    <row r="97" spans="1:82" ht="13.9" customHeight="1" x14ac:dyDescent="0.2">
      <c r="A97" s="107">
        <v>248</v>
      </c>
      <c r="B97" s="107" t="s">
        <v>3969</v>
      </c>
      <c r="C97" s="104" t="s">
        <v>299</v>
      </c>
      <c r="D97" s="99" t="s">
        <v>80</v>
      </c>
      <c r="E97" s="99" t="s">
        <v>6507</v>
      </c>
      <c r="F97" s="100">
        <v>44312</v>
      </c>
      <c r="G97" s="117">
        <v>44396</v>
      </c>
      <c r="H97" s="101">
        <f t="shared" si="6"/>
        <v>44486</v>
      </c>
      <c r="I97" s="101" t="s">
        <v>290</v>
      </c>
      <c r="J97" s="12" t="s">
        <v>4310</v>
      </c>
      <c r="K97" s="12" t="s">
        <v>1147</v>
      </c>
      <c r="L97" s="12" t="s">
        <v>1703</v>
      </c>
      <c r="M97" s="102" t="str">
        <f t="shared" si="7"/>
        <v>ALVARES HERRERA JOSE LUIS</v>
      </c>
      <c r="N97" s="102" t="s">
        <v>6888</v>
      </c>
      <c r="O97" s="102" t="s">
        <v>4555</v>
      </c>
      <c r="P97" s="12" t="s">
        <v>1953</v>
      </c>
      <c r="Q97" s="100">
        <v>30867</v>
      </c>
      <c r="R97" s="77">
        <f t="shared" si="8"/>
        <v>4</v>
      </c>
      <c r="S97" s="77">
        <f t="shared" si="9"/>
        <v>7</v>
      </c>
      <c r="T97" s="77">
        <f t="shared" si="10"/>
        <v>1984</v>
      </c>
      <c r="U97" s="103">
        <f t="shared" ca="1" si="11"/>
        <v>42.301369863013697</v>
      </c>
      <c r="V97" s="13" t="s">
        <v>342</v>
      </c>
      <c r="W97" s="13" t="s">
        <v>1965</v>
      </c>
      <c r="X97" s="12" t="s">
        <v>1497</v>
      </c>
      <c r="Y97" s="108" t="s">
        <v>77</v>
      </c>
      <c r="Z97" s="12" t="s">
        <v>73</v>
      </c>
      <c r="AA97" s="12" t="s">
        <v>311</v>
      </c>
      <c r="AB97" s="12" t="s">
        <v>312</v>
      </c>
      <c r="AC97" s="12" t="s">
        <v>313</v>
      </c>
      <c r="AD97" s="12" t="s">
        <v>314</v>
      </c>
      <c r="AE97" s="12">
        <v>90</v>
      </c>
      <c r="AF97" s="13" t="s">
        <v>315</v>
      </c>
      <c r="AG97" s="12" t="s">
        <v>290</v>
      </c>
      <c r="AH97" s="104" t="s">
        <v>316</v>
      </c>
      <c r="AI97" s="12" t="s">
        <v>317</v>
      </c>
      <c r="AJ97" s="12" t="s">
        <v>318</v>
      </c>
      <c r="AK97" s="12" t="s">
        <v>2640</v>
      </c>
      <c r="AL97" s="104" t="s">
        <v>2873</v>
      </c>
      <c r="AM97" s="12" t="s">
        <v>2356</v>
      </c>
      <c r="AN97" s="12" t="s">
        <v>381</v>
      </c>
      <c r="AO97" s="12" t="s">
        <v>398</v>
      </c>
      <c r="AP97" s="12"/>
      <c r="AQ97" s="12">
        <v>0</v>
      </c>
      <c r="AR97" s="12">
        <v>0</v>
      </c>
      <c r="AS97" s="12">
        <v>0</v>
      </c>
      <c r="AT97" s="12">
        <v>0</v>
      </c>
      <c r="AU97" s="12">
        <v>0</v>
      </c>
      <c r="AV97" s="12">
        <v>0</v>
      </c>
      <c r="AW97" s="12" t="s">
        <v>328</v>
      </c>
      <c r="AX97" s="12" t="s">
        <v>329</v>
      </c>
      <c r="AY97" s="12" t="s">
        <v>330</v>
      </c>
      <c r="AZ97" s="12"/>
      <c r="BA97" s="12"/>
      <c r="BB97" s="12"/>
      <c r="BC97" s="12"/>
      <c r="BD97" s="12" t="s">
        <v>2356</v>
      </c>
      <c r="BE97" s="12" t="s">
        <v>381</v>
      </c>
      <c r="BF97" s="12" t="s">
        <v>3588</v>
      </c>
      <c r="BG97" s="12" t="s">
        <v>488</v>
      </c>
      <c r="BH97" s="12" t="s">
        <v>362</v>
      </c>
      <c r="BI97" s="12">
        <v>2</v>
      </c>
      <c r="BJ97" s="12" t="s">
        <v>3830</v>
      </c>
      <c r="BK97" s="12" t="s">
        <v>3911</v>
      </c>
      <c r="BL97" s="105" t="s">
        <v>3920</v>
      </c>
      <c r="BM97" s="12"/>
      <c r="BN97" s="12" t="s">
        <v>3911</v>
      </c>
      <c r="BO97" s="105" t="s">
        <v>3921</v>
      </c>
      <c r="BP97" s="12"/>
      <c r="BQ97" s="12">
        <v>0</v>
      </c>
      <c r="BR97" s="12">
        <v>0</v>
      </c>
      <c r="BS97" s="12"/>
      <c r="BT97" s="12">
        <v>0</v>
      </c>
      <c r="BU97" s="12">
        <v>0</v>
      </c>
      <c r="BV97" s="12"/>
      <c r="BW97" s="12">
        <v>0</v>
      </c>
      <c r="BX97" s="12">
        <v>0</v>
      </c>
      <c r="BY97" s="12"/>
      <c r="BZ97" s="12">
        <v>0</v>
      </c>
      <c r="CA97" s="12"/>
      <c r="CB97" s="12"/>
      <c r="CC97" s="12"/>
      <c r="CD97" s="78"/>
    </row>
    <row r="98" spans="1:82" ht="13.9" customHeight="1" x14ac:dyDescent="0.2">
      <c r="A98" s="12">
        <v>250</v>
      </c>
      <c r="B98" s="12" t="s">
        <v>4085</v>
      </c>
      <c r="C98" s="78" t="s">
        <v>335</v>
      </c>
      <c r="D98" s="107" t="s">
        <v>228</v>
      </c>
      <c r="E98" s="99" t="s">
        <v>6508</v>
      </c>
      <c r="F98" s="100">
        <v>44334</v>
      </c>
      <c r="G98" s="100">
        <v>44914</v>
      </c>
      <c r="H98" s="101">
        <f t="shared" si="6"/>
        <v>45004</v>
      </c>
      <c r="I98" s="101" t="s">
        <v>290</v>
      </c>
      <c r="J98" s="12" t="s">
        <v>4351</v>
      </c>
      <c r="K98" s="12" t="s">
        <v>4405</v>
      </c>
      <c r="L98" s="12" t="s">
        <v>1805</v>
      </c>
      <c r="M98" s="102" t="str">
        <f t="shared" si="7"/>
        <v>MALDONADO AGUILLON JUAN MIGUEL</v>
      </c>
      <c r="N98" s="102" t="s">
        <v>6889</v>
      </c>
      <c r="O98" s="102" t="s">
        <v>4677</v>
      </c>
      <c r="P98" s="12" t="s">
        <v>1953</v>
      </c>
      <c r="Q98" s="100">
        <v>32848</v>
      </c>
      <c r="R98" s="77">
        <f t="shared" si="8"/>
        <v>6</v>
      </c>
      <c r="S98" s="77">
        <f t="shared" si="9"/>
        <v>12</v>
      </c>
      <c r="T98" s="77">
        <f t="shared" si="10"/>
        <v>1989</v>
      </c>
      <c r="U98" s="103">
        <f t="shared" ca="1" si="11"/>
        <v>36.873972602739727</v>
      </c>
      <c r="V98" s="13" t="s">
        <v>342</v>
      </c>
      <c r="W98" s="13" t="s">
        <v>2088</v>
      </c>
      <c r="X98" s="12" t="s">
        <v>1497</v>
      </c>
      <c r="Y98" s="121" t="s">
        <v>117</v>
      </c>
      <c r="Z98" s="12" t="s">
        <v>149</v>
      </c>
      <c r="AA98" s="12" t="s">
        <v>347</v>
      </c>
      <c r="AB98" s="12" t="s">
        <v>2293</v>
      </c>
      <c r="AC98" s="12" t="s">
        <v>313</v>
      </c>
      <c r="AD98" s="12" t="s">
        <v>314</v>
      </c>
      <c r="AE98" s="12">
        <v>90</v>
      </c>
      <c r="AF98" s="13" t="s">
        <v>949</v>
      </c>
      <c r="AG98" s="12" t="s">
        <v>290</v>
      </c>
      <c r="AH98" s="104" t="s">
        <v>2341</v>
      </c>
      <c r="AI98" s="12" t="s">
        <v>317</v>
      </c>
      <c r="AJ98" s="12" t="s">
        <v>318</v>
      </c>
      <c r="AK98" s="12" t="s">
        <v>2718</v>
      </c>
      <c r="AL98" s="104" t="s">
        <v>2994</v>
      </c>
      <c r="AM98" s="12" t="s">
        <v>2470</v>
      </c>
      <c r="AN98" s="12" t="s">
        <v>381</v>
      </c>
      <c r="AO98" s="12" t="s">
        <v>398</v>
      </c>
      <c r="AP98" s="12"/>
      <c r="AQ98" s="12">
        <v>0</v>
      </c>
      <c r="AR98" s="12">
        <v>0</v>
      </c>
      <c r="AS98" s="12">
        <v>0</v>
      </c>
      <c r="AT98" s="12">
        <v>0</v>
      </c>
      <c r="AU98" s="12">
        <v>0</v>
      </c>
      <c r="AV98" s="12">
        <v>0</v>
      </c>
      <c r="AW98" s="12" t="s">
        <v>420</v>
      </c>
      <c r="AX98" s="12" t="s">
        <v>329</v>
      </c>
      <c r="AY98" s="12" t="s">
        <v>330</v>
      </c>
      <c r="AZ98" s="12"/>
      <c r="BA98" s="12"/>
      <c r="BB98" s="12"/>
      <c r="BC98" s="12"/>
      <c r="BD98" s="12" t="s">
        <v>2470</v>
      </c>
      <c r="BE98" s="12" t="s">
        <v>381</v>
      </c>
      <c r="BF98" s="12" t="s">
        <v>3668</v>
      </c>
      <c r="BG98" s="12" t="s">
        <v>362</v>
      </c>
      <c r="BH98" s="12" t="s">
        <v>362</v>
      </c>
      <c r="BI98" s="12">
        <v>1</v>
      </c>
      <c r="BJ98" s="12" t="s">
        <v>3862</v>
      </c>
      <c r="BK98" s="12" t="s">
        <v>3911</v>
      </c>
      <c r="BL98" s="105">
        <v>5</v>
      </c>
      <c r="BM98" s="12"/>
      <c r="BN98" s="12">
        <v>0</v>
      </c>
      <c r="BO98" s="105">
        <v>0</v>
      </c>
      <c r="BP98" s="12"/>
      <c r="BQ98" s="12">
        <v>0</v>
      </c>
      <c r="BR98" s="12">
        <v>0</v>
      </c>
      <c r="BS98" s="12"/>
      <c r="BT98" s="12">
        <v>0</v>
      </c>
      <c r="BU98" s="12">
        <v>0</v>
      </c>
      <c r="BV98" s="12"/>
      <c r="BW98" s="12">
        <v>0</v>
      </c>
      <c r="BX98" s="12">
        <v>0</v>
      </c>
      <c r="BY98" s="12"/>
      <c r="BZ98" s="12">
        <v>0</v>
      </c>
      <c r="CA98" s="12"/>
      <c r="CB98" s="12"/>
      <c r="CC98" s="12"/>
      <c r="CD98" s="78"/>
    </row>
    <row r="99" spans="1:82" ht="13.9" customHeight="1" x14ac:dyDescent="0.2">
      <c r="A99" s="12">
        <v>252</v>
      </c>
      <c r="B99" s="12" t="s">
        <v>4156</v>
      </c>
      <c r="C99" s="78" t="s">
        <v>335</v>
      </c>
      <c r="D99" s="107" t="s">
        <v>232</v>
      </c>
      <c r="E99" s="99" t="s">
        <v>6745</v>
      </c>
      <c r="F99" s="100">
        <v>44382</v>
      </c>
      <c r="G99" s="100">
        <v>44926</v>
      </c>
      <c r="H99" s="101">
        <f t="shared" si="6"/>
        <v>45016</v>
      </c>
      <c r="I99" s="101" t="s">
        <v>291</v>
      </c>
      <c r="J99" s="12" t="s">
        <v>4383</v>
      </c>
      <c r="K99" s="12" t="s">
        <v>4525</v>
      </c>
      <c r="L99" s="12" t="s">
        <v>1748</v>
      </c>
      <c r="M99" s="102" t="str">
        <f t="shared" si="7"/>
        <v>MARTINEZ  DIAZ   FRANCISCO</v>
      </c>
      <c r="N99" s="102" t="s">
        <v>7156</v>
      </c>
      <c r="O99" s="102" t="s">
        <v>4800</v>
      </c>
      <c r="P99" s="12" t="s">
        <v>1953</v>
      </c>
      <c r="Q99" s="100">
        <v>30988</v>
      </c>
      <c r="R99" s="77">
        <f t="shared" si="8"/>
        <v>2</v>
      </c>
      <c r="S99" s="77">
        <f t="shared" si="9"/>
        <v>11</v>
      </c>
      <c r="T99" s="77">
        <f t="shared" si="10"/>
        <v>1984</v>
      </c>
      <c r="U99" s="103">
        <f t="shared" ca="1" si="11"/>
        <v>41.969863013698628</v>
      </c>
      <c r="V99" s="13" t="s">
        <v>389</v>
      </c>
      <c r="W99" s="13" t="s">
        <v>2209</v>
      </c>
      <c r="X99" s="12" t="s">
        <v>1497</v>
      </c>
      <c r="Y99" s="108" t="s">
        <v>216</v>
      </c>
      <c r="Z99" s="12" t="s">
        <v>233</v>
      </c>
      <c r="AA99" s="12" t="s">
        <v>857</v>
      </c>
      <c r="AB99" s="12" t="s">
        <v>2310</v>
      </c>
      <c r="AC99" s="12" t="s">
        <v>313</v>
      </c>
      <c r="AD99" s="12" t="s">
        <v>314</v>
      </c>
      <c r="AE99" s="12">
        <v>90</v>
      </c>
      <c r="AF99" s="13" t="s">
        <v>315</v>
      </c>
      <c r="AG99" s="12" t="s">
        <v>291</v>
      </c>
      <c r="AH99" s="104" t="s">
        <v>2342</v>
      </c>
      <c r="AI99" s="12" t="s">
        <v>317</v>
      </c>
      <c r="AJ99" s="12" t="s">
        <v>318</v>
      </c>
      <c r="AK99" s="12" t="s">
        <v>2814</v>
      </c>
      <c r="AL99" s="104" t="s">
        <v>3113</v>
      </c>
      <c r="AM99" s="12" t="s">
        <v>2582</v>
      </c>
      <c r="AN99" s="12" t="s">
        <v>325</v>
      </c>
      <c r="AO99" s="12" t="s">
        <v>398</v>
      </c>
      <c r="AP99" s="12"/>
      <c r="AQ99" s="12">
        <v>0</v>
      </c>
      <c r="AR99" s="12">
        <v>0</v>
      </c>
      <c r="AS99" s="12">
        <v>0</v>
      </c>
      <c r="AT99" s="12">
        <v>0</v>
      </c>
      <c r="AU99" s="12">
        <v>0</v>
      </c>
      <c r="AV99" s="12">
        <v>0</v>
      </c>
      <c r="AW99" s="12" t="s">
        <v>328</v>
      </c>
      <c r="AX99" s="12" t="s">
        <v>329</v>
      </c>
      <c r="AY99" s="12" t="s">
        <v>330</v>
      </c>
      <c r="AZ99" s="12"/>
      <c r="BA99" s="12"/>
      <c r="BB99" s="12"/>
      <c r="BC99" s="12"/>
      <c r="BD99" s="12" t="s">
        <v>2582</v>
      </c>
      <c r="BE99" s="12" t="s">
        <v>325</v>
      </c>
      <c r="BF99" s="12" t="s">
        <v>3765</v>
      </c>
      <c r="BG99" s="12" t="s">
        <v>685</v>
      </c>
      <c r="BH99" s="12" t="s">
        <v>334</v>
      </c>
      <c r="BI99" s="12" t="s">
        <v>362</v>
      </c>
      <c r="BJ99" s="12" t="s">
        <v>3888</v>
      </c>
      <c r="BK99" s="12" t="s">
        <v>3911</v>
      </c>
      <c r="BL99" s="105">
        <v>0</v>
      </c>
      <c r="BM99" s="12"/>
      <c r="BN99" s="12">
        <v>0</v>
      </c>
      <c r="BO99" s="105">
        <v>0</v>
      </c>
      <c r="BP99" s="12"/>
      <c r="BQ99" s="12">
        <v>0</v>
      </c>
      <c r="BR99" s="12">
        <v>0</v>
      </c>
      <c r="BS99" s="12"/>
      <c r="BT99" s="12">
        <v>0</v>
      </c>
      <c r="BU99" s="12">
        <v>0</v>
      </c>
      <c r="BV99" s="12"/>
      <c r="BW99" s="12">
        <v>0</v>
      </c>
      <c r="BX99" s="12">
        <v>0</v>
      </c>
      <c r="BY99" s="12"/>
      <c r="BZ99" s="12">
        <v>0</v>
      </c>
      <c r="CA99" s="12"/>
      <c r="CB99" s="12"/>
      <c r="CC99" s="12"/>
      <c r="CD99" s="78"/>
    </row>
    <row r="100" spans="1:82" ht="13.9" customHeight="1" x14ac:dyDescent="0.2">
      <c r="A100" s="107">
        <v>254</v>
      </c>
      <c r="B100" s="107" t="s">
        <v>3970</v>
      </c>
      <c r="C100" s="104" t="s">
        <v>299</v>
      </c>
      <c r="D100" s="99" t="s">
        <v>80</v>
      </c>
      <c r="E100" s="99" t="s">
        <v>6509</v>
      </c>
      <c r="F100" s="100">
        <v>44396</v>
      </c>
      <c r="G100" s="117">
        <v>44396</v>
      </c>
      <c r="H100" s="101">
        <f t="shared" si="6"/>
        <v>44486</v>
      </c>
      <c r="I100" s="101" t="s">
        <v>290</v>
      </c>
      <c r="J100" s="12" t="s">
        <v>4311</v>
      </c>
      <c r="K100" s="12" t="s">
        <v>4437</v>
      </c>
      <c r="L100" s="12" t="s">
        <v>1707</v>
      </c>
      <c r="M100" s="102" t="str">
        <f t="shared" si="7"/>
        <v>JACOBO NIÑO WILMAR</v>
      </c>
      <c r="N100" s="102" t="s">
        <v>6890</v>
      </c>
      <c r="O100" s="102" t="s">
        <v>4556</v>
      </c>
      <c r="P100" s="12" t="s">
        <v>1953</v>
      </c>
      <c r="Q100" s="100">
        <v>35132</v>
      </c>
      <c r="R100" s="77">
        <f t="shared" si="8"/>
        <v>8</v>
      </c>
      <c r="S100" s="77">
        <f t="shared" si="9"/>
        <v>3</v>
      </c>
      <c r="T100" s="77">
        <f t="shared" si="10"/>
        <v>1996</v>
      </c>
      <c r="U100" s="103">
        <f t="shared" ca="1" si="11"/>
        <v>30.616438356164384</v>
      </c>
      <c r="V100" s="13" t="s">
        <v>342</v>
      </c>
      <c r="W100" s="13" t="s">
        <v>1966</v>
      </c>
      <c r="X100" s="12" t="s">
        <v>1497</v>
      </c>
      <c r="Y100" s="108" t="s">
        <v>78</v>
      </c>
      <c r="Z100" s="12" t="s">
        <v>73</v>
      </c>
      <c r="AA100" s="12" t="s">
        <v>311</v>
      </c>
      <c r="AB100" s="12" t="s">
        <v>312</v>
      </c>
      <c r="AC100" s="12" t="s">
        <v>313</v>
      </c>
      <c r="AD100" s="12" t="s">
        <v>314</v>
      </c>
      <c r="AE100" s="12">
        <v>90</v>
      </c>
      <c r="AF100" s="13" t="s">
        <v>315</v>
      </c>
      <c r="AG100" s="12" t="s">
        <v>290</v>
      </c>
      <c r="AH100" s="104" t="s">
        <v>316</v>
      </c>
      <c r="AI100" s="12" t="s">
        <v>317</v>
      </c>
      <c r="AJ100" s="12" t="s">
        <v>318</v>
      </c>
      <c r="AK100" s="12" t="s">
        <v>2641</v>
      </c>
      <c r="AL100" s="104" t="s">
        <v>2874</v>
      </c>
      <c r="AM100" s="12" t="s">
        <v>2357</v>
      </c>
      <c r="AN100" s="12" t="s">
        <v>381</v>
      </c>
      <c r="AO100" s="12" t="s">
        <v>398</v>
      </c>
      <c r="AP100" s="12"/>
      <c r="AQ100" s="12">
        <v>0</v>
      </c>
      <c r="AR100" s="12">
        <v>0</v>
      </c>
      <c r="AS100" s="12">
        <v>0</v>
      </c>
      <c r="AT100" s="12">
        <v>0</v>
      </c>
      <c r="AU100" s="12">
        <v>0</v>
      </c>
      <c r="AV100" s="12">
        <v>0</v>
      </c>
      <c r="AW100" s="12" t="s">
        <v>357</v>
      </c>
      <c r="AX100" s="12" t="s">
        <v>329</v>
      </c>
      <c r="AY100" s="12" t="s">
        <v>330</v>
      </c>
      <c r="AZ100" s="12"/>
      <c r="BA100" s="12"/>
      <c r="BB100" s="12"/>
      <c r="BC100" s="12"/>
      <c r="BD100" s="12" t="s">
        <v>2357</v>
      </c>
      <c r="BE100" s="12" t="s">
        <v>381</v>
      </c>
      <c r="BF100" s="12" t="s">
        <v>3589</v>
      </c>
      <c r="BG100" s="12" t="s">
        <v>333</v>
      </c>
      <c r="BH100" s="12" t="s">
        <v>3814</v>
      </c>
      <c r="BI100" s="12">
        <v>2</v>
      </c>
      <c r="BJ100" s="12" t="s">
        <v>3888</v>
      </c>
      <c r="BK100" s="12" t="s">
        <v>3911</v>
      </c>
      <c r="BL100" s="105" t="s">
        <v>3922</v>
      </c>
      <c r="BM100" s="12"/>
      <c r="BN100" s="12" t="s">
        <v>571</v>
      </c>
      <c r="BO100" s="105" t="s">
        <v>3862</v>
      </c>
      <c r="BP100" s="12"/>
      <c r="BQ100" s="12">
        <v>0</v>
      </c>
      <c r="BR100" s="12">
        <v>0</v>
      </c>
      <c r="BS100" s="12"/>
      <c r="BT100" s="12">
        <v>0</v>
      </c>
      <c r="BU100" s="12">
        <v>0</v>
      </c>
      <c r="BV100" s="12"/>
      <c r="BW100" s="12">
        <v>0</v>
      </c>
      <c r="BX100" s="12">
        <v>0</v>
      </c>
      <c r="BY100" s="12"/>
      <c r="BZ100" s="12">
        <v>0</v>
      </c>
      <c r="CA100" s="12"/>
      <c r="CB100" s="12"/>
      <c r="CC100" s="12"/>
      <c r="CD100" s="78"/>
    </row>
    <row r="101" spans="1:82" ht="13.9" customHeight="1" x14ac:dyDescent="0.2">
      <c r="A101" s="107">
        <v>259</v>
      </c>
      <c r="B101" s="107" t="s">
        <v>4029</v>
      </c>
      <c r="C101" s="78" t="s">
        <v>363</v>
      </c>
      <c r="D101" s="107" t="s">
        <v>98</v>
      </c>
      <c r="E101" s="99" t="s">
        <v>6510</v>
      </c>
      <c r="F101" s="100">
        <v>44439</v>
      </c>
      <c r="G101" s="117">
        <v>44439</v>
      </c>
      <c r="H101" s="101">
        <f t="shared" si="6"/>
        <v>44529</v>
      </c>
      <c r="I101" s="101" t="s">
        <v>290</v>
      </c>
      <c r="J101" s="12" t="s">
        <v>793</v>
      </c>
      <c r="K101" s="12" t="s">
        <v>4463</v>
      </c>
      <c r="L101" s="12" t="s">
        <v>1753</v>
      </c>
      <c r="M101" s="102" t="str">
        <f t="shared" si="7"/>
        <v>LOPEZ VALDEZ LUIS</v>
      </c>
      <c r="N101" s="102" t="s">
        <v>6891</v>
      </c>
      <c r="O101" s="102" t="s">
        <v>4612</v>
      </c>
      <c r="P101" s="12" t="s">
        <v>1953</v>
      </c>
      <c r="Q101" s="100">
        <v>24905</v>
      </c>
      <c r="R101" s="77">
        <f t="shared" si="8"/>
        <v>8</v>
      </c>
      <c r="S101" s="77">
        <f t="shared" si="9"/>
        <v>3</v>
      </c>
      <c r="T101" s="77">
        <f t="shared" si="10"/>
        <v>1968</v>
      </c>
      <c r="U101" s="103">
        <f t="shared" ca="1" si="11"/>
        <v>58.635616438356166</v>
      </c>
      <c r="V101" s="13" t="s">
        <v>452</v>
      </c>
      <c r="W101" s="13" t="s">
        <v>2023</v>
      </c>
      <c r="X101" s="12" t="s">
        <v>1497</v>
      </c>
      <c r="Y101" s="108" t="s">
        <v>87</v>
      </c>
      <c r="Z101" s="12" t="s">
        <v>99</v>
      </c>
      <c r="AA101" s="12" t="s">
        <v>392</v>
      </c>
      <c r="AB101" s="12" t="s">
        <v>596</v>
      </c>
      <c r="AC101" s="12" t="s">
        <v>313</v>
      </c>
      <c r="AD101" s="12" t="s">
        <v>314</v>
      </c>
      <c r="AE101" s="12">
        <v>90</v>
      </c>
      <c r="AF101" s="13" t="s">
        <v>597</v>
      </c>
      <c r="AG101" s="12" t="s">
        <v>290</v>
      </c>
      <c r="AH101" s="104" t="s">
        <v>598</v>
      </c>
      <c r="AI101" s="12" t="s">
        <v>317</v>
      </c>
      <c r="AJ101" s="12" t="s">
        <v>318</v>
      </c>
      <c r="AK101" s="12" t="s">
        <v>2676</v>
      </c>
      <c r="AL101" s="104" t="s">
        <v>2929</v>
      </c>
      <c r="AM101" s="12" t="s">
        <v>2411</v>
      </c>
      <c r="AN101" s="12" t="s">
        <v>560</v>
      </c>
      <c r="AO101" s="12" t="s">
        <v>398</v>
      </c>
      <c r="AP101" s="12"/>
      <c r="AQ101" s="12">
        <v>0</v>
      </c>
      <c r="AR101" s="12">
        <v>0</v>
      </c>
      <c r="AS101" s="12">
        <v>0</v>
      </c>
      <c r="AT101" s="12">
        <v>0</v>
      </c>
      <c r="AU101" s="12">
        <v>0</v>
      </c>
      <c r="AV101" s="12">
        <v>0</v>
      </c>
      <c r="AW101" s="12" t="s">
        <v>328</v>
      </c>
      <c r="AX101" s="12" t="s">
        <v>329</v>
      </c>
      <c r="AY101" s="12" t="s">
        <v>330</v>
      </c>
      <c r="AZ101" s="12"/>
      <c r="BA101" s="12"/>
      <c r="BB101" s="12"/>
      <c r="BC101" s="12"/>
      <c r="BD101" s="12" t="s">
        <v>2411</v>
      </c>
      <c r="BE101" s="12" t="s">
        <v>560</v>
      </c>
      <c r="BF101" s="12" t="s">
        <v>3624</v>
      </c>
      <c r="BG101" s="12" t="s">
        <v>333</v>
      </c>
      <c r="BH101" s="12" t="s">
        <v>334</v>
      </c>
      <c r="BI101" s="12">
        <v>2</v>
      </c>
      <c r="BJ101" s="12" t="s">
        <v>3846</v>
      </c>
      <c r="BK101" s="12" t="s">
        <v>3911</v>
      </c>
      <c r="BL101" s="105" t="s">
        <v>3934</v>
      </c>
      <c r="BM101" s="12"/>
      <c r="BN101" s="12" t="s">
        <v>571</v>
      </c>
      <c r="BO101" s="105" t="s">
        <v>3935</v>
      </c>
      <c r="BP101" s="12"/>
      <c r="BQ101" s="12">
        <v>0</v>
      </c>
      <c r="BR101" s="12">
        <v>0</v>
      </c>
      <c r="BS101" s="12"/>
      <c r="BT101" s="12">
        <v>0</v>
      </c>
      <c r="BU101" s="12">
        <v>0</v>
      </c>
      <c r="BV101" s="12"/>
      <c r="BW101" s="12">
        <v>0</v>
      </c>
      <c r="BX101" s="12">
        <v>0</v>
      </c>
      <c r="BY101" s="12"/>
      <c r="BZ101" s="12">
        <v>0</v>
      </c>
      <c r="CA101" s="12"/>
      <c r="CB101" s="12"/>
      <c r="CC101" s="12"/>
      <c r="CD101" s="78"/>
    </row>
    <row r="102" spans="1:82" ht="13.9" customHeight="1" x14ac:dyDescent="0.2">
      <c r="A102" s="12">
        <v>260</v>
      </c>
      <c r="B102" s="12" t="s">
        <v>4231</v>
      </c>
      <c r="C102" s="104" t="s">
        <v>299</v>
      </c>
      <c r="D102" s="99" t="s">
        <v>80</v>
      </c>
      <c r="E102" s="99" t="s">
        <v>6511</v>
      </c>
      <c r="F102" s="100">
        <v>44445</v>
      </c>
      <c r="G102" s="100">
        <v>44621</v>
      </c>
      <c r="H102" s="101">
        <f t="shared" si="6"/>
        <v>44711</v>
      </c>
      <c r="I102" s="101" t="s">
        <v>291</v>
      </c>
      <c r="J102" s="12" t="s">
        <v>704</v>
      </c>
      <c r="K102" s="12" t="s">
        <v>4504</v>
      </c>
      <c r="L102" s="12" t="s">
        <v>1853</v>
      </c>
      <c r="M102" s="102" t="str">
        <f t="shared" si="7"/>
        <v>GONZALEZ BENITEZ RODOLFO</v>
      </c>
      <c r="N102" s="102" t="s">
        <v>6892</v>
      </c>
      <c r="O102" s="102" t="s">
        <v>4734</v>
      </c>
      <c r="P102" s="12" t="s">
        <v>1953</v>
      </c>
      <c r="Q102" s="100">
        <v>32143</v>
      </c>
      <c r="R102" s="77">
        <f t="shared" si="8"/>
        <v>1</v>
      </c>
      <c r="S102" s="77">
        <f t="shared" si="9"/>
        <v>1</v>
      </c>
      <c r="T102" s="77">
        <f t="shared" si="10"/>
        <v>1988</v>
      </c>
      <c r="U102" s="103">
        <f t="shared" ca="1" si="11"/>
        <v>38.805479452054797</v>
      </c>
      <c r="V102" s="13" t="s">
        <v>342</v>
      </c>
      <c r="W102" s="13" t="s">
        <v>2145</v>
      </c>
      <c r="X102" s="12" t="s">
        <v>1497</v>
      </c>
      <c r="Y102" s="12" t="s">
        <v>186</v>
      </c>
      <c r="Z102" s="12" t="s">
        <v>174</v>
      </c>
      <c r="AA102" s="12" t="s">
        <v>432</v>
      </c>
      <c r="AB102" s="12" t="s">
        <v>1368</v>
      </c>
      <c r="AC102" s="12" t="s">
        <v>313</v>
      </c>
      <c r="AD102" s="12" t="s">
        <v>314</v>
      </c>
      <c r="AE102" s="12">
        <v>90</v>
      </c>
      <c r="AF102" s="13" t="s">
        <v>315</v>
      </c>
      <c r="AG102" s="12" t="s">
        <v>291</v>
      </c>
      <c r="AH102" s="104" t="s">
        <v>316</v>
      </c>
      <c r="AI102" s="12" t="s">
        <v>317</v>
      </c>
      <c r="AJ102" s="12" t="s">
        <v>318</v>
      </c>
      <c r="AK102" s="12" t="s">
        <v>2759</v>
      </c>
      <c r="AL102" s="104" t="s">
        <v>3051</v>
      </c>
      <c r="AM102" s="12" t="s">
        <v>2522</v>
      </c>
      <c r="AN102" s="12" t="s">
        <v>381</v>
      </c>
      <c r="AO102" s="12" t="s">
        <v>398</v>
      </c>
      <c r="AP102" s="12"/>
      <c r="AQ102" s="12">
        <v>0</v>
      </c>
      <c r="AR102" s="12">
        <v>0</v>
      </c>
      <c r="AS102" s="12">
        <v>0</v>
      </c>
      <c r="AT102" s="12">
        <v>0</v>
      </c>
      <c r="AU102" s="12">
        <v>0</v>
      </c>
      <c r="AV102" s="12">
        <v>0</v>
      </c>
      <c r="AW102" s="12" t="s">
        <v>328</v>
      </c>
      <c r="AX102" s="12" t="s">
        <v>329</v>
      </c>
      <c r="AY102" s="12" t="s">
        <v>330</v>
      </c>
      <c r="AZ102" s="12"/>
      <c r="BA102" s="12"/>
      <c r="BB102" s="12"/>
      <c r="BC102" s="12"/>
      <c r="BD102" s="12" t="s">
        <v>2522</v>
      </c>
      <c r="BE102" s="12" t="s">
        <v>381</v>
      </c>
      <c r="BF102" s="12" t="s">
        <v>3713</v>
      </c>
      <c r="BG102" s="12" t="s">
        <v>333</v>
      </c>
      <c r="BH102" s="12" t="s">
        <v>334</v>
      </c>
      <c r="BI102" s="12">
        <v>2</v>
      </c>
      <c r="BJ102" s="12" t="s">
        <v>3882</v>
      </c>
      <c r="BK102" s="12" t="s">
        <v>3911</v>
      </c>
      <c r="BL102" s="105" t="s">
        <v>3913</v>
      </c>
      <c r="BM102" s="12"/>
      <c r="BN102" s="12" t="s">
        <v>3911</v>
      </c>
      <c r="BO102" s="105" t="s">
        <v>3862</v>
      </c>
      <c r="BP102" s="12"/>
      <c r="BQ102" s="12">
        <v>0</v>
      </c>
      <c r="BR102" s="12">
        <v>0</v>
      </c>
      <c r="BS102" s="12"/>
      <c r="BT102" s="12">
        <v>0</v>
      </c>
      <c r="BU102" s="12">
        <v>0</v>
      </c>
      <c r="BV102" s="12"/>
      <c r="BW102" s="12">
        <v>0</v>
      </c>
      <c r="BX102" s="12">
        <v>0</v>
      </c>
      <c r="BY102" s="12"/>
      <c r="BZ102" s="12">
        <v>0</v>
      </c>
      <c r="CA102" s="12"/>
      <c r="CB102" s="12"/>
      <c r="CC102" s="12"/>
      <c r="CD102" s="78"/>
    </row>
    <row r="103" spans="1:82" ht="13.9" customHeight="1" x14ac:dyDescent="0.2">
      <c r="A103" s="107">
        <v>261</v>
      </c>
      <c r="B103" s="107" t="s">
        <v>7247</v>
      </c>
      <c r="C103" s="104" t="s">
        <v>363</v>
      </c>
      <c r="D103" s="107" t="s">
        <v>86</v>
      </c>
      <c r="E103" s="99" t="s">
        <v>6746</v>
      </c>
      <c r="F103" s="100">
        <v>44462</v>
      </c>
      <c r="G103" s="117">
        <v>44462</v>
      </c>
      <c r="H103" s="101">
        <f t="shared" si="6"/>
        <v>44552</v>
      </c>
      <c r="I103" s="101" t="s">
        <v>290</v>
      </c>
      <c r="J103" s="12" t="s">
        <v>4333</v>
      </c>
      <c r="K103" s="12" t="s">
        <v>4458</v>
      </c>
      <c r="L103" s="12" t="s">
        <v>1740</v>
      </c>
      <c r="M103" s="102" t="str">
        <f t="shared" si="7"/>
        <v>GARCIA  SAN MARTIN ISIDRO</v>
      </c>
      <c r="N103" s="102" t="s">
        <v>7157</v>
      </c>
      <c r="O103" s="102" t="s">
        <v>4598</v>
      </c>
      <c r="P103" s="12" t="s">
        <v>1953</v>
      </c>
      <c r="Q103" s="100">
        <v>27164</v>
      </c>
      <c r="R103" s="77">
        <f t="shared" si="8"/>
        <v>15</v>
      </c>
      <c r="S103" s="77">
        <f t="shared" si="9"/>
        <v>5</v>
      </c>
      <c r="T103" s="77">
        <f t="shared" si="10"/>
        <v>1974</v>
      </c>
      <c r="U103" s="103">
        <f t="shared" ca="1" si="11"/>
        <v>52.446575342465756</v>
      </c>
      <c r="V103" s="13" t="s">
        <v>452</v>
      </c>
      <c r="W103" s="13" t="s">
        <v>2009</v>
      </c>
      <c r="X103" s="12" t="s">
        <v>1497</v>
      </c>
      <c r="Y103" s="108" t="s">
        <v>89</v>
      </c>
      <c r="Z103" s="12" t="s">
        <v>90</v>
      </c>
      <c r="AA103" s="12" t="s">
        <v>455</v>
      </c>
      <c r="AB103" s="12" t="s">
        <v>374</v>
      </c>
      <c r="AC103" s="12" t="s">
        <v>313</v>
      </c>
      <c r="AD103" s="12" t="s">
        <v>314</v>
      </c>
      <c r="AE103" s="12">
        <v>90</v>
      </c>
      <c r="AF103" s="13" t="s">
        <v>375</v>
      </c>
      <c r="AG103" s="12" t="s">
        <v>290</v>
      </c>
      <c r="AH103" s="104" t="s">
        <v>2335</v>
      </c>
      <c r="AI103" s="12" t="s">
        <v>317</v>
      </c>
      <c r="AJ103" s="12" t="s">
        <v>318</v>
      </c>
      <c r="AK103" s="12" t="s">
        <v>2665</v>
      </c>
      <c r="AL103" s="104" t="s">
        <v>2916</v>
      </c>
      <c r="AM103" s="12" t="s">
        <v>2397</v>
      </c>
      <c r="AN103" s="12" t="s">
        <v>478</v>
      </c>
      <c r="AO103" s="12" t="s">
        <v>398</v>
      </c>
      <c r="AP103" s="12"/>
      <c r="AQ103" s="12">
        <v>0</v>
      </c>
      <c r="AR103" s="12">
        <v>0</v>
      </c>
      <c r="AS103" s="12">
        <v>0</v>
      </c>
      <c r="AT103" s="12">
        <v>0</v>
      </c>
      <c r="AU103" s="12">
        <v>0</v>
      </c>
      <c r="AV103" s="12">
        <v>0</v>
      </c>
      <c r="AW103" s="12" t="s">
        <v>357</v>
      </c>
      <c r="AX103" s="12" t="s">
        <v>357</v>
      </c>
      <c r="AY103" s="12" t="s">
        <v>330</v>
      </c>
      <c r="AZ103" s="12"/>
      <c r="BA103" s="12"/>
      <c r="BB103" s="12"/>
      <c r="BC103" s="12"/>
      <c r="BD103" s="12" t="s">
        <v>2397</v>
      </c>
      <c r="BE103" s="12" t="s">
        <v>478</v>
      </c>
      <c r="BF103" s="12" t="s">
        <v>3613</v>
      </c>
      <c r="BG103" s="12" t="s">
        <v>333</v>
      </c>
      <c r="BH103" s="12" t="s">
        <v>334</v>
      </c>
      <c r="BI103" s="12">
        <v>3</v>
      </c>
      <c r="BJ103" s="12" t="s">
        <v>3840</v>
      </c>
      <c r="BK103" s="12" t="s">
        <v>3911</v>
      </c>
      <c r="BL103" s="105">
        <v>21</v>
      </c>
      <c r="BM103" s="12"/>
      <c r="BN103" s="12" t="s">
        <v>3911</v>
      </c>
      <c r="BO103" s="105">
        <v>17</v>
      </c>
      <c r="BP103" s="12"/>
      <c r="BQ103" s="12" t="s">
        <v>1953</v>
      </c>
      <c r="BR103" s="12">
        <v>15</v>
      </c>
      <c r="BS103" s="12"/>
      <c r="BT103" s="12">
        <v>0</v>
      </c>
      <c r="BU103" s="12">
        <v>0</v>
      </c>
      <c r="BV103" s="12"/>
      <c r="BW103" s="12">
        <v>0</v>
      </c>
      <c r="BX103" s="12">
        <v>0</v>
      </c>
      <c r="BY103" s="12"/>
      <c r="BZ103" s="12">
        <v>0</v>
      </c>
      <c r="CA103" s="12"/>
      <c r="CB103" s="12"/>
      <c r="CC103" s="12"/>
      <c r="CD103" s="78"/>
    </row>
    <row r="104" spans="1:82" ht="13.9" customHeight="1" x14ac:dyDescent="0.2">
      <c r="A104" s="12">
        <v>264</v>
      </c>
      <c r="B104" s="12" t="s">
        <v>4031</v>
      </c>
      <c r="C104" s="78" t="s">
        <v>363</v>
      </c>
      <c r="D104" s="107" t="s">
        <v>98</v>
      </c>
      <c r="E104" s="99" t="s">
        <v>6512</v>
      </c>
      <c r="F104" s="100">
        <v>44501</v>
      </c>
      <c r="G104" s="100">
        <v>44501</v>
      </c>
      <c r="H104" s="101">
        <f t="shared" si="6"/>
        <v>44591</v>
      </c>
      <c r="I104" s="101" t="s">
        <v>290</v>
      </c>
      <c r="J104" s="12" t="s">
        <v>704</v>
      </c>
      <c r="K104" s="12" t="s">
        <v>1239</v>
      </c>
      <c r="L104" s="12" t="s">
        <v>1755</v>
      </c>
      <c r="M104" s="102" t="str">
        <f t="shared" si="7"/>
        <v>GONZALEZ VAZQUEZ ESTEBAN ALBERTO</v>
      </c>
      <c r="N104" s="102" t="s">
        <v>6893</v>
      </c>
      <c r="O104" s="102" t="s">
        <v>4614</v>
      </c>
      <c r="P104" s="12" t="s">
        <v>1953</v>
      </c>
      <c r="Q104" s="100">
        <v>28079</v>
      </c>
      <c r="R104" s="77">
        <f t="shared" si="8"/>
        <v>15</v>
      </c>
      <c r="S104" s="77">
        <f t="shared" si="9"/>
        <v>11</v>
      </c>
      <c r="T104" s="77">
        <f t="shared" si="10"/>
        <v>1976</v>
      </c>
      <c r="U104" s="103">
        <f t="shared" ca="1" si="11"/>
        <v>49.939726027397263</v>
      </c>
      <c r="V104" s="13" t="s">
        <v>342</v>
      </c>
      <c r="W104" s="13" t="s">
        <v>2025</v>
      </c>
      <c r="X104" s="12" t="s">
        <v>1497</v>
      </c>
      <c r="Y104" s="107" t="s">
        <v>94</v>
      </c>
      <c r="Z104" s="12" t="s">
        <v>100</v>
      </c>
      <c r="AA104" s="12" t="s">
        <v>2272</v>
      </c>
      <c r="AB104" s="12" t="s">
        <v>596</v>
      </c>
      <c r="AC104" s="12" t="s">
        <v>313</v>
      </c>
      <c r="AD104" s="12" t="s">
        <v>314</v>
      </c>
      <c r="AE104" s="12">
        <v>90</v>
      </c>
      <c r="AF104" s="13" t="s">
        <v>597</v>
      </c>
      <c r="AG104" s="12" t="s">
        <v>290</v>
      </c>
      <c r="AH104" s="104" t="s">
        <v>598</v>
      </c>
      <c r="AI104" s="12" t="s">
        <v>317</v>
      </c>
      <c r="AJ104" s="12" t="s">
        <v>318</v>
      </c>
      <c r="AK104" s="12" t="s">
        <v>2678</v>
      </c>
      <c r="AL104" s="104" t="s">
        <v>2931</v>
      </c>
      <c r="AM104" s="12" t="s">
        <v>2413</v>
      </c>
      <c r="AN104" s="12" t="s">
        <v>381</v>
      </c>
      <c r="AO104" s="12" t="s">
        <v>327</v>
      </c>
      <c r="AP104" s="12"/>
      <c r="AQ104" s="12">
        <v>0</v>
      </c>
      <c r="AR104" s="12">
        <v>0</v>
      </c>
      <c r="AS104" s="12">
        <v>0</v>
      </c>
      <c r="AT104" s="12">
        <v>0</v>
      </c>
      <c r="AU104" s="12">
        <v>0</v>
      </c>
      <c r="AV104" s="12">
        <v>0</v>
      </c>
      <c r="AW104" s="12" t="s">
        <v>328</v>
      </c>
      <c r="AX104" s="12" t="s">
        <v>357</v>
      </c>
      <c r="AY104" s="12" t="s">
        <v>3418</v>
      </c>
      <c r="AZ104" s="12"/>
      <c r="BA104" s="12"/>
      <c r="BB104" s="12"/>
      <c r="BC104" s="12"/>
      <c r="BD104" s="12" t="s">
        <v>2413</v>
      </c>
      <c r="BE104" s="12" t="s">
        <v>381</v>
      </c>
      <c r="BF104" s="12" t="s">
        <v>3626</v>
      </c>
      <c r="BG104" s="12" t="s">
        <v>333</v>
      </c>
      <c r="BH104" s="12" t="s">
        <v>334</v>
      </c>
      <c r="BI104" s="12">
        <v>3</v>
      </c>
      <c r="BJ104" s="12" t="s">
        <v>3848</v>
      </c>
      <c r="BK104" s="12" t="s">
        <v>3911</v>
      </c>
      <c r="BL104" s="105" t="s">
        <v>3938</v>
      </c>
      <c r="BM104" s="12"/>
      <c r="BN104" s="12" t="s">
        <v>571</v>
      </c>
      <c r="BO104" s="105" t="s">
        <v>3914</v>
      </c>
      <c r="BP104" s="12"/>
      <c r="BQ104" s="12" t="s">
        <v>571</v>
      </c>
      <c r="BR104" s="12" t="s">
        <v>3945</v>
      </c>
      <c r="BS104" s="12"/>
      <c r="BT104" s="12">
        <v>0</v>
      </c>
      <c r="BU104" s="12">
        <v>0</v>
      </c>
      <c r="BV104" s="12"/>
      <c r="BW104" s="12">
        <v>0</v>
      </c>
      <c r="BX104" s="12">
        <v>0</v>
      </c>
      <c r="BY104" s="12"/>
      <c r="BZ104" s="12">
        <v>0</v>
      </c>
      <c r="CA104" s="12"/>
      <c r="CB104" s="12"/>
      <c r="CC104" s="12"/>
      <c r="CD104" s="78"/>
    </row>
    <row r="105" spans="1:82" s="116" customFormat="1" ht="13.9" customHeight="1" x14ac:dyDescent="0.2">
      <c r="A105" s="12">
        <v>272</v>
      </c>
      <c r="B105" s="12" t="s">
        <v>4152</v>
      </c>
      <c r="C105" s="78" t="s">
        <v>335</v>
      </c>
      <c r="D105" s="107" t="s">
        <v>127</v>
      </c>
      <c r="E105" s="99" t="s">
        <v>6513</v>
      </c>
      <c r="F105" s="100">
        <v>44572</v>
      </c>
      <c r="G105" s="100">
        <v>44911</v>
      </c>
      <c r="H105" s="101">
        <f t="shared" si="6"/>
        <v>45001</v>
      </c>
      <c r="I105" s="101" t="s">
        <v>291</v>
      </c>
      <c r="J105" s="12" t="s">
        <v>4412</v>
      </c>
      <c r="K105" s="12" t="s">
        <v>4308</v>
      </c>
      <c r="L105" s="12" t="s">
        <v>1906</v>
      </c>
      <c r="M105" s="102" t="str">
        <f t="shared" si="7"/>
        <v>GARZA JASSO FRANCISCO EDILBERTO</v>
      </c>
      <c r="N105" s="102" t="s">
        <v>6894</v>
      </c>
      <c r="O105" s="102" t="s">
        <v>4796</v>
      </c>
      <c r="P105" s="12" t="s">
        <v>1953</v>
      </c>
      <c r="Q105" s="100">
        <v>32631</v>
      </c>
      <c r="R105" s="77">
        <f t="shared" si="8"/>
        <v>3</v>
      </c>
      <c r="S105" s="77">
        <f t="shared" si="9"/>
        <v>5</v>
      </c>
      <c r="T105" s="77">
        <f t="shared" si="10"/>
        <v>1989</v>
      </c>
      <c r="U105" s="103">
        <f t="shared" ca="1" si="11"/>
        <v>37.468493150684928</v>
      </c>
      <c r="V105" s="13" t="s">
        <v>389</v>
      </c>
      <c r="W105" s="13" t="s">
        <v>2205</v>
      </c>
      <c r="X105" s="12" t="s">
        <v>1497</v>
      </c>
      <c r="Y105" s="108" t="s">
        <v>219</v>
      </c>
      <c r="Z105" s="12" t="s">
        <v>128</v>
      </c>
      <c r="AA105" s="12" t="s">
        <v>532</v>
      </c>
      <c r="AB105" s="12" t="s">
        <v>2289</v>
      </c>
      <c r="AC105" s="12" t="s">
        <v>313</v>
      </c>
      <c r="AD105" s="12" t="s">
        <v>314</v>
      </c>
      <c r="AE105" s="12">
        <v>90</v>
      </c>
      <c r="AF105" s="13" t="s">
        <v>413</v>
      </c>
      <c r="AG105" s="12" t="s">
        <v>291</v>
      </c>
      <c r="AH105" s="104" t="s">
        <v>2344</v>
      </c>
      <c r="AI105" s="12" t="s">
        <v>317</v>
      </c>
      <c r="AJ105" s="12" t="s">
        <v>318</v>
      </c>
      <c r="AK105" s="12" t="s">
        <v>2810</v>
      </c>
      <c r="AL105" s="104" t="s">
        <v>3109</v>
      </c>
      <c r="AM105" s="12" t="s">
        <v>2578</v>
      </c>
      <c r="AN105" s="12" t="s">
        <v>3186</v>
      </c>
      <c r="AO105" s="12" t="s">
        <v>398</v>
      </c>
      <c r="AP105" s="12"/>
      <c r="AQ105" s="12">
        <v>0</v>
      </c>
      <c r="AR105" s="12">
        <v>0</v>
      </c>
      <c r="AS105" s="12">
        <v>0</v>
      </c>
      <c r="AT105" s="12">
        <v>0</v>
      </c>
      <c r="AU105" s="12">
        <v>0</v>
      </c>
      <c r="AV105" s="12">
        <v>0</v>
      </c>
      <c r="AW105" s="12" t="s">
        <v>420</v>
      </c>
      <c r="AX105" s="12" t="s">
        <v>329</v>
      </c>
      <c r="AY105" s="12" t="s">
        <v>330</v>
      </c>
      <c r="AZ105" s="12"/>
      <c r="BA105" s="12"/>
      <c r="BB105" s="12"/>
      <c r="BC105" s="12"/>
      <c r="BD105" s="12" t="s">
        <v>3551</v>
      </c>
      <c r="BE105" s="12" t="s">
        <v>803</v>
      </c>
      <c r="BF105" s="12" t="s">
        <v>3763</v>
      </c>
      <c r="BG105" s="12" t="s">
        <v>333</v>
      </c>
      <c r="BH105" s="12" t="s">
        <v>362</v>
      </c>
      <c r="BI105" s="12">
        <v>2</v>
      </c>
      <c r="BJ105" s="12" t="s">
        <v>3888</v>
      </c>
      <c r="BK105" s="12" t="s">
        <v>3911</v>
      </c>
      <c r="BL105" s="105">
        <v>7</v>
      </c>
      <c r="BM105" s="12"/>
      <c r="BN105" s="12" t="s">
        <v>3911</v>
      </c>
      <c r="BO105" s="105">
        <v>3</v>
      </c>
      <c r="BP105" s="12"/>
      <c r="BQ105" s="12">
        <v>0</v>
      </c>
      <c r="BR105" s="12">
        <v>0</v>
      </c>
      <c r="BS105" s="12"/>
      <c r="BT105" s="12">
        <v>0</v>
      </c>
      <c r="BU105" s="12">
        <v>0</v>
      </c>
      <c r="BV105" s="12"/>
      <c r="BW105" s="12">
        <v>0</v>
      </c>
      <c r="BX105" s="12">
        <v>0</v>
      </c>
      <c r="BY105" s="12"/>
      <c r="BZ105" s="12">
        <v>0</v>
      </c>
      <c r="CA105" s="12"/>
      <c r="CB105" s="12"/>
      <c r="CC105" s="12"/>
      <c r="CD105" s="110"/>
    </row>
    <row r="106" spans="1:82" s="116" customFormat="1" ht="13.9" customHeight="1" x14ac:dyDescent="0.2">
      <c r="A106" s="109">
        <v>273</v>
      </c>
      <c r="B106" s="109" t="s">
        <v>4153</v>
      </c>
      <c r="C106" s="110" t="s">
        <v>335</v>
      </c>
      <c r="D106" s="109" t="s">
        <v>127</v>
      </c>
      <c r="E106" s="111" t="s">
        <v>6514</v>
      </c>
      <c r="F106" s="112">
        <v>44574</v>
      </c>
      <c r="G106" s="112">
        <v>44911</v>
      </c>
      <c r="H106" s="113">
        <f t="shared" si="6"/>
        <v>45001</v>
      </c>
      <c r="I106" s="113" t="s">
        <v>291</v>
      </c>
      <c r="J106" s="109" t="s">
        <v>4413</v>
      </c>
      <c r="K106" s="109" t="s">
        <v>4523</v>
      </c>
      <c r="L106" s="109" t="s">
        <v>1907</v>
      </c>
      <c r="M106" s="128" t="str">
        <f t="shared" si="7"/>
        <v>ESPARZA GLORIA EDITH</v>
      </c>
      <c r="N106" s="128" t="s">
        <v>6895</v>
      </c>
      <c r="O106" s="128" t="s">
        <v>4797</v>
      </c>
      <c r="P106" s="109" t="s">
        <v>1954</v>
      </c>
      <c r="Q106" s="112">
        <v>33497</v>
      </c>
      <c r="R106" s="125">
        <f t="shared" si="8"/>
        <v>16</v>
      </c>
      <c r="S106" s="125">
        <f t="shared" si="9"/>
        <v>9</v>
      </c>
      <c r="T106" s="125">
        <f t="shared" si="10"/>
        <v>1991</v>
      </c>
      <c r="U106" s="142">
        <f t="shared" ca="1" si="11"/>
        <v>35.095890410958901</v>
      </c>
      <c r="V106" s="114" t="s">
        <v>308</v>
      </c>
      <c r="W106" s="114" t="s">
        <v>2206</v>
      </c>
      <c r="X106" s="109" t="s">
        <v>1497</v>
      </c>
      <c r="Y106" s="120" t="s">
        <v>222</v>
      </c>
      <c r="Z106" s="109" t="s">
        <v>231</v>
      </c>
      <c r="AA106" s="109" t="s">
        <v>636</v>
      </c>
      <c r="AB106" s="109" t="s">
        <v>2289</v>
      </c>
      <c r="AC106" s="109" t="s">
        <v>313</v>
      </c>
      <c r="AD106" s="109" t="s">
        <v>314</v>
      </c>
      <c r="AE106" s="109">
        <v>90</v>
      </c>
      <c r="AF106" s="114" t="s">
        <v>413</v>
      </c>
      <c r="AG106" s="109" t="s">
        <v>291</v>
      </c>
      <c r="AH106" s="115" t="s">
        <v>2344</v>
      </c>
      <c r="AI106" s="109" t="s">
        <v>317</v>
      </c>
      <c r="AJ106" s="109" t="s">
        <v>318</v>
      </c>
      <c r="AK106" s="109" t="s">
        <v>2811</v>
      </c>
      <c r="AL106" s="115" t="s">
        <v>3110</v>
      </c>
      <c r="AM106" s="109" t="s">
        <v>2579</v>
      </c>
      <c r="AN106" s="109" t="s">
        <v>325</v>
      </c>
      <c r="AO106" s="109" t="s">
        <v>398</v>
      </c>
      <c r="AP106" s="109"/>
      <c r="AQ106" s="109">
        <v>0</v>
      </c>
      <c r="AR106" s="109">
        <v>0</v>
      </c>
      <c r="AS106" s="109">
        <v>0</v>
      </c>
      <c r="AT106" s="109">
        <v>0</v>
      </c>
      <c r="AU106" s="109">
        <v>0</v>
      </c>
      <c r="AV106" s="109">
        <v>0</v>
      </c>
      <c r="AW106" s="109" t="s">
        <v>420</v>
      </c>
      <c r="AX106" s="109" t="s">
        <v>329</v>
      </c>
      <c r="AY106" s="109" t="s">
        <v>330</v>
      </c>
      <c r="AZ106" s="109"/>
      <c r="BA106" s="109"/>
      <c r="BB106" s="109"/>
      <c r="BC106" s="109"/>
      <c r="BD106" s="109" t="s">
        <v>3552</v>
      </c>
      <c r="BE106" s="109" t="s">
        <v>401</v>
      </c>
      <c r="BF106" s="109" t="s">
        <v>3764</v>
      </c>
      <c r="BG106" s="109" t="s">
        <v>488</v>
      </c>
      <c r="BH106" s="109" t="s">
        <v>362</v>
      </c>
      <c r="BI106" s="109">
        <v>1</v>
      </c>
      <c r="BJ106" s="109" t="s">
        <v>3899</v>
      </c>
      <c r="BK106" s="109" t="s">
        <v>3911</v>
      </c>
      <c r="BL106" s="111">
        <v>12</v>
      </c>
      <c r="BM106" s="109"/>
      <c r="BN106" s="109">
        <v>0</v>
      </c>
      <c r="BO106" s="111">
        <v>0</v>
      </c>
      <c r="BP106" s="109"/>
      <c r="BQ106" s="109">
        <v>0</v>
      </c>
      <c r="BR106" s="109">
        <v>0</v>
      </c>
      <c r="BS106" s="109"/>
      <c r="BT106" s="109">
        <v>0</v>
      </c>
      <c r="BU106" s="109">
        <v>0</v>
      </c>
      <c r="BV106" s="109"/>
      <c r="BW106" s="109">
        <v>0</v>
      </c>
      <c r="BX106" s="109">
        <v>0</v>
      </c>
      <c r="BY106" s="109"/>
      <c r="BZ106" s="109">
        <v>0</v>
      </c>
      <c r="CA106" s="109"/>
      <c r="CB106" s="109"/>
      <c r="CC106" s="109"/>
      <c r="CD106" s="110"/>
    </row>
    <row r="107" spans="1:82" ht="13.9" customHeight="1" x14ac:dyDescent="0.2">
      <c r="A107" s="12">
        <v>277</v>
      </c>
      <c r="B107" s="12" t="s">
        <v>4232</v>
      </c>
      <c r="C107" s="104" t="s">
        <v>299</v>
      </c>
      <c r="D107" s="99" t="s">
        <v>80</v>
      </c>
      <c r="E107" s="99" t="s">
        <v>6515</v>
      </c>
      <c r="F107" s="100">
        <v>44593</v>
      </c>
      <c r="G107" s="100">
        <v>44593</v>
      </c>
      <c r="H107" s="101">
        <f t="shared" si="6"/>
        <v>44683</v>
      </c>
      <c r="I107" s="101" t="s">
        <v>291</v>
      </c>
      <c r="J107" s="12" t="s">
        <v>4391</v>
      </c>
      <c r="K107" s="12" t="s">
        <v>446</v>
      </c>
      <c r="L107" s="12" t="s">
        <v>1854</v>
      </c>
      <c r="M107" s="102" t="str">
        <f t="shared" si="7"/>
        <v>GUANTE CRUZ JORGE</v>
      </c>
      <c r="N107" s="102" t="s">
        <v>6896</v>
      </c>
      <c r="O107" s="102" t="s">
        <v>4735</v>
      </c>
      <c r="P107" s="12" t="s">
        <v>1953</v>
      </c>
      <c r="Q107" s="100">
        <v>30133</v>
      </c>
      <c r="R107" s="77">
        <f t="shared" si="8"/>
        <v>1</v>
      </c>
      <c r="S107" s="77">
        <f t="shared" si="9"/>
        <v>7</v>
      </c>
      <c r="T107" s="77">
        <f t="shared" si="10"/>
        <v>1982</v>
      </c>
      <c r="U107" s="103">
        <f t="shared" ca="1" si="11"/>
        <v>44.31232876712329</v>
      </c>
      <c r="V107" s="13" t="s">
        <v>342</v>
      </c>
      <c r="W107" s="13" t="s">
        <v>2146</v>
      </c>
      <c r="X107" s="12" t="s">
        <v>1497</v>
      </c>
      <c r="Y107" s="12" t="s">
        <v>187</v>
      </c>
      <c r="Z107" s="12" t="s">
        <v>170</v>
      </c>
      <c r="AA107" s="12" t="s">
        <v>636</v>
      </c>
      <c r="AB107" s="12" t="s">
        <v>1368</v>
      </c>
      <c r="AC107" s="12" t="s">
        <v>313</v>
      </c>
      <c r="AD107" s="12" t="s">
        <v>314</v>
      </c>
      <c r="AE107" s="12">
        <v>90</v>
      </c>
      <c r="AF107" s="13" t="s">
        <v>315</v>
      </c>
      <c r="AG107" s="12" t="s">
        <v>291</v>
      </c>
      <c r="AH107" s="104" t="s">
        <v>316</v>
      </c>
      <c r="AI107" s="12" t="s">
        <v>317</v>
      </c>
      <c r="AJ107" s="12" t="s">
        <v>318</v>
      </c>
      <c r="AK107" s="12" t="s">
        <v>2760</v>
      </c>
      <c r="AL107" s="104" t="s">
        <v>3052</v>
      </c>
      <c r="AM107" s="12" t="s">
        <v>2523</v>
      </c>
      <c r="AN107" s="12" t="s">
        <v>381</v>
      </c>
      <c r="AO107" s="12" t="s">
        <v>398</v>
      </c>
      <c r="AP107" s="12"/>
      <c r="AQ107" s="12">
        <v>0</v>
      </c>
      <c r="AR107" s="12">
        <v>0</v>
      </c>
      <c r="AS107" s="12">
        <v>0</v>
      </c>
      <c r="AT107" s="12">
        <v>0</v>
      </c>
      <c r="AU107" s="12">
        <v>0</v>
      </c>
      <c r="AV107" s="12">
        <v>0</v>
      </c>
      <c r="AW107" s="12" t="s">
        <v>357</v>
      </c>
      <c r="AX107" s="12" t="s">
        <v>357</v>
      </c>
      <c r="AY107" s="12" t="s">
        <v>330</v>
      </c>
      <c r="AZ107" s="12"/>
      <c r="BA107" s="12"/>
      <c r="BB107" s="12"/>
      <c r="BC107" s="12"/>
      <c r="BD107" s="12" t="s">
        <v>2523</v>
      </c>
      <c r="BE107" s="12" t="s">
        <v>381</v>
      </c>
      <c r="BF107" s="12" t="s">
        <v>3714</v>
      </c>
      <c r="BG107" s="12" t="s">
        <v>444</v>
      </c>
      <c r="BH107" s="12" t="s">
        <v>334</v>
      </c>
      <c r="BI107" s="12">
        <v>2</v>
      </c>
      <c r="BJ107" s="12" t="s">
        <v>3883</v>
      </c>
      <c r="BK107" s="12" t="s">
        <v>3911</v>
      </c>
      <c r="BL107" s="105" t="s">
        <v>3912</v>
      </c>
      <c r="BM107" s="12"/>
      <c r="BN107" s="12" t="s">
        <v>571</v>
      </c>
      <c r="BO107" s="105" t="s">
        <v>3924</v>
      </c>
      <c r="BP107" s="12"/>
      <c r="BQ107" s="12">
        <v>0</v>
      </c>
      <c r="BR107" s="12">
        <v>0</v>
      </c>
      <c r="BS107" s="12"/>
      <c r="BT107" s="12">
        <v>0</v>
      </c>
      <c r="BU107" s="12">
        <v>0</v>
      </c>
      <c r="BV107" s="12"/>
      <c r="BW107" s="12">
        <v>0</v>
      </c>
      <c r="BX107" s="12">
        <v>0</v>
      </c>
      <c r="BY107" s="12"/>
      <c r="BZ107" s="12">
        <v>0</v>
      </c>
      <c r="CA107" s="12"/>
      <c r="CB107" s="12"/>
      <c r="CC107" s="12"/>
      <c r="CD107" s="78"/>
    </row>
    <row r="108" spans="1:82" ht="13.9" customHeight="1" x14ac:dyDescent="0.2">
      <c r="A108" s="12">
        <v>278</v>
      </c>
      <c r="B108" s="12" t="s">
        <v>4233</v>
      </c>
      <c r="C108" s="104" t="s">
        <v>299</v>
      </c>
      <c r="D108" s="99" t="s">
        <v>80</v>
      </c>
      <c r="E108" s="99" t="s">
        <v>6747</v>
      </c>
      <c r="F108" s="100">
        <v>44593</v>
      </c>
      <c r="G108" s="100">
        <v>44593</v>
      </c>
      <c r="H108" s="101">
        <f t="shared" si="6"/>
        <v>44683</v>
      </c>
      <c r="I108" s="101" t="s">
        <v>291</v>
      </c>
      <c r="J108" s="12" t="s">
        <v>4392</v>
      </c>
      <c r="K108" s="12" t="s">
        <v>4403</v>
      </c>
      <c r="L108" s="12" t="s">
        <v>1855</v>
      </c>
      <c r="M108" s="102" t="str">
        <f t="shared" si="7"/>
        <v>ALONSO  CORTEZ LIZETH ARACELY</v>
      </c>
      <c r="N108" s="102" t="s">
        <v>7158</v>
      </c>
      <c r="O108" s="102" t="s">
        <v>7238</v>
      </c>
      <c r="P108" s="12" t="s">
        <v>1954</v>
      </c>
      <c r="Q108" s="100">
        <v>32625</v>
      </c>
      <c r="R108" s="77">
        <f t="shared" si="8"/>
        <v>27</v>
      </c>
      <c r="S108" s="77">
        <f t="shared" si="9"/>
        <v>4</v>
      </c>
      <c r="T108" s="77">
        <f t="shared" si="10"/>
        <v>1989</v>
      </c>
      <c r="U108" s="103">
        <f t="shared" ca="1" si="11"/>
        <v>37.484931506849314</v>
      </c>
      <c r="V108" s="13" t="s">
        <v>308</v>
      </c>
      <c r="W108" s="13" t="s">
        <v>2147</v>
      </c>
      <c r="X108" s="12" t="s">
        <v>1497</v>
      </c>
      <c r="Y108" s="12" t="s">
        <v>188</v>
      </c>
      <c r="Z108" s="12" t="s">
        <v>170</v>
      </c>
      <c r="AA108" s="12" t="s">
        <v>636</v>
      </c>
      <c r="AB108" s="12" t="s">
        <v>1368</v>
      </c>
      <c r="AC108" s="12" t="s">
        <v>313</v>
      </c>
      <c r="AD108" s="12" t="s">
        <v>314</v>
      </c>
      <c r="AE108" s="12">
        <v>90</v>
      </c>
      <c r="AF108" s="13" t="s">
        <v>315</v>
      </c>
      <c r="AG108" s="12" t="s">
        <v>291</v>
      </c>
      <c r="AH108" s="104" t="s">
        <v>316</v>
      </c>
      <c r="AI108" s="12" t="s">
        <v>317</v>
      </c>
      <c r="AJ108" s="12" t="s">
        <v>318</v>
      </c>
      <c r="AK108" s="12" t="s">
        <v>2761</v>
      </c>
      <c r="AL108" s="104" t="s">
        <v>3053</v>
      </c>
      <c r="AM108" s="12" t="s">
        <v>2524</v>
      </c>
      <c r="AN108" s="12" t="s">
        <v>325</v>
      </c>
      <c r="AO108" s="12" t="s">
        <v>398</v>
      </c>
      <c r="AP108" s="12"/>
      <c r="AQ108" s="12">
        <v>0</v>
      </c>
      <c r="AR108" s="12">
        <v>0</v>
      </c>
      <c r="AS108" s="12">
        <v>0</v>
      </c>
      <c r="AT108" s="12">
        <v>0</v>
      </c>
      <c r="AU108" s="12">
        <v>0</v>
      </c>
      <c r="AV108" s="12">
        <v>0</v>
      </c>
      <c r="AW108" s="12" t="s">
        <v>357</v>
      </c>
      <c r="AX108" s="12" t="s">
        <v>357</v>
      </c>
      <c r="AY108" s="12" t="s">
        <v>330</v>
      </c>
      <c r="AZ108" s="12"/>
      <c r="BA108" s="12"/>
      <c r="BB108" s="12"/>
      <c r="BC108" s="12"/>
      <c r="BD108" s="12" t="s">
        <v>3526</v>
      </c>
      <c r="BE108" s="12" t="s">
        <v>401</v>
      </c>
      <c r="BF108" s="12" t="s">
        <v>3715</v>
      </c>
      <c r="BG108" s="12" t="s">
        <v>685</v>
      </c>
      <c r="BH108" s="12" t="s">
        <v>334</v>
      </c>
      <c r="BI108" s="12" t="s">
        <v>362</v>
      </c>
      <c r="BJ108" s="12" t="s">
        <v>3888</v>
      </c>
      <c r="BK108" s="12" t="s">
        <v>3911</v>
      </c>
      <c r="BL108" s="105">
        <v>0</v>
      </c>
      <c r="BM108" s="12"/>
      <c r="BN108" s="12">
        <v>0</v>
      </c>
      <c r="BO108" s="105">
        <v>0</v>
      </c>
      <c r="BP108" s="12"/>
      <c r="BQ108" s="12">
        <v>0</v>
      </c>
      <c r="BR108" s="12">
        <v>0</v>
      </c>
      <c r="BS108" s="12"/>
      <c r="BT108" s="12">
        <v>0</v>
      </c>
      <c r="BU108" s="12">
        <v>0</v>
      </c>
      <c r="BV108" s="12"/>
      <c r="BW108" s="12">
        <v>0</v>
      </c>
      <c r="BX108" s="12">
        <v>0</v>
      </c>
      <c r="BY108" s="12"/>
      <c r="BZ108" s="12">
        <v>0</v>
      </c>
      <c r="CA108" s="12"/>
      <c r="CB108" s="12"/>
      <c r="CC108" s="12"/>
      <c r="CD108" s="78"/>
    </row>
    <row r="109" spans="1:82" ht="13.9" customHeight="1" x14ac:dyDescent="0.2">
      <c r="A109" s="12">
        <v>291</v>
      </c>
      <c r="B109" s="12" t="s">
        <v>4117</v>
      </c>
      <c r="C109" s="78" t="s">
        <v>335</v>
      </c>
      <c r="D109" s="99" t="s">
        <v>161</v>
      </c>
      <c r="E109" s="99" t="s">
        <v>6516</v>
      </c>
      <c r="F109" s="100">
        <v>44662</v>
      </c>
      <c r="G109" s="100">
        <v>44914</v>
      </c>
      <c r="H109" s="101">
        <f t="shared" si="6"/>
        <v>45004</v>
      </c>
      <c r="I109" s="101" t="s">
        <v>290</v>
      </c>
      <c r="J109" s="12" t="s">
        <v>1236</v>
      </c>
      <c r="K109" s="12" t="s">
        <v>4484</v>
      </c>
      <c r="L109" s="12" t="s">
        <v>1309</v>
      </c>
      <c r="M109" s="102" t="str">
        <f t="shared" si="7"/>
        <v>GUERRERO RUBIO JOSE ANTONIO</v>
      </c>
      <c r="N109" s="102" t="s">
        <v>6897</v>
      </c>
      <c r="O109" s="102" t="s">
        <v>4713</v>
      </c>
      <c r="P109" s="12" t="s">
        <v>1953</v>
      </c>
      <c r="Q109" s="100">
        <v>29003</v>
      </c>
      <c r="R109" s="77">
        <f t="shared" si="8"/>
        <v>28</v>
      </c>
      <c r="S109" s="77">
        <f t="shared" si="9"/>
        <v>5</v>
      </c>
      <c r="T109" s="77">
        <f t="shared" si="10"/>
        <v>1979</v>
      </c>
      <c r="U109" s="103">
        <f t="shared" ca="1" si="11"/>
        <v>47.408219178082192</v>
      </c>
      <c r="V109" s="13" t="s">
        <v>389</v>
      </c>
      <c r="W109" s="13" t="s">
        <v>2124</v>
      </c>
      <c r="X109" s="12" t="s">
        <v>1497</v>
      </c>
      <c r="Y109" s="12" t="s">
        <v>113</v>
      </c>
      <c r="Z109" s="12" t="s">
        <v>164</v>
      </c>
      <c r="AA109" s="12" t="s">
        <v>347</v>
      </c>
      <c r="AB109" s="12" t="s">
        <v>2297</v>
      </c>
      <c r="AC109" s="12" t="s">
        <v>313</v>
      </c>
      <c r="AD109" s="12" t="s">
        <v>314</v>
      </c>
      <c r="AE109" s="12">
        <v>90</v>
      </c>
      <c r="AF109" s="13" t="s">
        <v>2330</v>
      </c>
      <c r="AG109" s="12" t="s">
        <v>290</v>
      </c>
      <c r="AH109" s="104" t="s">
        <v>2343</v>
      </c>
      <c r="AI109" s="12" t="s">
        <v>317</v>
      </c>
      <c r="AJ109" s="12" t="s">
        <v>318</v>
      </c>
      <c r="AK109" s="12" t="s">
        <v>2743</v>
      </c>
      <c r="AL109" s="104" t="s">
        <v>3030</v>
      </c>
      <c r="AM109" s="12" t="s">
        <v>2501</v>
      </c>
      <c r="AN109" s="12" t="s">
        <v>622</v>
      </c>
      <c r="AO109" s="12" t="s">
        <v>398</v>
      </c>
      <c r="AP109" s="12"/>
      <c r="AQ109" s="12">
        <v>0</v>
      </c>
      <c r="AR109" s="12">
        <v>0</v>
      </c>
      <c r="AS109" s="12">
        <v>0</v>
      </c>
      <c r="AT109" s="12">
        <v>0</v>
      </c>
      <c r="AU109" s="12">
        <v>0</v>
      </c>
      <c r="AV109" s="12">
        <v>0</v>
      </c>
      <c r="AW109" s="12" t="s">
        <v>328</v>
      </c>
      <c r="AX109" s="12" t="s">
        <v>329</v>
      </c>
      <c r="AY109" s="12" t="s">
        <v>330</v>
      </c>
      <c r="AZ109" s="12" t="s">
        <v>3424</v>
      </c>
      <c r="BA109" s="12" t="s">
        <v>3438</v>
      </c>
      <c r="BB109" s="12" t="s">
        <v>3455</v>
      </c>
      <c r="BC109" s="12" t="s">
        <v>2297</v>
      </c>
      <c r="BD109" s="12" t="s">
        <v>3511</v>
      </c>
      <c r="BE109" s="12" t="s">
        <v>478</v>
      </c>
      <c r="BF109" s="12" t="s">
        <v>3695</v>
      </c>
      <c r="BG109" s="12" t="s">
        <v>362</v>
      </c>
      <c r="BH109" s="12" t="s">
        <v>362</v>
      </c>
      <c r="BI109" s="12">
        <v>2</v>
      </c>
      <c r="BJ109" s="12" t="s">
        <v>3873</v>
      </c>
      <c r="BK109" s="12" t="s">
        <v>3911</v>
      </c>
      <c r="BL109" s="105">
        <v>12</v>
      </c>
      <c r="BM109" s="12"/>
      <c r="BN109" s="12" t="s">
        <v>1953</v>
      </c>
      <c r="BO109" s="105">
        <v>11</v>
      </c>
      <c r="BP109" s="12"/>
      <c r="BQ109" s="12">
        <v>0</v>
      </c>
      <c r="BR109" s="12">
        <v>0</v>
      </c>
      <c r="BS109" s="12"/>
      <c r="BT109" s="12">
        <v>0</v>
      </c>
      <c r="BU109" s="12">
        <v>0</v>
      </c>
      <c r="BV109" s="12"/>
      <c r="BW109" s="12">
        <v>0</v>
      </c>
      <c r="BX109" s="12">
        <v>0</v>
      </c>
      <c r="BY109" s="12"/>
      <c r="BZ109" s="12">
        <v>0</v>
      </c>
      <c r="CA109" s="12"/>
      <c r="CB109" s="12"/>
      <c r="CC109" s="12"/>
      <c r="CD109" s="78"/>
    </row>
    <row r="110" spans="1:82" s="116" customFormat="1" ht="13.9" customHeight="1" x14ac:dyDescent="0.2">
      <c r="A110" s="109">
        <v>298</v>
      </c>
      <c r="B110" s="109" t="s">
        <v>7248</v>
      </c>
      <c r="C110" s="110" t="s">
        <v>363</v>
      </c>
      <c r="D110" s="109" t="s">
        <v>98</v>
      </c>
      <c r="E110" s="111" t="s">
        <v>6517</v>
      </c>
      <c r="F110" s="112">
        <v>44683</v>
      </c>
      <c r="G110" s="112">
        <v>44683</v>
      </c>
      <c r="H110" s="113">
        <f t="shared" si="6"/>
        <v>44773</v>
      </c>
      <c r="I110" s="113" t="s">
        <v>291</v>
      </c>
      <c r="J110" s="109" t="s">
        <v>4403</v>
      </c>
      <c r="K110" s="109" t="s">
        <v>404</v>
      </c>
      <c r="L110" s="109" t="s">
        <v>1883</v>
      </c>
      <c r="M110" s="128" t="str">
        <f t="shared" si="7"/>
        <v>CORTEZ GOMEZ MONICA BERENICE</v>
      </c>
      <c r="N110" s="128" t="s">
        <v>6898</v>
      </c>
      <c r="O110" s="128" t="s">
        <v>4769</v>
      </c>
      <c r="P110" s="109" t="s">
        <v>1954</v>
      </c>
      <c r="Q110" s="112">
        <v>29471</v>
      </c>
      <c r="R110" s="125">
        <f t="shared" si="8"/>
        <v>7</v>
      </c>
      <c r="S110" s="125">
        <f t="shared" si="9"/>
        <v>9</v>
      </c>
      <c r="T110" s="125">
        <f t="shared" si="10"/>
        <v>1980</v>
      </c>
      <c r="U110" s="142">
        <f t="shared" ca="1" si="11"/>
        <v>46.126027397260273</v>
      </c>
      <c r="V110" s="114" t="s">
        <v>1450</v>
      </c>
      <c r="W110" s="114" t="s">
        <v>2180</v>
      </c>
      <c r="X110" s="109" t="s">
        <v>1497</v>
      </c>
      <c r="Y110" s="120" t="s">
        <v>216</v>
      </c>
      <c r="Z110" s="109" t="s">
        <v>214</v>
      </c>
      <c r="AA110" s="109" t="s">
        <v>857</v>
      </c>
      <c r="AB110" s="109" t="s">
        <v>2306</v>
      </c>
      <c r="AC110" s="109" t="s">
        <v>313</v>
      </c>
      <c r="AD110" s="109" t="s">
        <v>314</v>
      </c>
      <c r="AE110" s="109">
        <v>90</v>
      </c>
      <c r="AF110" s="114" t="s">
        <v>350</v>
      </c>
      <c r="AG110" s="109" t="s">
        <v>290</v>
      </c>
      <c r="AH110" s="115" t="s">
        <v>351</v>
      </c>
      <c r="AI110" s="109" t="s">
        <v>317</v>
      </c>
      <c r="AJ110" s="109" t="s">
        <v>2635</v>
      </c>
      <c r="AK110" s="109" t="s">
        <v>2788</v>
      </c>
      <c r="AL110" s="115" t="s">
        <v>3084</v>
      </c>
      <c r="AM110" s="109" t="s">
        <v>2553</v>
      </c>
      <c r="AN110" s="109" t="s">
        <v>3178</v>
      </c>
      <c r="AO110" s="109" t="s">
        <v>398</v>
      </c>
      <c r="AP110" s="109"/>
      <c r="AQ110" s="109">
        <v>0</v>
      </c>
      <c r="AR110" s="109">
        <v>0</v>
      </c>
      <c r="AS110" s="109">
        <v>0</v>
      </c>
      <c r="AT110" s="109">
        <v>0</v>
      </c>
      <c r="AU110" s="109">
        <v>0</v>
      </c>
      <c r="AV110" s="109">
        <v>0</v>
      </c>
      <c r="AW110" s="109">
        <v>0</v>
      </c>
      <c r="AX110" s="109" t="s">
        <v>357</v>
      </c>
      <c r="AY110" s="109" t="s">
        <v>330</v>
      </c>
      <c r="AZ110" s="109"/>
      <c r="BA110" s="109"/>
      <c r="BB110" s="109"/>
      <c r="BC110" s="109"/>
      <c r="BD110" s="109" t="s">
        <v>3538</v>
      </c>
      <c r="BE110" s="109" t="s">
        <v>3178</v>
      </c>
      <c r="BF110" s="109" t="s">
        <v>3742</v>
      </c>
      <c r="BG110" s="109" t="s">
        <v>333</v>
      </c>
      <c r="BH110" s="109" t="s">
        <v>334</v>
      </c>
      <c r="BI110" s="109">
        <v>3</v>
      </c>
      <c r="BJ110" s="109" t="s">
        <v>3887</v>
      </c>
      <c r="BK110" s="109" t="s">
        <v>3911</v>
      </c>
      <c r="BL110" s="111">
        <v>15</v>
      </c>
      <c r="BM110" s="109"/>
      <c r="BN110" s="109" t="s">
        <v>571</v>
      </c>
      <c r="BO110" s="111">
        <v>12</v>
      </c>
      <c r="BP110" s="109"/>
      <c r="BQ110" s="109" t="s">
        <v>3911</v>
      </c>
      <c r="BR110" s="109">
        <v>8</v>
      </c>
      <c r="BS110" s="109"/>
      <c r="BT110" s="109">
        <v>0</v>
      </c>
      <c r="BU110" s="109">
        <v>0</v>
      </c>
      <c r="BV110" s="109"/>
      <c r="BW110" s="109">
        <v>0</v>
      </c>
      <c r="BX110" s="109">
        <v>0</v>
      </c>
      <c r="BY110" s="109"/>
      <c r="BZ110" s="109">
        <v>0</v>
      </c>
      <c r="CA110" s="109"/>
      <c r="CB110" s="109"/>
      <c r="CC110" s="109"/>
      <c r="CD110" s="110"/>
    </row>
    <row r="111" spans="1:82" s="116" customFormat="1" ht="13.9" customHeight="1" x14ac:dyDescent="0.2">
      <c r="A111" s="109">
        <v>304</v>
      </c>
      <c r="B111" s="109" t="s">
        <v>4011</v>
      </c>
      <c r="C111" s="115" t="s">
        <v>564</v>
      </c>
      <c r="D111" s="109" t="s">
        <v>81</v>
      </c>
      <c r="E111" s="111" t="s">
        <v>6518</v>
      </c>
      <c r="F111" s="112">
        <v>44725</v>
      </c>
      <c r="G111" s="112">
        <v>44725</v>
      </c>
      <c r="H111" s="113">
        <f t="shared" si="6"/>
        <v>44815</v>
      </c>
      <c r="I111" s="113" t="s">
        <v>291</v>
      </c>
      <c r="J111" s="109" t="s">
        <v>4426</v>
      </c>
      <c r="K111" s="109" t="s">
        <v>4535</v>
      </c>
      <c r="L111" s="109" t="s">
        <v>1924</v>
      </c>
      <c r="M111" s="128" t="str">
        <f t="shared" si="7"/>
        <v>MIRELES GARAY JORGE ARMANDO</v>
      </c>
      <c r="N111" s="128" t="s">
        <v>6899</v>
      </c>
      <c r="O111" s="128" t="s">
        <v>4830</v>
      </c>
      <c r="P111" s="109" t="s">
        <v>1953</v>
      </c>
      <c r="Q111" s="112">
        <v>25561</v>
      </c>
      <c r="R111" s="125">
        <f t="shared" si="8"/>
        <v>24</v>
      </c>
      <c r="S111" s="125">
        <f t="shared" si="9"/>
        <v>12</v>
      </c>
      <c r="T111" s="125">
        <f t="shared" si="10"/>
        <v>1969</v>
      </c>
      <c r="U111" s="142">
        <f t="shared" ca="1" si="11"/>
        <v>56.838356164383562</v>
      </c>
      <c r="V111" s="114" t="s">
        <v>452</v>
      </c>
      <c r="W111" s="114" t="s">
        <v>2241</v>
      </c>
      <c r="X111" s="109" t="s">
        <v>1497</v>
      </c>
      <c r="Y111" s="120" t="s">
        <v>261</v>
      </c>
      <c r="Z111" s="109" t="s">
        <v>260</v>
      </c>
      <c r="AA111" s="109" t="s">
        <v>532</v>
      </c>
      <c r="AB111" s="109" t="s">
        <v>637</v>
      </c>
      <c r="AC111" s="109" t="s">
        <v>313</v>
      </c>
      <c r="AD111" s="109" t="s">
        <v>314</v>
      </c>
      <c r="AE111" s="109">
        <v>90</v>
      </c>
      <c r="AF111" s="114" t="s">
        <v>597</v>
      </c>
      <c r="AG111" s="109" t="s">
        <v>290</v>
      </c>
      <c r="AH111" s="115" t="s">
        <v>2331</v>
      </c>
      <c r="AI111" s="109" t="s">
        <v>317</v>
      </c>
      <c r="AJ111" s="109" t="s">
        <v>318</v>
      </c>
      <c r="AK111" s="109" t="s">
        <v>2841</v>
      </c>
      <c r="AL111" s="115" t="s">
        <v>3145</v>
      </c>
      <c r="AM111" s="109" t="s">
        <v>2612</v>
      </c>
      <c r="AN111" s="109" t="s">
        <v>478</v>
      </c>
      <c r="AO111" s="109" t="s">
        <v>398</v>
      </c>
      <c r="AP111" s="109"/>
      <c r="AQ111" s="109">
        <v>0</v>
      </c>
      <c r="AR111" s="109">
        <v>0</v>
      </c>
      <c r="AS111" s="109">
        <v>0</v>
      </c>
      <c r="AT111" s="109">
        <v>0</v>
      </c>
      <c r="AU111" s="109">
        <v>0</v>
      </c>
      <c r="AV111" s="109">
        <v>0</v>
      </c>
      <c r="AW111" s="109" t="s">
        <v>328</v>
      </c>
      <c r="AX111" s="109" t="s">
        <v>357</v>
      </c>
      <c r="AY111" s="109" t="s">
        <v>330</v>
      </c>
      <c r="AZ111" s="109"/>
      <c r="BA111" s="109"/>
      <c r="BB111" s="109"/>
      <c r="BC111" s="109"/>
      <c r="BD111" s="109" t="s">
        <v>2612</v>
      </c>
      <c r="BE111" s="109" t="s">
        <v>478</v>
      </c>
      <c r="BF111" s="109" t="s">
        <v>3793</v>
      </c>
      <c r="BG111" s="109" t="s">
        <v>333</v>
      </c>
      <c r="BH111" s="109" t="s">
        <v>334</v>
      </c>
      <c r="BI111" s="109">
        <v>2</v>
      </c>
      <c r="BJ111" s="109" t="s">
        <v>3908</v>
      </c>
      <c r="BK111" s="109" t="s">
        <v>3911</v>
      </c>
      <c r="BL111" s="111">
        <v>0</v>
      </c>
      <c r="BM111" s="109"/>
      <c r="BN111" s="109">
        <v>0</v>
      </c>
      <c r="BO111" s="111">
        <v>0</v>
      </c>
      <c r="BP111" s="109"/>
      <c r="BQ111" s="109">
        <v>0</v>
      </c>
      <c r="BR111" s="109">
        <v>0</v>
      </c>
      <c r="BS111" s="109"/>
      <c r="BT111" s="109">
        <v>0</v>
      </c>
      <c r="BU111" s="109">
        <v>0</v>
      </c>
      <c r="BV111" s="109"/>
      <c r="BW111" s="109">
        <v>0</v>
      </c>
      <c r="BX111" s="109">
        <v>0</v>
      </c>
      <c r="BY111" s="109"/>
      <c r="BZ111" s="109">
        <v>0</v>
      </c>
      <c r="CA111" s="109"/>
      <c r="CB111" s="109"/>
      <c r="CC111" s="109"/>
      <c r="CD111" s="110"/>
    </row>
    <row r="112" spans="1:82" ht="13.9" customHeight="1" x14ac:dyDescent="0.25">
      <c r="A112" s="12">
        <v>305</v>
      </c>
      <c r="B112" s="12" t="s">
        <v>4086</v>
      </c>
      <c r="C112" s="78" t="s">
        <v>335</v>
      </c>
      <c r="D112" s="107" t="s">
        <v>228</v>
      </c>
      <c r="E112" s="28" t="s">
        <v>6815</v>
      </c>
      <c r="F112" s="100">
        <v>44726</v>
      </c>
      <c r="G112" s="100">
        <v>44914</v>
      </c>
      <c r="H112" s="101">
        <f t="shared" si="6"/>
        <v>45004</v>
      </c>
      <c r="I112" s="101" t="s">
        <v>290</v>
      </c>
      <c r="J112" s="12" t="s">
        <v>365</v>
      </c>
      <c r="K112" s="12"/>
      <c r="L112" s="12" t="s">
        <v>736</v>
      </c>
      <c r="M112" s="102" t="str">
        <f>_xlfn.CONCAT(J112," ",L112)</f>
        <v>RODRIGUEZ  DAVID ALEJANDRO</v>
      </c>
      <c r="N112" s="102" t="s">
        <v>4546</v>
      </c>
      <c r="O112" s="102" t="s">
        <v>4678</v>
      </c>
      <c r="P112" s="12" t="s">
        <v>1953</v>
      </c>
      <c r="Q112" s="100">
        <v>27878</v>
      </c>
      <c r="R112" s="77">
        <f t="shared" si="8"/>
        <v>28</v>
      </c>
      <c r="S112" s="77">
        <f t="shared" si="9"/>
        <v>4</v>
      </c>
      <c r="T112" s="77">
        <f t="shared" si="10"/>
        <v>1976</v>
      </c>
      <c r="U112" s="103">
        <f t="shared" ca="1" si="11"/>
        <v>50.490410958904107</v>
      </c>
      <c r="V112" s="13" t="s">
        <v>342</v>
      </c>
      <c r="W112" s="13" t="s">
        <v>2089</v>
      </c>
      <c r="X112" s="12" t="s">
        <v>1497</v>
      </c>
      <c r="Y112" s="121" t="s">
        <v>150</v>
      </c>
      <c r="Z112" s="12" t="s">
        <v>149</v>
      </c>
      <c r="AA112" s="12" t="s">
        <v>347</v>
      </c>
      <c r="AB112" s="12" t="s">
        <v>2294</v>
      </c>
      <c r="AC112" s="12" t="s">
        <v>313</v>
      </c>
      <c r="AD112" s="12" t="s">
        <v>314</v>
      </c>
      <c r="AE112" s="12">
        <v>90</v>
      </c>
      <c r="AF112" s="13" t="s">
        <v>949</v>
      </c>
      <c r="AG112" s="12" t="s">
        <v>290</v>
      </c>
      <c r="AH112" s="104" t="s">
        <v>950</v>
      </c>
      <c r="AI112" s="12" t="s">
        <v>317</v>
      </c>
      <c r="AJ112" s="12" t="s">
        <v>318</v>
      </c>
      <c r="AK112" s="12" t="s">
        <v>2719</v>
      </c>
      <c r="AL112" s="104" t="s">
        <v>2995</v>
      </c>
      <c r="AM112" s="12" t="s">
        <v>2471</v>
      </c>
      <c r="AN112" s="12" t="s">
        <v>381</v>
      </c>
      <c r="AO112" s="12" t="s">
        <v>398</v>
      </c>
      <c r="AP112" s="12"/>
      <c r="AQ112" s="12">
        <v>0</v>
      </c>
      <c r="AR112" s="12">
        <v>0</v>
      </c>
      <c r="AS112" s="12">
        <v>0</v>
      </c>
      <c r="AT112" s="12">
        <v>0</v>
      </c>
      <c r="AU112" s="12">
        <v>0</v>
      </c>
      <c r="AV112" s="12">
        <v>0</v>
      </c>
      <c r="AW112" s="12" t="s">
        <v>420</v>
      </c>
      <c r="AX112" s="12" t="s">
        <v>329</v>
      </c>
      <c r="AY112" s="12" t="s">
        <v>330</v>
      </c>
      <c r="AZ112" s="12"/>
      <c r="BA112" s="12"/>
      <c r="BB112" s="12"/>
      <c r="BC112" s="12"/>
      <c r="BD112" s="12" t="s">
        <v>2471</v>
      </c>
      <c r="BE112" s="12" t="s">
        <v>381</v>
      </c>
      <c r="BF112" s="12" t="s">
        <v>3669</v>
      </c>
      <c r="BG112" s="12" t="s">
        <v>685</v>
      </c>
      <c r="BH112" s="12" t="s">
        <v>334</v>
      </c>
      <c r="BI112" s="12">
        <v>3</v>
      </c>
      <c r="BJ112" s="12" t="s">
        <v>3863</v>
      </c>
      <c r="BK112" s="12" t="s">
        <v>3911</v>
      </c>
      <c r="BL112" s="105">
        <v>27</v>
      </c>
      <c r="BM112" s="12"/>
      <c r="BN112" s="12" t="s">
        <v>571</v>
      </c>
      <c r="BO112" s="105">
        <v>23</v>
      </c>
      <c r="BP112" s="12"/>
      <c r="BQ112" s="12" t="s">
        <v>571</v>
      </c>
      <c r="BR112" s="12">
        <v>21</v>
      </c>
      <c r="BS112" s="12"/>
      <c r="BT112" s="12">
        <v>0</v>
      </c>
      <c r="BU112" s="12">
        <v>0</v>
      </c>
      <c r="BV112" s="12"/>
      <c r="BW112" s="12">
        <v>0</v>
      </c>
      <c r="BX112" s="12">
        <v>0</v>
      </c>
      <c r="BY112" s="12"/>
      <c r="BZ112" s="12">
        <v>0</v>
      </c>
      <c r="CA112" s="12"/>
      <c r="CB112" s="12"/>
      <c r="CC112" s="12"/>
      <c r="CD112" s="78"/>
    </row>
    <row r="113" spans="1:82" s="116" customFormat="1" ht="13.9" customHeight="1" x14ac:dyDescent="0.2">
      <c r="A113" s="109">
        <v>306</v>
      </c>
      <c r="B113" s="109" t="s">
        <v>4138</v>
      </c>
      <c r="C113" s="110" t="s">
        <v>335</v>
      </c>
      <c r="D113" s="109" t="s">
        <v>105</v>
      </c>
      <c r="E113" s="111" t="s">
        <v>6519</v>
      </c>
      <c r="F113" s="112">
        <v>44728</v>
      </c>
      <c r="G113" s="112">
        <v>44926</v>
      </c>
      <c r="H113" s="113">
        <f t="shared" si="6"/>
        <v>45016</v>
      </c>
      <c r="I113" s="113" t="s">
        <v>291</v>
      </c>
      <c r="J113" s="109" t="s">
        <v>447</v>
      </c>
      <c r="K113" s="109" t="s">
        <v>1044</v>
      </c>
      <c r="L113" s="109" t="s">
        <v>467</v>
      </c>
      <c r="M113" s="128" t="str">
        <f t="shared" si="7"/>
        <v>GARCIA RODRIGUEZ JONATHAN</v>
      </c>
      <c r="N113" s="128" t="s">
        <v>6900</v>
      </c>
      <c r="O113" s="128" t="s">
        <v>4782</v>
      </c>
      <c r="P113" s="109" t="s">
        <v>1953</v>
      </c>
      <c r="Q113" s="112">
        <v>34391</v>
      </c>
      <c r="R113" s="125">
        <f t="shared" si="8"/>
        <v>26</v>
      </c>
      <c r="S113" s="125">
        <f t="shared" si="9"/>
        <v>2</v>
      </c>
      <c r="T113" s="125">
        <f t="shared" si="10"/>
        <v>1994</v>
      </c>
      <c r="U113" s="142">
        <f t="shared" ca="1" si="11"/>
        <v>32.646575342465752</v>
      </c>
      <c r="V113" s="114" t="s">
        <v>452</v>
      </c>
      <c r="W113" s="114" t="s">
        <v>2193</v>
      </c>
      <c r="X113" s="109" t="s">
        <v>1497</v>
      </c>
      <c r="Y113" s="120" t="s">
        <v>219</v>
      </c>
      <c r="Z113" s="98" t="s">
        <v>226</v>
      </c>
      <c r="AA113" s="109" t="s">
        <v>532</v>
      </c>
      <c r="AB113" s="109" t="s">
        <v>858</v>
      </c>
      <c r="AC113" s="109" t="s">
        <v>313</v>
      </c>
      <c r="AD113" s="109" t="s">
        <v>314</v>
      </c>
      <c r="AE113" s="109">
        <v>90</v>
      </c>
      <c r="AF113" s="114" t="s">
        <v>859</v>
      </c>
      <c r="AG113" s="109" t="s">
        <v>291</v>
      </c>
      <c r="AH113" s="115" t="s">
        <v>2338</v>
      </c>
      <c r="AI113" s="109" t="s">
        <v>317</v>
      </c>
      <c r="AJ113" s="109" t="s">
        <v>318</v>
      </c>
      <c r="AK113" s="109" t="s">
        <v>2801</v>
      </c>
      <c r="AL113" s="115" t="s">
        <v>3097</v>
      </c>
      <c r="AM113" s="109" t="s">
        <v>2566</v>
      </c>
      <c r="AN113" s="109" t="s">
        <v>381</v>
      </c>
      <c r="AO113" s="109" t="s">
        <v>398</v>
      </c>
      <c r="AP113" s="109"/>
      <c r="AQ113" s="109">
        <v>0</v>
      </c>
      <c r="AR113" s="109">
        <v>0</v>
      </c>
      <c r="AS113" s="109">
        <v>0</v>
      </c>
      <c r="AT113" s="109">
        <v>0</v>
      </c>
      <c r="AU113" s="109">
        <v>0</v>
      </c>
      <c r="AV113" s="109">
        <v>0</v>
      </c>
      <c r="AW113" s="109" t="s">
        <v>328</v>
      </c>
      <c r="AX113" s="109" t="s">
        <v>357</v>
      </c>
      <c r="AY113" s="109" t="s">
        <v>330</v>
      </c>
      <c r="AZ113" s="109"/>
      <c r="BA113" s="109"/>
      <c r="BB113" s="109"/>
      <c r="BC113" s="109"/>
      <c r="BD113" s="109" t="s">
        <v>2566</v>
      </c>
      <c r="BE113" s="109" t="s">
        <v>381</v>
      </c>
      <c r="BF113" s="109" t="s">
        <v>3753</v>
      </c>
      <c r="BG113" s="109" t="s">
        <v>333</v>
      </c>
      <c r="BH113" s="109" t="s">
        <v>334</v>
      </c>
      <c r="BI113" s="109">
        <v>1</v>
      </c>
      <c r="BJ113" s="109" t="s">
        <v>3894</v>
      </c>
      <c r="BK113" s="109" t="s">
        <v>3911</v>
      </c>
      <c r="BL113" s="111" t="s">
        <v>3862</v>
      </c>
      <c r="BM113" s="109"/>
      <c r="BN113" s="109">
        <v>0</v>
      </c>
      <c r="BO113" s="111">
        <v>0</v>
      </c>
      <c r="BP113" s="109"/>
      <c r="BQ113" s="109">
        <v>0</v>
      </c>
      <c r="BR113" s="109">
        <v>0</v>
      </c>
      <c r="BS113" s="109"/>
      <c r="BT113" s="109">
        <v>0</v>
      </c>
      <c r="BU113" s="109">
        <v>0</v>
      </c>
      <c r="BV113" s="109"/>
      <c r="BW113" s="109">
        <v>0</v>
      </c>
      <c r="BX113" s="109">
        <v>0</v>
      </c>
      <c r="BY113" s="109"/>
      <c r="BZ113" s="109">
        <v>0</v>
      </c>
      <c r="CA113" s="109"/>
      <c r="CB113" s="109"/>
      <c r="CC113" s="109"/>
      <c r="CD113" s="110"/>
    </row>
    <row r="114" spans="1:82" ht="13.9" customHeight="1" x14ac:dyDescent="0.2">
      <c r="A114" s="12">
        <v>307</v>
      </c>
      <c r="B114" s="12" t="s">
        <v>4087</v>
      </c>
      <c r="C114" s="78" t="s">
        <v>335</v>
      </c>
      <c r="D114" s="107" t="s">
        <v>228</v>
      </c>
      <c r="E114" s="99" t="s">
        <v>1653</v>
      </c>
      <c r="F114" s="100">
        <v>44732</v>
      </c>
      <c r="G114" s="100">
        <v>44914</v>
      </c>
      <c r="H114" s="101">
        <f t="shared" si="6"/>
        <v>45004</v>
      </c>
      <c r="I114" s="101" t="s">
        <v>290</v>
      </c>
      <c r="J114" s="12" t="s">
        <v>1577</v>
      </c>
      <c r="K114" s="12" t="s">
        <v>4488</v>
      </c>
      <c r="L114" s="12" t="s">
        <v>1806</v>
      </c>
      <c r="M114" s="102" t="str">
        <f t="shared" si="7"/>
        <v>ZUÑIGA LARA ERNESTO</v>
      </c>
      <c r="N114" s="102" t="s">
        <v>6901</v>
      </c>
      <c r="O114" s="102" t="s">
        <v>4679</v>
      </c>
      <c r="P114" s="12" t="s">
        <v>1953</v>
      </c>
      <c r="Q114" s="100">
        <v>32191</v>
      </c>
      <c r="R114" s="77">
        <f t="shared" si="8"/>
        <v>18</v>
      </c>
      <c r="S114" s="77">
        <f t="shared" si="9"/>
        <v>2</v>
      </c>
      <c r="T114" s="77">
        <f t="shared" si="10"/>
        <v>1988</v>
      </c>
      <c r="U114" s="103">
        <f t="shared" ca="1" si="11"/>
        <v>38.673972602739724</v>
      </c>
      <c r="V114" s="13" t="s">
        <v>342</v>
      </c>
      <c r="W114" s="13" t="s">
        <v>2090</v>
      </c>
      <c r="X114" s="12" t="s">
        <v>1497</v>
      </c>
      <c r="Y114" s="121" t="s">
        <v>119</v>
      </c>
      <c r="Z114" s="12" t="s">
        <v>147</v>
      </c>
      <c r="AA114" s="12" t="s">
        <v>2271</v>
      </c>
      <c r="AB114" s="12" t="s">
        <v>948</v>
      </c>
      <c r="AC114" s="12" t="s">
        <v>313</v>
      </c>
      <c r="AD114" s="12" t="s">
        <v>314</v>
      </c>
      <c r="AE114" s="12">
        <v>90</v>
      </c>
      <c r="AF114" s="13" t="s">
        <v>949</v>
      </c>
      <c r="AG114" s="12" t="s">
        <v>290</v>
      </c>
      <c r="AH114" s="104" t="s">
        <v>950</v>
      </c>
      <c r="AI114" s="12" t="s">
        <v>317</v>
      </c>
      <c r="AJ114" s="12" t="s">
        <v>318</v>
      </c>
      <c r="AK114" s="12" t="s">
        <v>2720</v>
      </c>
      <c r="AL114" s="104" t="s">
        <v>2996</v>
      </c>
      <c r="AM114" s="12" t="s">
        <v>2472</v>
      </c>
      <c r="AN114" s="12" t="s">
        <v>381</v>
      </c>
      <c r="AO114" s="12" t="s">
        <v>327</v>
      </c>
      <c r="AP114" s="12"/>
      <c r="AQ114" s="12">
        <v>0</v>
      </c>
      <c r="AR114" s="12">
        <v>0</v>
      </c>
      <c r="AS114" s="12">
        <v>0</v>
      </c>
      <c r="AT114" s="12">
        <v>0</v>
      </c>
      <c r="AU114" s="12">
        <v>0</v>
      </c>
      <c r="AV114" s="12">
        <v>0</v>
      </c>
      <c r="AW114" s="12" t="s">
        <v>420</v>
      </c>
      <c r="AX114" s="12" t="s">
        <v>329</v>
      </c>
      <c r="AY114" s="12" t="s">
        <v>330</v>
      </c>
      <c r="AZ114" s="12"/>
      <c r="BA114" s="12"/>
      <c r="BB114" s="12"/>
      <c r="BC114" s="12"/>
      <c r="BD114" s="12" t="s">
        <v>2472</v>
      </c>
      <c r="BE114" s="12" t="s">
        <v>381</v>
      </c>
      <c r="BF114" s="12" t="s">
        <v>3670</v>
      </c>
      <c r="BG114" s="12" t="s">
        <v>333</v>
      </c>
      <c r="BH114" s="12" t="s">
        <v>334</v>
      </c>
      <c r="BI114" s="12">
        <v>1</v>
      </c>
      <c r="BJ114" s="100">
        <v>39993</v>
      </c>
      <c r="BK114" s="12" t="s">
        <v>3911</v>
      </c>
      <c r="BL114" s="105">
        <f ca="1">(+TODAY()-BJ114)/365</f>
        <v>17.298630136986301</v>
      </c>
      <c r="BM114" s="12"/>
      <c r="BN114" s="12">
        <v>0</v>
      </c>
      <c r="BO114" s="105">
        <v>0</v>
      </c>
      <c r="BP114" s="12"/>
      <c r="BQ114" s="12">
        <v>0</v>
      </c>
      <c r="BR114" s="12">
        <v>0</v>
      </c>
      <c r="BS114" s="12"/>
      <c r="BT114" s="12">
        <v>0</v>
      </c>
      <c r="BU114" s="12">
        <v>0</v>
      </c>
      <c r="BV114" s="12"/>
      <c r="BW114" s="12">
        <v>0</v>
      </c>
      <c r="BX114" s="12">
        <v>0</v>
      </c>
      <c r="BY114" s="12"/>
      <c r="BZ114" s="12">
        <v>0</v>
      </c>
      <c r="CA114" s="12"/>
      <c r="CB114" s="12"/>
      <c r="CC114" s="12"/>
      <c r="CD114" s="78"/>
    </row>
    <row r="115" spans="1:82" ht="13.9" customHeight="1" x14ac:dyDescent="0.2">
      <c r="A115" s="107">
        <v>308</v>
      </c>
      <c r="B115" s="107" t="s">
        <v>7249</v>
      </c>
      <c r="C115" s="78" t="s">
        <v>363</v>
      </c>
      <c r="D115" s="107" t="s">
        <v>7925</v>
      </c>
      <c r="E115" s="99" t="s">
        <v>6520</v>
      </c>
      <c r="F115" s="100">
        <v>44733</v>
      </c>
      <c r="G115" s="117">
        <v>44733</v>
      </c>
      <c r="H115" s="101">
        <f t="shared" si="6"/>
        <v>44823</v>
      </c>
      <c r="I115" s="101" t="s">
        <v>290</v>
      </c>
      <c r="J115" s="12" t="s">
        <v>4334</v>
      </c>
      <c r="K115" s="12" t="s">
        <v>337</v>
      </c>
      <c r="L115" s="12" t="s">
        <v>1710</v>
      </c>
      <c r="M115" s="153" t="str">
        <f t="shared" si="7"/>
        <v>AGUILAR FLORES FRANCISCO JAVIER</v>
      </c>
      <c r="N115" s="102" t="s">
        <v>6902</v>
      </c>
      <c r="O115" s="102" t="s">
        <v>4599</v>
      </c>
      <c r="P115" s="12" t="s">
        <v>1953</v>
      </c>
      <c r="Q115" s="100">
        <v>32395</v>
      </c>
      <c r="R115" s="77">
        <f t="shared" si="8"/>
        <v>9</v>
      </c>
      <c r="S115" s="77">
        <f t="shared" si="9"/>
        <v>9</v>
      </c>
      <c r="T115" s="77">
        <f t="shared" si="10"/>
        <v>1988</v>
      </c>
      <c r="U115" s="103">
        <f t="shared" ca="1" si="11"/>
        <v>38.115068493150687</v>
      </c>
      <c r="V115" s="13" t="s">
        <v>342</v>
      </c>
      <c r="W115" s="13" t="s">
        <v>2010</v>
      </c>
      <c r="X115" s="12" t="s">
        <v>1497</v>
      </c>
      <c r="Y115" s="108" t="s">
        <v>87</v>
      </c>
      <c r="Z115" s="12" t="s">
        <v>88</v>
      </c>
      <c r="AA115" s="12" t="s">
        <v>392</v>
      </c>
      <c r="AB115" s="12" t="s">
        <v>374</v>
      </c>
      <c r="AC115" s="12" t="s">
        <v>313</v>
      </c>
      <c r="AD115" s="12" t="s">
        <v>314</v>
      </c>
      <c r="AE115" s="12">
        <v>90</v>
      </c>
      <c r="AF115" s="13" t="s">
        <v>375</v>
      </c>
      <c r="AG115" s="12" t="s">
        <v>290</v>
      </c>
      <c r="AH115" s="104" t="s">
        <v>2335</v>
      </c>
      <c r="AI115" s="12" t="s">
        <v>317</v>
      </c>
      <c r="AJ115" s="12" t="s">
        <v>318</v>
      </c>
      <c r="AK115" s="12">
        <v>4443735661</v>
      </c>
      <c r="AL115" s="104" t="s">
        <v>2917</v>
      </c>
      <c r="AM115" s="12" t="s">
        <v>2398</v>
      </c>
      <c r="AN115" s="12" t="s">
        <v>381</v>
      </c>
      <c r="AO115" s="12" t="s">
        <v>398</v>
      </c>
      <c r="AP115" s="12"/>
      <c r="AQ115" s="12">
        <v>0</v>
      </c>
      <c r="AR115" s="12">
        <v>0</v>
      </c>
      <c r="AS115" s="12">
        <v>0</v>
      </c>
      <c r="AT115" s="12">
        <v>0</v>
      </c>
      <c r="AU115" s="12">
        <v>0</v>
      </c>
      <c r="AV115" s="12">
        <v>0</v>
      </c>
      <c r="AW115" s="12" t="s">
        <v>357</v>
      </c>
      <c r="AX115" s="12" t="s">
        <v>357</v>
      </c>
      <c r="AY115" s="12" t="s">
        <v>330</v>
      </c>
      <c r="AZ115" s="12"/>
      <c r="BA115" s="12"/>
      <c r="BB115" s="12"/>
      <c r="BC115" s="12"/>
      <c r="BD115" s="12" t="s">
        <v>2398</v>
      </c>
      <c r="BE115" s="12" t="s">
        <v>381</v>
      </c>
      <c r="BF115" s="12">
        <v>4442628663</v>
      </c>
      <c r="BG115" s="12" t="s">
        <v>333</v>
      </c>
      <c r="BH115" s="12" t="s">
        <v>334</v>
      </c>
      <c r="BI115" s="12">
        <v>3</v>
      </c>
      <c r="BJ115" s="12" t="s">
        <v>3841</v>
      </c>
      <c r="BK115" s="12" t="s">
        <v>3911</v>
      </c>
      <c r="BL115" s="105">
        <v>15</v>
      </c>
      <c r="BM115" s="12"/>
      <c r="BN115" s="12" t="s">
        <v>1953</v>
      </c>
      <c r="BO115" s="105">
        <v>12</v>
      </c>
      <c r="BP115" s="12"/>
      <c r="BQ115" s="12" t="s">
        <v>3911</v>
      </c>
      <c r="BR115" s="12">
        <v>4</v>
      </c>
      <c r="BS115" s="12"/>
      <c r="BT115" s="12">
        <v>0</v>
      </c>
      <c r="BU115" s="12">
        <v>0</v>
      </c>
      <c r="BV115" s="12"/>
      <c r="BW115" s="12">
        <v>0</v>
      </c>
      <c r="BX115" s="12">
        <v>0</v>
      </c>
      <c r="BY115" s="12"/>
      <c r="BZ115" s="12">
        <v>0</v>
      </c>
      <c r="CA115" s="12"/>
      <c r="CB115" s="12"/>
      <c r="CC115" s="12"/>
      <c r="CD115" s="78"/>
    </row>
    <row r="116" spans="1:82" ht="13.9" customHeight="1" x14ac:dyDescent="0.2">
      <c r="A116" s="107">
        <v>311</v>
      </c>
      <c r="B116" s="107" t="s">
        <v>7250</v>
      </c>
      <c r="C116" s="78" t="s">
        <v>363</v>
      </c>
      <c r="D116" s="107" t="s">
        <v>7925</v>
      </c>
      <c r="E116" s="99" t="s">
        <v>6521</v>
      </c>
      <c r="F116" s="100">
        <v>44742</v>
      </c>
      <c r="G116" s="117">
        <v>44742</v>
      </c>
      <c r="H116" s="101">
        <f t="shared" si="6"/>
        <v>44832</v>
      </c>
      <c r="I116" s="101" t="s">
        <v>290</v>
      </c>
      <c r="J116" s="12" t="s">
        <v>4335</v>
      </c>
      <c r="K116" s="12" t="s">
        <v>4364</v>
      </c>
      <c r="L116" s="12" t="s">
        <v>1741</v>
      </c>
      <c r="M116" s="153" t="str">
        <f t="shared" si="7"/>
        <v>RAMOS MEDINA FEDERICO</v>
      </c>
      <c r="N116" s="102" t="s">
        <v>6903</v>
      </c>
      <c r="O116" s="102" t="s">
        <v>4600</v>
      </c>
      <c r="P116" s="12" t="s">
        <v>1953</v>
      </c>
      <c r="Q116" s="100">
        <v>26309</v>
      </c>
      <c r="R116" s="77">
        <f t="shared" si="8"/>
        <v>11</v>
      </c>
      <c r="S116" s="77">
        <f t="shared" si="9"/>
        <v>1</v>
      </c>
      <c r="T116" s="77">
        <f t="shared" si="10"/>
        <v>1972</v>
      </c>
      <c r="U116" s="103">
        <f t="shared" ca="1" si="11"/>
        <v>54.789041095890411</v>
      </c>
      <c r="V116" s="13" t="s">
        <v>342</v>
      </c>
      <c r="W116" s="13" t="s">
        <v>2011</v>
      </c>
      <c r="X116" s="12" t="s">
        <v>1497</v>
      </c>
      <c r="Y116" s="12" t="s">
        <v>87</v>
      </c>
      <c r="Z116" s="12" t="s">
        <v>88</v>
      </c>
      <c r="AA116" s="12" t="s">
        <v>392</v>
      </c>
      <c r="AB116" s="12" t="s">
        <v>374</v>
      </c>
      <c r="AC116" s="12" t="s">
        <v>313</v>
      </c>
      <c r="AD116" s="12" t="s">
        <v>314</v>
      </c>
      <c r="AE116" s="12">
        <v>90</v>
      </c>
      <c r="AF116" s="13" t="s">
        <v>375</v>
      </c>
      <c r="AG116" s="12" t="s">
        <v>290</v>
      </c>
      <c r="AH116" s="104" t="s">
        <v>2336</v>
      </c>
      <c r="AI116" s="12" t="s">
        <v>317</v>
      </c>
      <c r="AJ116" s="12" t="s">
        <v>318</v>
      </c>
      <c r="AK116" s="12" t="s">
        <v>2666</v>
      </c>
      <c r="AL116" s="104" t="s">
        <v>2918</v>
      </c>
      <c r="AM116" s="12" t="s">
        <v>2399</v>
      </c>
      <c r="AN116" s="12" t="s">
        <v>381</v>
      </c>
      <c r="AO116" s="12" t="s">
        <v>398</v>
      </c>
      <c r="AP116" s="12"/>
      <c r="AQ116" s="12">
        <v>0</v>
      </c>
      <c r="AR116" s="12">
        <v>0</v>
      </c>
      <c r="AS116" s="12">
        <v>0</v>
      </c>
      <c r="AT116" s="12">
        <v>0</v>
      </c>
      <c r="AU116" s="12">
        <v>0</v>
      </c>
      <c r="AV116" s="12">
        <v>0</v>
      </c>
      <c r="AW116" s="12" t="s">
        <v>357</v>
      </c>
      <c r="AX116" s="12" t="s">
        <v>357</v>
      </c>
      <c r="AY116" s="12" t="s">
        <v>330</v>
      </c>
      <c r="AZ116" s="12"/>
      <c r="BA116" s="12"/>
      <c r="BB116" s="12"/>
      <c r="BC116" s="12"/>
      <c r="BD116" s="12" t="s">
        <v>2399</v>
      </c>
      <c r="BE116" s="12" t="s">
        <v>381</v>
      </c>
      <c r="BF116" s="12" t="s">
        <v>3614</v>
      </c>
      <c r="BG116" s="12" t="s">
        <v>333</v>
      </c>
      <c r="BH116" s="12" t="s">
        <v>334</v>
      </c>
      <c r="BI116" s="12">
        <v>2</v>
      </c>
      <c r="BJ116" s="12" t="s">
        <v>3842</v>
      </c>
      <c r="BK116" s="12" t="s">
        <v>3911</v>
      </c>
      <c r="BL116" s="105">
        <v>30</v>
      </c>
      <c r="BM116" s="12"/>
      <c r="BN116" s="12" t="s">
        <v>1953</v>
      </c>
      <c r="BO116" s="105">
        <v>29</v>
      </c>
      <c r="BP116" s="12"/>
      <c r="BQ116" s="12">
        <v>0</v>
      </c>
      <c r="BR116" s="12">
        <v>0</v>
      </c>
      <c r="BS116" s="12"/>
      <c r="BT116" s="12">
        <v>0</v>
      </c>
      <c r="BU116" s="12">
        <v>0</v>
      </c>
      <c r="BV116" s="12"/>
      <c r="BW116" s="12">
        <v>0</v>
      </c>
      <c r="BX116" s="12">
        <v>0</v>
      </c>
      <c r="BY116" s="12"/>
      <c r="BZ116" s="12">
        <v>0</v>
      </c>
      <c r="CA116" s="12"/>
      <c r="CB116" s="12"/>
      <c r="CC116" s="12"/>
      <c r="CD116" s="78"/>
    </row>
    <row r="117" spans="1:82" ht="13.9" customHeight="1" x14ac:dyDescent="0.2">
      <c r="A117" s="12">
        <v>313</v>
      </c>
      <c r="B117" s="12" t="s">
        <v>4183</v>
      </c>
      <c r="C117" s="106" t="s">
        <v>1390</v>
      </c>
      <c r="D117" s="107" t="s">
        <v>281</v>
      </c>
      <c r="E117" s="99" t="s">
        <v>6522</v>
      </c>
      <c r="F117" s="100">
        <v>44746</v>
      </c>
      <c r="G117" s="100">
        <v>44746</v>
      </c>
      <c r="H117" s="101">
        <f t="shared" si="6"/>
        <v>44836</v>
      </c>
      <c r="I117" s="101" t="s">
        <v>291</v>
      </c>
      <c r="J117" s="12" t="s">
        <v>4430</v>
      </c>
      <c r="K117" s="12" t="s">
        <v>384</v>
      </c>
      <c r="L117" s="12" t="s">
        <v>1940</v>
      </c>
      <c r="M117" s="102" t="str">
        <f t="shared" si="7"/>
        <v>MACIAS SANCHEZ JAIME EDUARDO</v>
      </c>
      <c r="N117" s="102" t="s">
        <v>6904</v>
      </c>
      <c r="O117" s="102" t="s">
        <v>4847</v>
      </c>
      <c r="P117" s="12" t="s">
        <v>1953</v>
      </c>
      <c r="Q117" s="100">
        <v>35864</v>
      </c>
      <c r="R117" s="77">
        <f t="shared" si="8"/>
        <v>10</v>
      </c>
      <c r="S117" s="77">
        <f t="shared" si="9"/>
        <v>3</v>
      </c>
      <c r="T117" s="77">
        <f t="shared" si="10"/>
        <v>1998</v>
      </c>
      <c r="U117" s="103">
        <f t="shared" ca="1" si="11"/>
        <v>28.610958904109587</v>
      </c>
      <c r="V117" s="13" t="s">
        <v>389</v>
      </c>
      <c r="W117" s="13" t="s">
        <v>2258</v>
      </c>
      <c r="X117" s="12" t="s">
        <v>1497</v>
      </c>
      <c r="Y117" s="108" t="s">
        <v>273</v>
      </c>
      <c r="Z117" s="12" t="s">
        <v>263</v>
      </c>
      <c r="AA117" s="12" t="s">
        <v>636</v>
      </c>
      <c r="AB117" s="12" t="s">
        <v>2284</v>
      </c>
      <c r="AC117" s="12" t="s">
        <v>313</v>
      </c>
      <c r="AD117" s="12" t="s">
        <v>314</v>
      </c>
      <c r="AE117" s="12">
        <v>90</v>
      </c>
      <c r="AF117" s="13" t="s">
        <v>375</v>
      </c>
      <c r="AG117" s="12" t="s">
        <v>291</v>
      </c>
      <c r="AH117" s="104" t="s">
        <v>1398</v>
      </c>
      <c r="AI117" s="12" t="s">
        <v>2350</v>
      </c>
      <c r="AJ117" s="12" t="s">
        <v>318</v>
      </c>
      <c r="AK117" s="12" t="s">
        <v>2856</v>
      </c>
      <c r="AL117" s="104" t="s">
        <v>3162</v>
      </c>
      <c r="AM117" s="12" t="s">
        <v>2620</v>
      </c>
      <c r="AN117" s="12" t="s">
        <v>622</v>
      </c>
      <c r="AO117" s="12" t="s">
        <v>398</v>
      </c>
      <c r="AP117" s="12"/>
      <c r="AQ117" s="12">
        <v>0</v>
      </c>
      <c r="AR117" s="12">
        <v>0</v>
      </c>
      <c r="AS117" s="12">
        <v>0</v>
      </c>
      <c r="AT117" s="12">
        <v>0</v>
      </c>
      <c r="AU117" s="12">
        <v>0</v>
      </c>
      <c r="AV117" s="12">
        <v>0</v>
      </c>
      <c r="AW117" s="12">
        <v>0</v>
      </c>
      <c r="AX117" s="12" t="s">
        <v>357</v>
      </c>
      <c r="AY117" s="12" t="s">
        <v>330</v>
      </c>
      <c r="AZ117" s="12" t="s">
        <v>3427</v>
      </c>
      <c r="BA117" s="12" t="s">
        <v>3453</v>
      </c>
      <c r="BB117" s="100">
        <v>44743</v>
      </c>
      <c r="BC117" s="12" t="s">
        <v>2284</v>
      </c>
      <c r="BD117" s="12" t="s">
        <v>2620</v>
      </c>
      <c r="BE117" s="12" t="s">
        <v>622</v>
      </c>
      <c r="BF117" s="12" t="s">
        <v>3805</v>
      </c>
      <c r="BG117" s="12" t="s">
        <v>333</v>
      </c>
      <c r="BH117" s="12" t="s">
        <v>334</v>
      </c>
      <c r="BI117" s="12" t="s">
        <v>362</v>
      </c>
      <c r="BJ117" s="12" t="s">
        <v>3888</v>
      </c>
      <c r="BK117" s="12" t="s">
        <v>3911</v>
      </c>
      <c r="BL117" s="105">
        <v>0</v>
      </c>
      <c r="BM117" s="12"/>
      <c r="BN117" s="12">
        <v>0</v>
      </c>
      <c r="BO117" s="105">
        <v>0</v>
      </c>
      <c r="BP117" s="12"/>
      <c r="BQ117" s="12">
        <v>0</v>
      </c>
      <c r="BR117" s="12">
        <v>0</v>
      </c>
      <c r="BS117" s="12"/>
      <c r="BT117" s="12">
        <v>0</v>
      </c>
      <c r="BU117" s="12">
        <v>0</v>
      </c>
      <c r="BV117" s="12"/>
      <c r="BW117" s="12">
        <v>0</v>
      </c>
      <c r="BX117" s="12">
        <v>0</v>
      </c>
      <c r="BY117" s="12"/>
      <c r="BZ117" s="12">
        <v>0</v>
      </c>
      <c r="CA117" s="12"/>
      <c r="CB117" s="12"/>
      <c r="CC117" s="12"/>
      <c r="CD117" s="78"/>
    </row>
    <row r="118" spans="1:82" s="116" customFormat="1" ht="13.9" customHeight="1" x14ac:dyDescent="0.2">
      <c r="A118" s="109">
        <v>314</v>
      </c>
      <c r="B118" s="109" t="s">
        <v>4051</v>
      </c>
      <c r="C118" s="110" t="s">
        <v>335</v>
      </c>
      <c r="D118" s="111" t="s">
        <v>105</v>
      </c>
      <c r="E118" s="111" t="s">
        <v>6748</v>
      </c>
      <c r="F118" s="112">
        <v>44746</v>
      </c>
      <c r="G118" s="112">
        <v>44921</v>
      </c>
      <c r="H118" s="113">
        <f t="shared" si="6"/>
        <v>45011</v>
      </c>
      <c r="I118" s="113" t="s">
        <v>290</v>
      </c>
      <c r="J118" s="109" t="s">
        <v>365</v>
      </c>
      <c r="K118" s="109" t="s">
        <v>4473</v>
      </c>
      <c r="L118" s="109" t="s">
        <v>1733</v>
      </c>
      <c r="M118" s="128" t="str">
        <f t="shared" si="7"/>
        <v>RODRIGUEZ  MOSQUEDA JUAN LUIS</v>
      </c>
      <c r="N118" s="128" t="s">
        <v>7159</v>
      </c>
      <c r="O118" s="128" t="s">
        <v>4633</v>
      </c>
      <c r="P118" s="109" t="s">
        <v>1953</v>
      </c>
      <c r="Q118" s="112">
        <v>36144</v>
      </c>
      <c r="R118" s="125">
        <f t="shared" si="8"/>
        <v>15</v>
      </c>
      <c r="S118" s="125">
        <f t="shared" si="9"/>
        <v>12</v>
      </c>
      <c r="T118" s="125">
        <f t="shared" si="10"/>
        <v>1998</v>
      </c>
      <c r="U118" s="142">
        <f t="shared" ca="1" si="11"/>
        <v>27.843835616438355</v>
      </c>
      <c r="V118" s="114" t="s">
        <v>389</v>
      </c>
      <c r="W118" s="114" t="s">
        <v>2045</v>
      </c>
      <c r="X118" s="109" t="s">
        <v>1497</v>
      </c>
      <c r="Y118" s="109" t="s">
        <v>113</v>
      </c>
      <c r="Z118" s="109" t="s">
        <v>111</v>
      </c>
      <c r="AA118" s="109" t="s">
        <v>347</v>
      </c>
      <c r="AB118" s="109" t="s">
        <v>858</v>
      </c>
      <c r="AC118" s="109" t="s">
        <v>313</v>
      </c>
      <c r="AD118" s="109" t="s">
        <v>314</v>
      </c>
      <c r="AE118" s="109">
        <v>90</v>
      </c>
      <c r="AF118" s="114" t="s">
        <v>859</v>
      </c>
      <c r="AG118" s="109" t="s">
        <v>290</v>
      </c>
      <c r="AH118" s="115" t="s">
        <v>2338</v>
      </c>
      <c r="AI118" s="109" t="s">
        <v>317</v>
      </c>
      <c r="AJ118" s="109" t="s">
        <v>318</v>
      </c>
      <c r="AK118" s="109" t="s">
        <v>2691</v>
      </c>
      <c r="AL118" s="115" t="s">
        <v>2951</v>
      </c>
      <c r="AM118" s="109" t="s">
        <v>2432</v>
      </c>
      <c r="AN118" s="109" t="s">
        <v>439</v>
      </c>
      <c r="AO118" s="109" t="s">
        <v>398</v>
      </c>
      <c r="AP118" s="109"/>
      <c r="AQ118" s="109">
        <v>0</v>
      </c>
      <c r="AR118" s="109">
        <v>0</v>
      </c>
      <c r="AS118" s="109">
        <v>0</v>
      </c>
      <c r="AT118" s="109">
        <v>0</v>
      </c>
      <c r="AU118" s="109">
        <v>0</v>
      </c>
      <c r="AV118" s="109">
        <v>0</v>
      </c>
      <c r="AW118" s="109" t="s">
        <v>328</v>
      </c>
      <c r="AX118" s="109" t="s">
        <v>357</v>
      </c>
      <c r="AY118" s="109" t="s">
        <v>330</v>
      </c>
      <c r="AZ118" s="109"/>
      <c r="BA118" s="109"/>
      <c r="BB118" s="109"/>
      <c r="BC118" s="109"/>
      <c r="BD118" s="109" t="s">
        <v>3479</v>
      </c>
      <c r="BE118" s="109" t="s">
        <v>325</v>
      </c>
      <c r="BF118" s="109" t="s">
        <v>3639</v>
      </c>
      <c r="BG118" s="109" t="s">
        <v>748</v>
      </c>
      <c r="BH118" s="109" t="s">
        <v>334</v>
      </c>
      <c r="BI118" s="109" t="s">
        <v>362</v>
      </c>
      <c r="BJ118" s="109" t="s">
        <v>3888</v>
      </c>
      <c r="BK118" s="109" t="s">
        <v>3911</v>
      </c>
      <c r="BL118" s="111">
        <v>0</v>
      </c>
      <c r="BM118" s="109"/>
      <c r="BN118" s="109">
        <v>0</v>
      </c>
      <c r="BO118" s="111">
        <v>0</v>
      </c>
      <c r="BP118" s="109"/>
      <c r="BQ118" s="109">
        <v>0</v>
      </c>
      <c r="BR118" s="109">
        <v>0</v>
      </c>
      <c r="BS118" s="109"/>
      <c r="BT118" s="109">
        <v>0</v>
      </c>
      <c r="BU118" s="109">
        <v>0</v>
      </c>
      <c r="BV118" s="109"/>
      <c r="BW118" s="109">
        <v>0</v>
      </c>
      <c r="BX118" s="109">
        <v>0</v>
      </c>
      <c r="BY118" s="109"/>
      <c r="BZ118" s="109">
        <v>0</v>
      </c>
      <c r="CA118" s="109"/>
      <c r="CB118" s="109"/>
      <c r="CC118" s="109"/>
      <c r="CD118" s="110"/>
    </row>
    <row r="119" spans="1:82" ht="13.9" customHeight="1" x14ac:dyDescent="0.2">
      <c r="A119" s="12">
        <v>321</v>
      </c>
      <c r="B119" s="12" t="s">
        <v>4234</v>
      </c>
      <c r="C119" s="104" t="s">
        <v>299</v>
      </c>
      <c r="D119" s="99" t="s">
        <v>80</v>
      </c>
      <c r="E119" s="99" t="s">
        <v>6523</v>
      </c>
      <c r="F119" s="100">
        <v>44774</v>
      </c>
      <c r="G119" s="100">
        <v>44774</v>
      </c>
      <c r="H119" s="101">
        <f t="shared" si="6"/>
        <v>44864</v>
      </c>
      <c r="I119" s="101" t="s">
        <v>291</v>
      </c>
      <c r="J119" s="12" t="s">
        <v>366</v>
      </c>
      <c r="K119" s="12" t="s">
        <v>446</v>
      </c>
      <c r="L119" s="12" t="s">
        <v>1856</v>
      </c>
      <c r="M119" s="102" t="str">
        <f t="shared" si="7"/>
        <v>HERNANDEZ CRUZ VANESSA</v>
      </c>
      <c r="N119" s="102" t="s">
        <v>6905</v>
      </c>
      <c r="O119" s="102" t="s">
        <v>4736</v>
      </c>
      <c r="P119" s="12" t="s">
        <v>1954</v>
      </c>
      <c r="Q119" s="100">
        <v>35246</v>
      </c>
      <c r="R119" s="77">
        <f t="shared" si="8"/>
        <v>30</v>
      </c>
      <c r="S119" s="77">
        <f t="shared" si="9"/>
        <v>6</v>
      </c>
      <c r="T119" s="77">
        <f t="shared" si="10"/>
        <v>1996</v>
      </c>
      <c r="U119" s="103">
        <f t="shared" ca="1" si="11"/>
        <v>30.304109589041097</v>
      </c>
      <c r="V119" s="13" t="s">
        <v>1450</v>
      </c>
      <c r="W119" s="13" t="s">
        <v>2148</v>
      </c>
      <c r="X119" s="12" t="s">
        <v>1497</v>
      </c>
      <c r="Y119" s="12" t="s">
        <v>189</v>
      </c>
      <c r="Z119" s="12" t="s">
        <v>174</v>
      </c>
      <c r="AA119" s="12" t="s">
        <v>432</v>
      </c>
      <c r="AB119" s="12" t="s">
        <v>2301</v>
      </c>
      <c r="AC119" s="12" t="s">
        <v>313</v>
      </c>
      <c r="AD119" s="12" t="s">
        <v>314</v>
      </c>
      <c r="AE119" s="12">
        <v>90</v>
      </c>
      <c r="AF119" s="13" t="s">
        <v>315</v>
      </c>
      <c r="AG119" s="12" t="s">
        <v>290</v>
      </c>
      <c r="AH119" s="104" t="s">
        <v>316</v>
      </c>
      <c r="AI119" s="12" t="s">
        <v>317</v>
      </c>
      <c r="AJ119" s="12" t="s">
        <v>318</v>
      </c>
      <c r="AK119" s="12" t="s">
        <v>2762</v>
      </c>
      <c r="AL119" s="104" t="s">
        <v>3054</v>
      </c>
      <c r="AM119" s="12" t="s">
        <v>2525</v>
      </c>
      <c r="AN119" s="12" t="s">
        <v>3178</v>
      </c>
      <c r="AO119" s="12" t="s">
        <v>398</v>
      </c>
      <c r="AP119" s="12"/>
      <c r="AQ119" s="12">
        <v>0</v>
      </c>
      <c r="AR119" s="12">
        <v>0</v>
      </c>
      <c r="AS119" s="12">
        <v>0</v>
      </c>
      <c r="AT119" s="12">
        <v>0</v>
      </c>
      <c r="AU119" s="12">
        <v>0</v>
      </c>
      <c r="AV119" s="12">
        <v>0</v>
      </c>
      <c r="AW119" s="12" t="s">
        <v>357</v>
      </c>
      <c r="AX119" s="12" t="s">
        <v>357</v>
      </c>
      <c r="AY119" s="12" t="s">
        <v>330</v>
      </c>
      <c r="AZ119" s="12"/>
      <c r="BA119" s="12"/>
      <c r="BB119" s="12"/>
      <c r="BC119" s="12"/>
      <c r="BD119" s="12" t="s">
        <v>2525</v>
      </c>
      <c r="BE119" s="12" t="s">
        <v>3178</v>
      </c>
      <c r="BF119" s="12" t="s">
        <v>3716</v>
      </c>
      <c r="BG119" s="12" t="s">
        <v>488</v>
      </c>
      <c r="BH119" s="12" t="s">
        <v>334</v>
      </c>
      <c r="BI119" s="12">
        <v>1</v>
      </c>
      <c r="BJ119" s="100">
        <v>44009</v>
      </c>
      <c r="BK119" s="12" t="s">
        <v>3911</v>
      </c>
      <c r="BL119" s="105">
        <f ca="1">(+TODAY()-BJ119)/365</f>
        <v>6.2958904109589042</v>
      </c>
      <c r="BM119" s="12"/>
      <c r="BN119" s="12">
        <v>0</v>
      </c>
      <c r="BO119" s="105">
        <v>0</v>
      </c>
      <c r="BP119" s="12"/>
      <c r="BQ119" s="12">
        <v>0</v>
      </c>
      <c r="BR119" s="12">
        <v>0</v>
      </c>
      <c r="BS119" s="12"/>
      <c r="BT119" s="12">
        <v>0</v>
      </c>
      <c r="BU119" s="12">
        <v>0</v>
      </c>
      <c r="BV119" s="12"/>
      <c r="BW119" s="12">
        <v>0</v>
      </c>
      <c r="BX119" s="12">
        <v>0</v>
      </c>
      <c r="BY119" s="12"/>
      <c r="BZ119" s="12">
        <v>0</v>
      </c>
      <c r="CA119" s="12"/>
      <c r="CB119" s="12"/>
      <c r="CC119" s="12"/>
      <c r="CD119" s="78"/>
    </row>
    <row r="120" spans="1:82" ht="13.9" customHeight="1" x14ac:dyDescent="0.2">
      <c r="A120" s="12">
        <v>324</v>
      </c>
      <c r="B120" s="12" t="s">
        <v>4235</v>
      </c>
      <c r="C120" s="104" t="s">
        <v>299</v>
      </c>
      <c r="D120" s="99" t="s">
        <v>80</v>
      </c>
      <c r="E120" s="99" t="s">
        <v>6524</v>
      </c>
      <c r="F120" s="100">
        <v>44781</v>
      </c>
      <c r="G120" s="100">
        <v>44781</v>
      </c>
      <c r="H120" s="101">
        <f t="shared" si="6"/>
        <v>44871</v>
      </c>
      <c r="I120" s="101" t="s">
        <v>291</v>
      </c>
      <c r="J120" s="12" t="s">
        <v>447</v>
      </c>
      <c r="K120" s="12" t="s">
        <v>960</v>
      </c>
      <c r="L120" s="12" t="s">
        <v>1857</v>
      </c>
      <c r="M120" s="102" t="str">
        <f t="shared" si="7"/>
        <v>GARCIA TORRES NERY CELIA</v>
      </c>
      <c r="N120" s="102" t="s">
        <v>6906</v>
      </c>
      <c r="O120" s="102" t="s">
        <v>4737</v>
      </c>
      <c r="P120" s="12" t="s">
        <v>1954</v>
      </c>
      <c r="Q120" s="100">
        <v>30775</v>
      </c>
      <c r="R120" s="77">
        <f t="shared" si="8"/>
        <v>3</v>
      </c>
      <c r="S120" s="77">
        <f t="shared" si="9"/>
        <v>4</v>
      </c>
      <c r="T120" s="77">
        <f t="shared" si="10"/>
        <v>1984</v>
      </c>
      <c r="U120" s="103">
        <f t="shared" ca="1" si="11"/>
        <v>42.553424657534244</v>
      </c>
      <c r="V120" s="13" t="s">
        <v>1957</v>
      </c>
      <c r="W120" s="13" t="s">
        <v>2149</v>
      </c>
      <c r="X120" s="12" t="s">
        <v>1497</v>
      </c>
      <c r="Y120" s="12" t="s">
        <v>190</v>
      </c>
      <c r="Z120" s="12" t="s">
        <v>170</v>
      </c>
      <c r="AA120" s="12" t="s">
        <v>636</v>
      </c>
      <c r="AB120" s="12" t="s">
        <v>2299</v>
      </c>
      <c r="AC120" s="12" t="s">
        <v>313</v>
      </c>
      <c r="AD120" s="12" t="s">
        <v>314</v>
      </c>
      <c r="AE120" s="12">
        <v>90</v>
      </c>
      <c r="AF120" s="13" t="s">
        <v>315</v>
      </c>
      <c r="AG120" s="12" t="s">
        <v>290</v>
      </c>
      <c r="AH120" s="104" t="s">
        <v>316</v>
      </c>
      <c r="AI120" s="12" t="s">
        <v>317</v>
      </c>
      <c r="AJ120" s="12" t="s">
        <v>318</v>
      </c>
      <c r="AK120" s="12" t="s">
        <v>2763</v>
      </c>
      <c r="AL120" s="104" t="s">
        <v>3055</v>
      </c>
      <c r="AM120" s="12" t="s">
        <v>2526</v>
      </c>
      <c r="AN120" s="12" t="s">
        <v>325</v>
      </c>
      <c r="AO120" s="12" t="s">
        <v>327</v>
      </c>
      <c r="AP120" s="12"/>
      <c r="AQ120" s="12">
        <v>0</v>
      </c>
      <c r="AR120" s="12">
        <v>0</v>
      </c>
      <c r="AS120" s="12">
        <v>0</v>
      </c>
      <c r="AT120" s="12">
        <v>0</v>
      </c>
      <c r="AU120" s="12">
        <v>0</v>
      </c>
      <c r="AV120" s="12">
        <v>0</v>
      </c>
      <c r="AW120" s="12" t="s">
        <v>357</v>
      </c>
      <c r="AX120" s="12" t="s">
        <v>357</v>
      </c>
      <c r="AY120" s="12" t="s">
        <v>330</v>
      </c>
      <c r="AZ120" s="12"/>
      <c r="BA120" s="12"/>
      <c r="BB120" s="12"/>
      <c r="BC120" s="12"/>
      <c r="BD120" s="12" t="s">
        <v>2526</v>
      </c>
      <c r="BE120" s="12" t="s">
        <v>325</v>
      </c>
      <c r="BF120" s="12" t="s">
        <v>3717</v>
      </c>
      <c r="BG120" s="12" t="s">
        <v>488</v>
      </c>
      <c r="BH120" s="12" t="s">
        <v>334</v>
      </c>
      <c r="BI120" s="12">
        <v>2</v>
      </c>
      <c r="BJ120" s="12" t="s">
        <v>3884</v>
      </c>
      <c r="BK120" s="12" t="s">
        <v>3911</v>
      </c>
      <c r="BL120" s="105" t="s">
        <v>3943</v>
      </c>
      <c r="BM120" s="12"/>
      <c r="BN120" s="12" t="s">
        <v>3911</v>
      </c>
      <c r="BO120" s="105" t="s">
        <v>3917</v>
      </c>
      <c r="BP120" s="12"/>
      <c r="BQ120" s="12">
        <v>0</v>
      </c>
      <c r="BR120" s="12">
        <v>0</v>
      </c>
      <c r="BS120" s="12"/>
      <c r="BT120" s="12">
        <v>0</v>
      </c>
      <c r="BU120" s="12">
        <v>0</v>
      </c>
      <c r="BV120" s="12"/>
      <c r="BW120" s="12">
        <v>0</v>
      </c>
      <c r="BX120" s="12">
        <v>0</v>
      </c>
      <c r="BY120" s="12"/>
      <c r="BZ120" s="12">
        <v>0</v>
      </c>
      <c r="CA120" s="12"/>
      <c r="CB120" s="12"/>
      <c r="CC120" s="12"/>
      <c r="CD120" s="78"/>
    </row>
    <row r="121" spans="1:82" s="116" customFormat="1" ht="13.9" customHeight="1" x14ac:dyDescent="0.2">
      <c r="A121" s="109">
        <v>334</v>
      </c>
      <c r="B121" s="109" t="s">
        <v>4236</v>
      </c>
      <c r="C121" s="115" t="s">
        <v>299</v>
      </c>
      <c r="D121" s="111" t="s">
        <v>80</v>
      </c>
      <c r="E121" s="111" t="s">
        <v>6525</v>
      </c>
      <c r="F121" s="112">
        <v>44809</v>
      </c>
      <c r="G121" s="112">
        <v>44809</v>
      </c>
      <c r="H121" s="113">
        <f t="shared" si="6"/>
        <v>44899</v>
      </c>
      <c r="I121" s="113" t="s">
        <v>291</v>
      </c>
      <c r="J121" s="109" t="s">
        <v>4308</v>
      </c>
      <c r="K121" s="109" t="s">
        <v>4339</v>
      </c>
      <c r="L121" s="109" t="s">
        <v>1858</v>
      </c>
      <c r="M121" s="128" t="str">
        <f t="shared" si="7"/>
        <v>JASSO BLANCO MARIA YESENIA</v>
      </c>
      <c r="N121" s="128" t="s">
        <v>6907</v>
      </c>
      <c r="O121" s="128" t="s">
        <v>4738</v>
      </c>
      <c r="P121" s="109" t="s">
        <v>1954</v>
      </c>
      <c r="Q121" s="112">
        <v>36025</v>
      </c>
      <c r="R121" s="125">
        <f t="shared" si="8"/>
        <v>18</v>
      </c>
      <c r="S121" s="125">
        <f t="shared" si="9"/>
        <v>8</v>
      </c>
      <c r="T121" s="125">
        <f t="shared" si="10"/>
        <v>1998</v>
      </c>
      <c r="U121" s="142">
        <f t="shared" ca="1" si="11"/>
        <v>28.169863013698631</v>
      </c>
      <c r="V121" s="114" t="s">
        <v>1450</v>
      </c>
      <c r="W121" s="114" t="s">
        <v>2150</v>
      </c>
      <c r="X121" s="109" t="s">
        <v>1497</v>
      </c>
      <c r="Y121" s="123" t="s">
        <v>191</v>
      </c>
      <c r="Z121" s="109" t="s">
        <v>170</v>
      </c>
      <c r="AA121" s="109" t="s">
        <v>636</v>
      </c>
      <c r="AB121" s="109" t="s">
        <v>1368</v>
      </c>
      <c r="AC121" s="109" t="s">
        <v>313</v>
      </c>
      <c r="AD121" s="109" t="s">
        <v>314</v>
      </c>
      <c r="AE121" s="109">
        <v>90</v>
      </c>
      <c r="AF121" s="114" t="s">
        <v>315</v>
      </c>
      <c r="AG121" s="109" t="s">
        <v>291</v>
      </c>
      <c r="AH121" s="115" t="s">
        <v>316</v>
      </c>
      <c r="AI121" s="109" t="s">
        <v>317</v>
      </c>
      <c r="AJ121" s="109" t="s">
        <v>318</v>
      </c>
      <c r="AK121" s="109" t="s">
        <v>2764</v>
      </c>
      <c r="AL121" s="115" t="s">
        <v>3056</v>
      </c>
      <c r="AM121" s="109" t="s">
        <v>2527</v>
      </c>
      <c r="AN121" s="109" t="s">
        <v>401</v>
      </c>
      <c r="AO121" s="109" t="s">
        <v>398</v>
      </c>
      <c r="AP121" s="109"/>
      <c r="AQ121" s="109">
        <v>0</v>
      </c>
      <c r="AR121" s="109">
        <v>0</v>
      </c>
      <c r="AS121" s="109">
        <v>0</v>
      </c>
      <c r="AT121" s="109">
        <v>0</v>
      </c>
      <c r="AU121" s="109">
        <v>0</v>
      </c>
      <c r="AV121" s="109">
        <v>0</v>
      </c>
      <c r="AW121" s="109" t="s">
        <v>357</v>
      </c>
      <c r="AX121" s="109" t="s">
        <v>357</v>
      </c>
      <c r="AY121" s="109" t="s">
        <v>330</v>
      </c>
      <c r="AZ121" s="109" t="s">
        <v>3427</v>
      </c>
      <c r="BA121" s="109" t="s">
        <v>3442</v>
      </c>
      <c r="BB121" s="112">
        <v>44809</v>
      </c>
      <c r="BC121" s="109" t="s">
        <v>1368</v>
      </c>
      <c r="BD121" s="109" t="s">
        <v>2527</v>
      </c>
      <c r="BE121" s="109" t="s">
        <v>401</v>
      </c>
      <c r="BF121" s="109" t="s">
        <v>3718</v>
      </c>
      <c r="BG121" s="109" t="s">
        <v>1406</v>
      </c>
      <c r="BH121" s="109" t="s">
        <v>334</v>
      </c>
      <c r="BI121" s="109" t="s">
        <v>362</v>
      </c>
      <c r="BJ121" s="109" t="s">
        <v>3888</v>
      </c>
      <c r="BK121" s="109" t="s">
        <v>3911</v>
      </c>
      <c r="BL121" s="111">
        <v>0</v>
      </c>
      <c r="BM121" s="109"/>
      <c r="BN121" s="109">
        <v>0</v>
      </c>
      <c r="BO121" s="111">
        <v>0</v>
      </c>
      <c r="BP121" s="109"/>
      <c r="BQ121" s="109">
        <v>0</v>
      </c>
      <c r="BR121" s="109">
        <v>0</v>
      </c>
      <c r="BS121" s="109"/>
      <c r="BT121" s="109">
        <v>0</v>
      </c>
      <c r="BU121" s="109">
        <v>0</v>
      </c>
      <c r="BV121" s="109"/>
      <c r="BW121" s="109">
        <v>0</v>
      </c>
      <c r="BX121" s="109">
        <v>0</v>
      </c>
      <c r="BY121" s="109"/>
      <c r="BZ121" s="109">
        <v>0</v>
      </c>
      <c r="CA121" s="109"/>
      <c r="CB121" s="109"/>
      <c r="CC121" s="109"/>
      <c r="CD121" s="110"/>
    </row>
    <row r="122" spans="1:82" s="116" customFormat="1" ht="13.9" customHeight="1" x14ac:dyDescent="0.2">
      <c r="A122" s="109">
        <v>342</v>
      </c>
      <c r="B122" s="109" t="s">
        <v>4237</v>
      </c>
      <c r="C122" s="115" t="s">
        <v>299</v>
      </c>
      <c r="D122" s="111" t="s">
        <v>80</v>
      </c>
      <c r="E122" s="111" t="s">
        <v>6526</v>
      </c>
      <c r="F122" s="112">
        <v>44830</v>
      </c>
      <c r="G122" s="112">
        <v>44830</v>
      </c>
      <c r="H122" s="113">
        <f t="shared" si="6"/>
        <v>44920</v>
      </c>
      <c r="I122" s="113" t="s">
        <v>291</v>
      </c>
      <c r="J122" s="109" t="s">
        <v>384</v>
      </c>
      <c r="K122" s="109" t="s">
        <v>446</v>
      </c>
      <c r="L122" s="109" t="s">
        <v>1859</v>
      </c>
      <c r="M122" s="128" t="str">
        <f t="shared" si="7"/>
        <v>SANCHEZ CRUZ DAVID EMMANUEL</v>
      </c>
      <c r="N122" s="128" t="s">
        <v>6908</v>
      </c>
      <c r="O122" s="128" t="s">
        <v>4739</v>
      </c>
      <c r="P122" s="109" t="s">
        <v>1953</v>
      </c>
      <c r="Q122" s="112">
        <v>34182</v>
      </c>
      <c r="R122" s="125">
        <f t="shared" si="8"/>
        <v>1</v>
      </c>
      <c r="S122" s="125">
        <f t="shared" si="9"/>
        <v>8</v>
      </c>
      <c r="T122" s="125">
        <f t="shared" si="10"/>
        <v>1993</v>
      </c>
      <c r="U122" s="142">
        <f t="shared" ca="1" si="11"/>
        <v>33.219178082191782</v>
      </c>
      <c r="V122" s="114" t="s">
        <v>342</v>
      </c>
      <c r="W122" s="114" t="s">
        <v>2151</v>
      </c>
      <c r="X122" s="109" t="s">
        <v>1497</v>
      </c>
      <c r="Y122" s="123" t="s">
        <v>192</v>
      </c>
      <c r="Z122" s="109" t="s">
        <v>170</v>
      </c>
      <c r="AA122" s="109" t="s">
        <v>636</v>
      </c>
      <c r="AB122" s="109" t="s">
        <v>2304</v>
      </c>
      <c r="AC122" s="109" t="s">
        <v>313</v>
      </c>
      <c r="AD122" s="109" t="s">
        <v>314</v>
      </c>
      <c r="AE122" s="109">
        <v>90</v>
      </c>
      <c r="AF122" s="114" t="s">
        <v>315</v>
      </c>
      <c r="AG122" s="109" t="s">
        <v>291</v>
      </c>
      <c r="AH122" s="115" t="s">
        <v>316</v>
      </c>
      <c r="AI122" s="109" t="s">
        <v>317</v>
      </c>
      <c r="AJ122" s="109" t="s">
        <v>318</v>
      </c>
      <c r="AK122" s="109" t="s">
        <v>2765</v>
      </c>
      <c r="AL122" s="115" t="s">
        <v>3057</v>
      </c>
      <c r="AM122" s="109" t="s">
        <v>2528</v>
      </c>
      <c r="AN122" s="109" t="s">
        <v>381</v>
      </c>
      <c r="AO122" s="109" t="s">
        <v>398</v>
      </c>
      <c r="AP122" s="109"/>
      <c r="AQ122" s="109">
        <v>0</v>
      </c>
      <c r="AR122" s="109">
        <v>0</v>
      </c>
      <c r="AS122" s="109">
        <v>0</v>
      </c>
      <c r="AT122" s="109">
        <v>0</v>
      </c>
      <c r="AU122" s="109">
        <v>0</v>
      </c>
      <c r="AV122" s="109">
        <v>0</v>
      </c>
      <c r="AW122" s="109" t="s">
        <v>357</v>
      </c>
      <c r="AX122" s="109" t="s">
        <v>357</v>
      </c>
      <c r="AY122" s="109" t="s">
        <v>330</v>
      </c>
      <c r="AZ122" s="109"/>
      <c r="BA122" s="109"/>
      <c r="BB122" s="109"/>
      <c r="BC122" s="109"/>
      <c r="BD122" s="109" t="s">
        <v>2528</v>
      </c>
      <c r="BE122" s="109" t="s">
        <v>381</v>
      </c>
      <c r="BF122" s="109" t="s">
        <v>3719</v>
      </c>
      <c r="BG122" s="109" t="s">
        <v>488</v>
      </c>
      <c r="BH122" s="109" t="s">
        <v>334</v>
      </c>
      <c r="BI122" s="109" t="s">
        <v>362</v>
      </c>
      <c r="BJ122" s="109" t="s">
        <v>3888</v>
      </c>
      <c r="BK122" s="109" t="s">
        <v>3911</v>
      </c>
      <c r="BL122" s="111">
        <v>0</v>
      </c>
      <c r="BM122" s="109"/>
      <c r="BN122" s="109">
        <v>0</v>
      </c>
      <c r="BO122" s="111">
        <v>0</v>
      </c>
      <c r="BP122" s="109"/>
      <c r="BQ122" s="109">
        <v>0</v>
      </c>
      <c r="BR122" s="109">
        <v>0</v>
      </c>
      <c r="BS122" s="109"/>
      <c r="BT122" s="109">
        <v>0</v>
      </c>
      <c r="BU122" s="109">
        <v>0</v>
      </c>
      <c r="BV122" s="109"/>
      <c r="BW122" s="109">
        <v>0</v>
      </c>
      <c r="BX122" s="109">
        <v>0</v>
      </c>
      <c r="BY122" s="109"/>
      <c r="BZ122" s="109">
        <v>0</v>
      </c>
      <c r="CA122" s="109"/>
      <c r="CB122" s="109"/>
      <c r="CC122" s="109"/>
      <c r="CD122" s="110"/>
    </row>
    <row r="123" spans="1:82" s="116" customFormat="1" ht="13.9" customHeight="1" x14ac:dyDescent="0.2">
      <c r="A123" s="109">
        <v>344</v>
      </c>
      <c r="B123" s="109" t="s">
        <v>3979</v>
      </c>
      <c r="C123" s="115" t="s">
        <v>564</v>
      </c>
      <c r="D123" s="109" t="s">
        <v>81</v>
      </c>
      <c r="E123" s="111" t="s">
        <v>6527</v>
      </c>
      <c r="F123" s="112">
        <v>44833</v>
      </c>
      <c r="G123" s="112">
        <v>44833</v>
      </c>
      <c r="H123" s="113">
        <f t="shared" si="6"/>
        <v>44923</v>
      </c>
      <c r="I123" s="113" t="s">
        <v>290</v>
      </c>
      <c r="J123" s="109" t="s">
        <v>4315</v>
      </c>
      <c r="K123" s="109" t="s">
        <v>507</v>
      </c>
      <c r="L123" s="109" t="s">
        <v>1712</v>
      </c>
      <c r="M123" s="128" t="str">
        <f t="shared" si="7"/>
        <v>BARBA MARTINEZ JORGE ALEJANDRO</v>
      </c>
      <c r="N123" s="128" t="s">
        <v>6909</v>
      </c>
      <c r="O123" s="128" t="s">
        <v>4565</v>
      </c>
      <c r="P123" s="109" t="s">
        <v>1953</v>
      </c>
      <c r="Q123" s="112">
        <v>36745</v>
      </c>
      <c r="R123" s="125">
        <f t="shared" si="8"/>
        <v>7</v>
      </c>
      <c r="S123" s="125">
        <f t="shared" si="9"/>
        <v>8</v>
      </c>
      <c r="T123" s="125">
        <f t="shared" si="10"/>
        <v>2000</v>
      </c>
      <c r="U123" s="142">
        <f t="shared" ca="1" si="11"/>
        <v>26.197260273972603</v>
      </c>
      <c r="V123" s="114" t="s">
        <v>452</v>
      </c>
      <c r="W123" s="114" t="s">
        <v>1975</v>
      </c>
      <c r="X123" s="109" t="s">
        <v>1497</v>
      </c>
      <c r="Y123" s="109" t="s">
        <v>83</v>
      </c>
      <c r="Z123" s="109" t="s">
        <v>84</v>
      </c>
      <c r="AA123" s="109" t="s">
        <v>532</v>
      </c>
      <c r="AB123" s="109" t="s">
        <v>2278</v>
      </c>
      <c r="AC123" s="109" t="s">
        <v>313</v>
      </c>
      <c r="AD123" s="109" t="s">
        <v>314</v>
      </c>
      <c r="AE123" s="109">
        <v>90</v>
      </c>
      <c r="AF123" s="114" t="s">
        <v>597</v>
      </c>
      <c r="AG123" s="109" t="s">
        <v>290</v>
      </c>
      <c r="AH123" s="115" t="s">
        <v>2331</v>
      </c>
      <c r="AI123" s="109" t="s">
        <v>317</v>
      </c>
      <c r="AJ123" s="109" t="s">
        <v>318</v>
      </c>
      <c r="AK123" s="109" t="s">
        <v>2645</v>
      </c>
      <c r="AL123" s="115" t="s">
        <v>2882</v>
      </c>
      <c r="AM123" s="109" t="s">
        <v>2364</v>
      </c>
      <c r="AN123" s="109" t="s">
        <v>381</v>
      </c>
      <c r="AO123" s="109" t="s">
        <v>398</v>
      </c>
      <c r="AP123" s="109"/>
      <c r="AQ123" s="109">
        <v>0</v>
      </c>
      <c r="AR123" s="109">
        <v>0</v>
      </c>
      <c r="AS123" s="109">
        <v>0</v>
      </c>
      <c r="AT123" s="109">
        <v>0</v>
      </c>
      <c r="AU123" s="109">
        <v>0</v>
      </c>
      <c r="AV123" s="109">
        <v>0</v>
      </c>
      <c r="AW123" s="109" t="s">
        <v>357</v>
      </c>
      <c r="AX123" s="109" t="s">
        <v>357</v>
      </c>
      <c r="AY123" s="109" t="s">
        <v>330</v>
      </c>
      <c r="AZ123" s="109"/>
      <c r="BA123" s="109"/>
      <c r="BB123" s="109"/>
      <c r="BC123" s="109"/>
      <c r="BD123" s="109" t="s">
        <v>2364</v>
      </c>
      <c r="BE123" s="109" t="s">
        <v>381</v>
      </c>
      <c r="BF123" s="109" t="s">
        <v>3593</v>
      </c>
      <c r="BG123" s="109" t="s">
        <v>488</v>
      </c>
      <c r="BH123" s="109" t="s">
        <v>334</v>
      </c>
      <c r="BI123" s="109">
        <v>1</v>
      </c>
      <c r="BJ123" s="109" t="s">
        <v>3832</v>
      </c>
      <c r="BK123" s="109" t="s">
        <v>3911</v>
      </c>
      <c r="BL123" s="111">
        <v>0</v>
      </c>
      <c r="BM123" s="109"/>
      <c r="BN123" s="109">
        <v>0</v>
      </c>
      <c r="BO123" s="111">
        <v>0</v>
      </c>
      <c r="BP123" s="109"/>
      <c r="BQ123" s="109">
        <v>0</v>
      </c>
      <c r="BR123" s="109">
        <v>0</v>
      </c>
      <c r="BS123" s="109"/>
      <c r="BT123" s="109">
        <v>0</v>
      </c>
      <c r="BU123" s="109">
        <v>0</v>
      </c>
      <c r="BV123" s="109"/>
      <c r="BW123" s="109">
        <v>0</v>
      </c>
      <c r="BX123" s="109">
        <v>0</v>
      </c>
      <c r="BY123" s="109"/>
      <c r="BZ123" s="109">
        <v>0</v>
      </c>
      <c r="CA123" s="109"/>
      <c r="CB123" s="109"/>
      <c r="CC123" s="109"/>
      <c r="CD123" s="110"/>
    </row>
    <row r="124" spans="1:82" ht="13.9" customHeight="1" x14ac:dyDescent="0.2">
      <c r="A124" s="12">
        <v>354</v>
      </c>
      <c r="B124" s="12" t="s">
        <v>4064</v>
      </c>
      <c r="C124" s="78" t="s">
        <v>335</v>
      </c>
      <c r="D124" s="99" t="s">
        <v>133</v>
      </c>
      <c r="E124" s="99" t="s">
        <v>1649</v>
      </c>
      <c r="F124" s="100">
        <v>44837</v>
      </c>
      <c r="G124" s="100">
        <v>43199</v>
      </c>
      <c r="H124" s="101">
        <f t="shared" si="6"/>
        <v>43289</v>
      </c>
      <c r="I124" s="101" t="s">
        <v>290</v>
      </c>
      <c r="J124" s="12" t="s">
        <v>4358</v>
      </c>
      <c r="K124" s="12" t="s">
        <v>1280</v>
      </c>
      <c r="L124" s="12" t="s">
        <v>1788</v>
      </c>
      <c r="M124" s="102" t="str">
        <f t="shared" si="7"/>
        <v>QUINTERO  RAMIREZ MARIO ALBERTO</v>
      </c>
      <c r="N124" s="102" t="s">
        <v>7160</v>
      </c>
      <c r="O124" s="102" t="s">
        <v>4653</v>
      </c>
      <c r="P124" s="12" t="s">
        <v>1953</v>
      </c>
      <c r="Q124" s="100">
        <v>26569</v>
      </c>
      <c r="R124" s="77">
        <f t="shared" si="8"/>
        <v>27</v>
      </c>
      <c r="S124" s="77">
        <f t="shared" si="9"/>
        <v>9</v>
      </c>
      <c r="T124" s="77">
        <f t="shared" si="10"/>
        <v>1972</v>
      </c>
      <c r="U124" s="103">
        <f t="shared" ca="1" si="11"/>
        <v>54.076712328767123</v>
      </c>
      <c r="V124" s="13" t="s">
        <v>342</v>
      </c>
      <c r="W124" s="13" t="s">
        <v>2065</v>
      </c>
      <c r="X124" s="12" t="s">
        <v>1497</v>
      </c>
      <c r="Y124" s="12" t="s">
        <v>119</v>
      </c>
      <c r="Z124" s="12" t="s">
        <v>134</v>
      </c>
      <c r="AA124" s="12" t="s">
        <v>2271</v>
      </c>
      <c r="AB124" s="12" t="s">
        <v>1583</v>
      </c>
      <c r="AC124" s="12" t="s">
        <v>313</v>
      </c>
      <c r="AD124" s="12" t="s">
        <v>349</v>
      </c>
      <c r="AE124" s="12">
        <v>90</v>
      </c>
      <c r="AF124" s="13" t="s">
        <v>671</v>
      </c>
      <c r="AG124" s="12" t="s">
        <v>290</v>
      </c>
      <c r="AH124" s="104" t="s">
        <v>2340</v>
      </c>
      <c r="AI124" s="12" t="s">
        <v>317</v>
      </c>
      <c r="AJ124" s="12" t="s">
        <v>318</v>
      </c>
      <c r="AK124" s="12">
        <v>8184520438</v>
      </c>
      <c r="AL124" s="104" t="s">
        <v>2971</v>
      </c>
      <c r="AM124" s="12" t="s">
        <v>2447</v>
      </c>
      <c r="AN124" s="12" t="s">
        <v>381</v>
      </c>
      <c r="AO124" s="12" t="s">
        <v>398</v>
      </c>
      <c r="AP124" s="12"/>
      <c r="AQ124" s="12">
        <v>0</v>
      </c>
      <c r="AR124" s="12">
        <v>0</v>
      </c>
      <c r="AS124" s="12">
        <v>0</v>
      </c>
      <c r="AT124" s="12">
        <v>0</v>
      </c>
      <c r="AU124" s="12">
        <v>0</v>
      </c>
      <c r="AV124" s="12">
        <v>0</v>
      </c>
      <c r="AW124" s="12" t="s">
        <v>328</v>
      </c>
      <c r="AX124" s="12" t="s">
        <v>329</v>
      </c>
      <c r="AY124" s="12" t="s">
        <v>330</v>
      </c>
      <c r="AZ124" s="12"/>
      <c r="BA124" s="12"/>
      <c r="BB124" s="12"/>
      <c r="BC124" s="12"/>
      <c r="BD124" s="12" t="s">
        <v>3491</v>
      </c>
      <c r="BE124" s="12" t="s">
        <v>381</v>
      </c>
      <c r="BF124" s="12" t="s">
        <v>3657</v>
      </c>
      <c r="BG124" s="12" t="s">
        <v>362</v>
      </c>
      <c r="BH124" s="12" t="s">
        <v>334</v>
      </c>
      <c r="BI124" s="12">
        <v>4</v>
      </c>
      <c r="BJ124" s="12" t="s">
        <v>3855</v>
      </c>
      <c r="BK124" s="12" t="s">
        <v>3911</v>
      </c>
      <c r="BL124" s="105">
        <v>0</v>
      </c>
      <c r="BM124" s="12"/>
      <c r="BN124" s="12">
        <v>0</v>
      </c>
      <c r="BO124" s="105">
        <v>0</v>
      </c>
      <c r="BP124" s="12"/>
      <c r="BQ124" s="12">
        <v>0</v>
      </c>
      <c r="BR124" s="12">
        <v>0</v>
      </c>
      <c r="BS124" s="12"/>
      <c r="BT124" s="12">
        <v>0</v>
      </c>
      <c r="BU124" s="12">
        <v>0</v>
      </c>
      <c r="BV124" s="12"/>
      <c r="BW124" s="12">
        <v>0</v>
      </c>
      <c r="BX124" s="12">
        <v>0</v>
      </c>
      <c r="BY124" s="12"/>
      <c r="BZ124" s="12">
        <v>0</v>
      </c>
      <c r="CA124" s="12"/>
      <c r="CB124" s="12"/>
      <c r="CC124" s="12"/>
      <c r="CD124" s="78"/>
    </row>
    <row r="125" spans="1:82" s="116" customFormat="1" ht="13.9" customHeight="1" x14ac:dyDescent="0.2">
      <c r="A125" s="12">
        <v>355</v>
      </c>
      <c r="B125" s="12" t="s">
        <v>4065</v>
      </c>
      <c r="C125" s="78" t="s">
        <v>335</v>
      </c>
      <c r="D125" s="99" t="s">
        <v>133</v>
      </c>
      <c r="E125" s="99" t="s">
        <v>6528</v>
      </c>
      <c r="F125" s="100">
        <v>44837</v>
      </c>
      <c r="G125" s="100">
        <v>43514</v>
      </c>
      <c r="H125" s="101">
        <f t="shared" si="6"/>
        <v>43604</v>
      </c>
      <c r="I125" s="101" t="s">
        <v>290</v>
      </c>
      <c r="J125" s="12" t="s">
        <v>447</v>
      </c>
      <c r="K125" s="12" t="s">
        <v>4479</v>
      </c>
      <c r="L125" s="12" t="s">
        <v>1789</v>
      </c>
      <c r="M125" s="102" t="str">
        <f t="shared" si="7"/>
        <v>GARCIA ZAPATA VICTOR ANGEL</v>
      </c>
      <c r="N125" s="102" t="s">
        <v>6910</v>
      </c>
      <c r="O125" s="102" t="s">
        <v>4654</v>
      </c>
      <c r="P125" s="12" t="s">
        <v>1953</v>
      </c>
      <c r="Q125" s="100">
        <v>33185</v>
      </c>
      <c r="R125" s="77">
        <f t="shared" si="8"/>
        <v>8</v>
      </c>
      <c r="S125" s="77">
        <f t="shared" si="9"/>
        <v>11</v>
      </c>
      <c r="T125" s="77">
        <f t="shared" si="10"/>
        <v>1990</v>
      </c>
      <c r="U125" s="103">
        <f t="shared" ca="1" si="11"/>
        <v>35.950684931506849</v>
      </c>
      <c r="V125" s="13" t="s">
        <v>452</v>
      </c>
      <c r="W125" s="13" t="s">
        <v>2066</v>
      </c>
      <c r="X125" s="12" t="s">
        <v>1497</v>
      </c>
      <c r="Y125" s="12" t="s">
        <v>121</v>
      </c>
      <c r="Z125" s="12" t="s">
        <v>134</v>
      </c>
      <c r="AA125" s="12" t="s">
        <v>2271</v>
      </c>
      <c r="AB125" s="12" t="s">
        <v>2291</v>
      </c>
      <c r="AC125" s="12" t="s">
        <v>313</v>
      </c>
      <c r="AD125" s="12" t="s">
        <v>349</v>
      </c>
      <c r="AE125" s="12">
        <v>90</v>
      </c>
      <c r="AF125" s="13" t="s">
        <v>671</v>
      </c>
      <c r="AG125" s="12" t="s">
        <v>290</v>
      </c>
      <c r="AH125" s="104" t="s">
        <v>2340</v>
      </c>
      <c r="AI125" s="12" t="s">
        <v>317</v>
      </c>
      <c r="AJ125" s="12" t="s">
        <v>318</v>
      </c>
      <c r="AK125" s="12">
        <v>8180116709</v>
      </c>
      <c r="AL125" s="104" t="s">
        <v>2972</v>
      </c>
      <c r="AM125" s="12" t="s">
        <v>2448</v>
      </c>
      <c r="AN125" s="12" t="s">
        <v>381</v>
      </c>
      <c r="AO125" s="12" t="s">
        <v>398</v>
      </c>
      <c r="AP125" s="12"/>
      <c r="AQ125" s="12">
        <v>0</v>
      </c>
      <c r="AR125" s="12">
        <v>0</v>
      </c>
      <c r="AS125" s="12">
        <v>0</v>
      </c>
      <c r="AT125" s="12">
        <v>0</v>
      </c>
      <c r="AU125" s="12">
        <v>0</v>
      </c>
      <c r="AV125" s="12">
        <v>0</v>
      </c>
      <c r="AW125" s="12" t="s">
        <v>328</v>
      </c>
      <c r="AX125" s="12" t="s">
        <v>329</v>
      </c>
      <c r="AY125" s="12" t="s">
        <v>330</v>
      </c>
      <c r="AZ125" s="12"/>
      <c r="BA125" s="12"/>
      <c r="BB125" s="12"/>
      <c r="BC125" s="12"/>
      <c r="BD125" s="12" t="s">
        <v>3492</v>
      </c>
      <c r="BE125" s="12" t="s">
        <v>808</v>
      </c>
      <c r="BF125" s="12" t="s">
        <v>3658</v>
      </c>
      <c r="BG125" s="12" t="s">
        <v>362</v>
      </c>
      <c r="BH125" s="12" t="s">
        <v>334</v>
      </c>
      <c r="BI125" s="12">
        <v>3</v>
      </c>
      <c r="BJ125" s="12" t="s">
        <v>3856</v>
      </c>
      <c r="BK125" s="12" t="s">
        <v>3911</v>
      </c>
      <c r="BL125" s="105">
        <v>0</v>
      </c>
      <c r="BM125" s="12"/>
      <c r="BN125" s="12">
        <v>0</v>
      </c>
      <c r="BO125" s="105">
        <v>0</v>
      </c>
      <c r="BP125" s="12"/>
      <c r="BQ125" s="12">
        <v>0</v>
      </c>
      <c r="BR125" s="12">
        <v>0</v>
      </c>
      <c r="BS125" s="12"/>
      <c r="BT125" s="12">
        <v>0</v>
      </c>
      <c r="BU125" s="12">
        <v>0</v>
      </c>
      <c r="BV125" s="12"/>
      <c r="BW125" s="12">
        <v>0</v>
      </c>
      <c r="BX125" s="12">
        <v>0</v>
      </c>
      <c r="BY125" s="12"/>
      <c r="BZ125" s="12">
        <v>0</v>
      </c>
      <c r="CA125" s="12"/>
      <c r="CB125" s="12"/>
      <c r="CC125" s="12"/>
      <c r="CD125" s="110"/>
    </row>
    <row r="126" spans="1:82" ht="13.9" customHeight="1" x14ac:dyDescent="0.2">
      <c r="A126" s="12">
        <v>356</v>
      </c>
      <c r="B126" s="12" t="s">
        <v>4066</v>
      </c>
      <c r="C126" s="78" t="s">
        <v>335</v>
      </c>
      <c r="D126" s="99" t="s">
        <v>133</v>
      </c>
      <c r="E126" s="99" t="s">
        <v>1650</v>
      </c>
      <c r="F126" s="100">
        <v>44837</v>
      </c>
      <c r="G126" s="100">
        <v>43571</v>
      </c>
      <c r="H126" s="101">
        <f t="shared" si="6"/>
        <v>43661</v>
      </c>
      <c r="I126" s="101" t="s">
        <v>290</v>
      </c>
      <c r="J126" s="12" t="s">
        <v>704</v>
      </c>
      <c r="K126" s="12" t="s">
        <v>405</v>
      </c>
      <c r="L126" s="12" t="s">
        <v>1790</v>
      </c>
      <c r="M126" s="102" t="str">
        <f t="shared" si="7"/>
        <v>GONZALEZ REYES GUILLERMO</v>
      </c>
      <c r="N126" s="102" t="s">
        <v>6911</v>
      </c>
      <c r="O126" s="102" t="s">
        <v>4655</v>
      </c>
      <c r="P126" s="12" t="s">
        <v>1953</v>
      </c>
      <c r="Q126" s="100">
        <v>30167</v>
      </c>
      <c r="R126" s="77">
        <f t="shared" si="8"/>
        <v>4</v>
      </c>
      <c r="S126" s="77">
        <f t="shared" si="9"/>
        <v>8</v>
      </c>
      <c r="T126" s="77">
        <f t="shared" si="10"/>
        <v>1982</v>
      </c>
      <c r="U126" s="103">
        <f t="shared" ca="1" si="11"/>
        <v>44.219178082191782</v>
      </c>
      <c r="V126" s="13" t="s">
        <v>452</v>
      </c>
      <c r="W126" s="13" t="s">
        <v>2067</v>
      </c>
      <c r="X126" s="12" t="s">
        <v>1497</v>
      </c>
      <c r="Y126" s="12" t="s">
        <v>135</v>
      </c>
      <c r="Z126" s="12" t="s">
        <v>136</v>
      </c>
      <c r="AA126" s="12" t="s">
        <v>347</v>
      </c>
      <c r="AB126" s="12" t="s">
        <v>2291</v>
      </c>
      <c r="AC126" s="12" t="s">
        <v>313</v>
      </c>
      <c r="AD126" s="12" t="s">
        <v>349</v>
      </c>
      <c r="AE126" s="12">
        <v>90</v>
      </c>
      <c r="AF126" s="13" t="s">
        <v>671</v>
      </c>
      <c r="AG126" s="12" t="s">
        <v>290</v>
      </c>
      <c r="AH126" s="104" t="s">
        <v>2340</v>
      </c>
      <c r="AI126" s="12" t="s">
        <v>317</v>
      </c>
      <c r="AJ126" s="12" t="s">
        <v>318</v>
      </c>
      <c r="AK126" s="12">
        <v>8120322869</v>
      </c>
      <c r="AL126" s="104" t="s">
        <v>2973</v>
      </c>
      <c r="AM126" s="12" t="s">
        <v>2449</v>
      </c>
      <c r="AN126" s="12" t="s">
        <v>381</v>
      </c>
      <c r="AO126" s="12" t="s">
        <v>327</v>
      </c>
      <c r="AP126" s="12"/>
      <c r="AQ126" s="12">
        <v>0</v>
      </c>
      <c r="AR126" s="12">
        <v>0</v>
      </c>
      <c r="AS126" s="12">
        <v>0</v>
      </c>
      <c r="AT126" s="12">
        <v>0</v>
      </c>
      <c r="AU126" s="12">
        <v>0</v>
      </c>
      <c r="AV126" s="12">
        <v>0</v>
      </c>
      <c r="AW126" s="12" t="s">
        <v>328</v>
      </c>
      <c r="AX126" s="12" t="s">
        <v>329</v>
      </c>
      <c r="AY126" s="12" t="s">
        <v>330</v>
      </c>
      <c r="AZ126" s="12"/>
      <c r="BA126" s="12"/>
      <c r="BB126" s="12"/>
      <c r="BC126" s="12"/>
      <c r="BD126" s="12" t="s">
        <v>2449</v>
      </c>
      <c r="BE126" s="12" t="s">
        <v>381</v>
      </c>
      <c r="BF126" s="12" t="s">
        <v>3659</v>
      </c>
      <c r="BG126" s="12" t="s">
        <v>362</v>
      </c>
      <c r="BH126" s="12" t="s">
        <v>334</v>
      </c>
      <c r="BI126" s="12">
        <v>3</v>
      </c>
      <c r="BJ126" s="12" t="s">
        <v>3857</v>
      </c>
      <c r="BK126" s="12" t="s">
        <v>3911</v>
      </c>
      <c r="BL126" s="105">
        <v>0</v>
      </c>
      <c r="BM126" s="12"/>
      <c r="BN126" s="12">
        <v>0</v>
      </c>
      <c r="BO126" s="105">
        <v>0</v>
      </c>
      <c r="BP126" s="12"/>
      <c r="BQ126" s="12">
        <v>0</v>
      </c>
      <c r="BR126" s="12">
        <v>0</v>
      </c>
      <c r="BS126" s="12"/>
      <c r="BT126" s="12">
        <v>0</v>
      </c>
      <c r="BU126" s="12">
        <v>0</v>
      </c>
      <c r="BV126" s="12"/>
      <c r="BW126" s="12">
        <v>0</v>
      </c>
      <c r="BX126" s="12">
        <v>0</v>
      </c>
      <c r="BY126" s="12"/>
      <c r="BZ126" s="12">
        <v>0</v>
      </c>
      <c r="CA126" s="12"/>
      <c r="CB126" s="12"/>
      <c r="CC126" s="12"/>
      <c r="CD126" s="78"/>
    </row>
    <row r="127" spans="1:82" ht="13.9" customHeight="1" x14ac:dyDescent="0.2">
      <c r="A127" s="107">
        <v>365</v>
      </c>
      <c r="B127" s="107" t="s">
        <v>7251</v>
      </c>
      <c r="C127" s="78" t="s">
        <v>363</v>
      </c>
      <c r="D127" s="107" t="s">
        <v>7925</v>
      </c>
      <c r="E127" s="99" t="s">
        <v>6529</v>
      </c>
      <c r="F127" s="100">
        <v>44859</v>
      </c>
      <c r="G127" s="117">
        <v>44859</v>
      </c>
      <c r="H127" s="101">
        <f t="shared" si="6"/>
        <v>44949</v>
      </c>
      <c r="I127" s="101" t="s">
        <v>290</v>
      </c>
      <c r="J127" s="12" t="s">
        <v>4319</v>
      </c>
      <c r="K127" s="12" t="s">
        <v>1239</v>
      </c>
      <c r="L127" s="12" t="s">
        <v>1742</v>
      </c>
      <c r="M127" s="153" t="str">
        <f t="shared" si="7"/>
        <v>MEJIA VAZQUEZ RITO</v>
      </c>
      <c r="N127" s="102" t="s">
        <v>6912</v>
      </c>
      <c r="O127" s="102" t="s">
        <v>4601</v>
      </c>
      <c r="P127" s="12" t="s">
        <v>1953</v>
      </c>
      <c r="Q127" s="100">
        <v>27518</v>
      </c>
      <c r="R127" s="77">
        <f t="shared" si="8"/>
        <v>4</v>
      </c>
      <c r="S127" s="77">
        <f t="shared" si="9"/>
        <v>5</v>
      </c>
      <c r="T127" s="77">
        <f t="shared" si="10"/>
        <v>1975</v>
      </c>
      <c r="U127" s="103">
        <f t="shared" ca="1" si="11"/>
        <v>51.476712328767121</v>
      </c>
      <c r="V127" s="13" t="s">
        <v>814</v>
      </c>
      <c r="W127" s="13" t="s">
        <v>2012</v>
      </c>
      <c r="X127" s="12" t="s">
        <v>1497</v>
      </c>
      <c r="Y127" s="12" t="s">
        <v>87</v>
      </c>
      <c r="Z127" s="12" t="s">
        <v>88</v>
      </c>
      <c r="AA127" s="12" t="s">
        <v>392</v>
      </c>
      <c r="AB127" s="12" t="s">
        <v>374</v>
      </c>
      <c r="AC127" s="12" t="s">
        <v>313</v>
      </c>
      <c r="AD127" s="12" t="s">
        <v>314</v>
      </c>
      <c r="AE127" s="12">
        <v>90</v>
      </c>
      <c r="AF127" s="13" t="s">
        <v>375</v>
      </c>
      <c r="AG127" s="12" t="s">
        <v>290</v>
      </c>
      <c r="AH127" s="104" t="s">
        <v>2336</v>
      </c>
      <c r="AI127" s="12" t="s">
        <v>317</v>
      </c>
      <c r="AJ127" s="12" t="s">
        <v>318</v>
      </c>
      <c r="AK127" s="12" t="s">
        <v>2667</v>
      </c>
      <c r="AL127" s="104" t="s">
        <v>2919</v>
      </c>
      <c r="AM127" s="12" t="s">
        <v>2400</v>
      </c>
      <c r="AN127" s="12" t="s">
        <v>1531</v>
      </c>
      <c r="AO127" s="12" t="s">
        <v>398</v>
      </c>
      <c r="AP127" s="12"/>
      <c r="AQ127" s="12">
        <v>0</v>
      </c>
      <c r="AR127" s="12">
        <v>0</v>
      </c>
      <c r="AS127" s="12">
        <v>0</v>
      </c>
      <c r="AT127" s="12">
        <v>0</v>
      </c>
      <c r="AU127" s="12">
        <v>0</v>
      </c>
      <c r="AV127" s="12">
        <v>0</v>
      </c>
      <c r="AW127" s="12" t="s">
        <v>357</v>
      </c>
      <c r="AX127" s="12" t="s">
        <v>329</v>
      </c>
      <c r="AY127" s="12" t="s">
        <v>330</v>
      </c>
      <c r="AZ127" s="12"/>
      <c r="BA127" s="12"/>
      <c r="BB127" s="12"/>
      <c r="BC127" s="12"/>
      <c r="BD127" s="12" t="s">
        <v>3470</v>
      </c>
      <c r="BE127" s="12" t="s">
        <v>325</v>
      </c>
      <c r="BF127" s="12" t="s">
        <v>3615</v>
      </c>
      <c r="BG127" s="12" t="s">
        <v>333</v>
      </c>
      <c r="BH127" s="12" t="s">
        <v>334</v>
      </c>
      <c r="BI127" s="12">
        <v>4</v>
      </c>
      <c r="BJ127" s="12" t="s">
        <v>3843</v>
      </c>
      <c r="BK127" s="12" t="s">
        <v>3911</v>
      </c>
      <c r="BL127" s="105">
        <v>22</v>
      </c>
      <c r="BM127" s="12"/>
      <c r="BN127" s="12" t="s">
        <v>3911</v>
      </c>
      <c r="BO127" s="105">
        <v>21</v>
      </c>
      <c r="BP127" s="12"/>
      <c r="BQ127" s="12" t="s">
        <v>1953</v>
      </c>
      <c r="BR127" s="12">
        <v>18</v>
      </c>
      <c r="BS127" s="12"/>
      <c r="BT127" s="12" t="s">
        <v>1953</v>
      </c>
      <c r="BU127" s="12" t="s">
        <v>1953</v>
      </c>
      <c r="BV127" s="12"/>
      <c r="BW127" s="12" t="s">
        <v>1953</v>
      </c>
      <c r="BX127" s="12">
        <v>0</v>
      </c>
      <c r="BY127" s="12"/>
      <c r="BZ127" s="12">
        <v>0</v>
      </c>
      <c r="CA127" s="12"/>
      <c r="CB127" s="12"/>
      <c r="CC127" s="12"/>
      <c r="CD127" s="78"/>
    </row>
    <row r="128" spans="1:82" s="116" customFormat="1" ht="13.9" customHeight="1" x14ac:dyDescent="0.2">
      <c r="A128" s="109">
        <v>372</v>
      </c>
      <c r="B128" s="109" t="s">
        <v>4238</v>
      </c>
      <c r="C128" s="115" t="s">
        <v>299</v>
      </c>
      <c r="D128" s="111" t="s">
        <v>80</v>
      </c>
      <c r="E128" s="111" t="s">
        <v>6749</v>
      </c>
      <c r="F128" s="112">
        <v>44875</v>
      </c>
      <c r="G128" s="112">
        <v>44875</v>
      </c>
      <c r="H128" s="113">
        <f t="shared" si="6"/>
        <v>44965</v>
      </c>
      <c r="I128" s="113" t="s">
        <v>291</v>
      </c>
      <c r="J128" s="109" t="s">
        <v>4393</v>
      </c>
      <c r="K128" s="109" t="s">
        <v>4505</v>
      </c>
      <c r="L128" s="109" t="s">
        <v>1860</v>
      </c>
      <c r="M128" s="128" t="str">
        <f t="shared" si="7"/>
        <v>RIVERA  LECHUGA MIGUEL ALFREDO</v>
      </c>
      <c r="N128" s="128" t="s">
        <v>7161</v>
      </c>
      <c r="O128" s="128" t="s">
        <v>4740</v>
      </c>
      <c r="P128" s="109" t="s">
        <v>1953</v>
      </c>
      <c r="Q128" s="112">
        <v>33033</v>
      </c>
      <c r="R128" s="125">
        <f t="shared" si="8"/>
        <v>9</v>
      </c>
      <c r="S128" s="125">
        <f t="shared" si="9"/>
        <v>6</v>
      </c>
      <c r="T128" s="125">
        <f t="shared" si="10"/>
        <v>1990</v>
      </c>
      <c r="U128" s="142">
        <f t="shared" ca="1" si="11"/>
        <v>36.367123287671234</v>
      </c>
      <c r="V128" s="114" t="s">
        <v>452</v>
      </c>
      <c r="W128" s="114" t="s">
        <v>2152</v>
      </c>
      <c r="X128" s="109" t="s">
        <v>1497</v>
      </c>
      <c r="Y128" s="109" t="s">
        <v>189</v>
      </c>
      <c r="Z128" s="109" t="s">
        <v>174</v>
      </c>
      <c r="AA128" s="109" t="s">
        <v>432</v>
      </c>
      <c r="AB128" s="109" t="s">
        <v>2305</v>
      </c>
      <c r="AC128" s="109" t="s">
        <v>313</v>
      </c>
      <c r="AD128" s="109" t="s">
        <v>314</v>
      </c>
      <c r="AE128" s="109">
        <v>90</v>
      </c>
      <c r="AF128" s="114" t="s">
        <v>315</v>
      </c>
      <c r="AG128" s="109" t="s">
        <v>291</v>
      </c>
      <c r="AH128" s="115" t="s">
        <v>316</v>
      </c>
      <c r="AI128" s="109" t="s">
        <v>317</v>
      </c>
      <c r="AJ128" s="109" t="s">
        <v>318</v>
      </c>
      <c r="AK128" s="109" t="s">
        <v>2766</v>
      </c>
      <c r="AL128" s="115" t="s">
        <v>3058</v>
      </c>
      <c r="AM128" s="109" t="s">
        <v>2529</v>
      </c>
      <c r="AN128" s="109" t="s">
        <v>325</v>
      </c>
      <c r="AO128" s="109" t="s">
        <v>398</v>
      </c>
      <c r="AP128" s="109"/>
      <c r="AQ128" s="109">
        <v>0</v>
      </c>
      <c r="AR128" s="109">
        <v>0</v>
      </c>
      <c r="AS128" s="109">
        <v>0</v>
      </c>
      <c r="AT128" s="109">
        <v>0</v>
      </c>
      <c r="AU128" s="109">
        <v>0</v>
      </c>
      <c r="AV128" s="109">
        <v>0</v>
      </c>
      <c r="AW128" s="109" t="s">
        <v>357</v>
      </c>
      <c r="AX128" s="109" t="s">
        <v>357</v>
      </c>
      <c r="AY128" s="109" t="s">
        <v>330</v>
      </c>
      <c r="AZ128" s="109"/>
      <c r="BA128" s="109"/>
      <c r="BB128" s="109"/>
      <c r="BC128" s="109"/>
      <c r="BD128" s="109" t="s">
        <v>3527</v>
      </c>
      <c r="BE128" s="109" t="s">
        <v>622</v>
      </c>
      <c r="BF128" s="109" t="s">
        <v>3720</v>
      </c>
      <c r="BG128" s="109" t="s">
        <v>333</v>
      </c>
      <c r="BH128" s="109" t="s">
        <v>334</v>
      </c>
      <c r="BI128" s="109" t="s">
        <v>362</v>
      </c>
      <c r="BJ128" s="109" t="s">
        <v>3888</v>
      </c>
      <c r="BK128" s="109" t="s">
        <v>3911</v>
      </c>
      <c r="BL128" s="111">
        <v>0</v>
      </c>
      <c r="BM128" s="109"/>
      <c r="BN128" s="109">
        <v>0</v>
      </c>
      <c r="BO128" s="111">
        <v>0</v>
      </c>
      <c r="BP128" s="109"/>
      <c r="BQ128" s="109">
        <v>0</v>
      </c>
      <c r="BR128" s="109">
        <v>0</v>
      </c>
      <c r="BS128" s="109"/>
      <c r="BT128" s="109">
        <v>0</v>
      </c>
      <c r="BU128" s="109">
        <v>0</v>
      </c>
      <c r="BV128" s="109"/>
      <c r="BW128" s="109">
        <v>0</v>
      </c>
      <c r="BX128" s="109">
        <v>0</v>
      </c>
      <c r="BY128" s="109"/>
      <c r="BZ128" s="109">
        <v>0</v>
      </c>
      <c r="CA128" s="109"/>
      <c r="CB128" s="109"/>
      <c r="CC128" s="109"/>
      <c r="CD128" s="110"/>
    </row>
    <row r="129" spans="1:82" ht="13.9" customHeight="1" x14ac:dyDescent="0.2">
      <c r="A129" s="12">
        <v>400</v>
      </c>
      <c r="B129" s="12" t="s">
        <v>4020</v>
      </c>
      <c r="C129" s="104" t="s">
        <v>299</v>
      </c>
      <c r="D129" s="99" t="s">
        <v>80</v>
      </c>
      <c r="E129" s="99" t="s">
        <v>6530</v>
      </c>
      <c r="F129" s="100">
        <v>44928</v>
      </c>
      <c r="G129" s="100">
        <v>44928</v>
      </c>
      <c r="H129" s="101">
        <f t="shared" si="6"/>
        <v>45108</v>
      </c>
      <c r="I129" s="101" t="s">
        <v>291</v>
      </c>
      <c r="J129" s="12" t="s">
        <v>1419</v>
      </c>
      <c r="K129" s="12" t="s">
        <v>404</v>
      </c>
      <c r="L129" s="12" t="s">
        <v>1807</v>
      </c>
      <c r="M129" s="102" t="str">
        <f t="shared" si="7"/>
        <v>CARRILLO GOMEZ FATIMA LIZETH</v>
      </c>
      <c r="N129" s="102" t="s">
        <v>6913</v>
      </c>
      <c r="O129" s="102" t="s">
        <v>4680</v>
      </c>
      <c r="P129" s="12" t="s">
        <v>1954</v>
      </c>
      <c r="Q129" s="100">
        <v>32666</v>
      </c>
      <c r="R129" s="77">
        <f t="shared" si="8"/>
        <v>7</v>
      </c>
      <c r="S129" s="77">
        <f t="shared" si="9"/>
        <v>6</v>
      </c>
      <c r="T129" s="77">
        <f t="shared" si="10"/>
        <v>1989</v>
      </c>
      <c r="U129" s="103">
        <f t="shared" ca="1" si="11"/>
        <v>37.372602739726027</v>
      </c>
      <c r="V129" s="13" t="s">
        <v>1450</v>
      </c>
      <c r="W129" s="13" t="s">
        <v>2091</v>
      </c>
      <c r="X129" s="12" t="s">
        <v>1497</v>
      </c>
      <c r="Y129" s="12" t="s">
        <v>193</v>
      </c>
      <c r="Z129" s="12" t="s">
        <v>170</v>
      </c>
      <c r="AA129" s="12" t="s">
        <v>636</v>
      </c>
      <c r="AB129" s="12" t="s">
        <v>2282</v>
      </c>
      <c r="AC129" s="12" t="s">
        <v>313</v>
      </c>
      <c r="AD129" s="12" t="s">
        <v>314</v>
      </c>
      <c r="AE129" s="12">
        <v>180</v>
      </c>
      <c r="AF129" s="13" t="s">
        <v>315</v>
      </c>
      <c r="AG129" s="12" t="s">
        <v>291</v>
      </c>
      <c r="AH129" s="104" t="s">
        <v>316</v>
      </c>
      <c r="AI129" s="12" t="s">
        <v>317</v>
      </c>
      <c r="AJ129" s="12" t="s">
        <v>318</v>
      </c>
      <c r="AK129" s="12" t="s">
        <v>2721</v>
      </c>
      <c r="AL129" s="104" t="s">
        <v>2997</v>
      </c>
      <c r="AM129" s="12" t="s">
        <v>2473</v>
      </c>
      <c r="AN129" s="12" t="s">
        <v>3178</v>
      </c>
      <c r="AO129" s="12" t="s">
        <v>398</v>
      </c>
      <c r="AP129" s="12"/>
      <c r="AQ129" s="12">
        <v>0</v>
      </c>
      <c r="AR129" s="12">
        <v>0</v>
      </c>
      <c r="AS129" s="12">
        <v>0</v>
      </c>
      <c r="AT129" s="12">
        <v>0</v>
      </c>
      <c r="AU129" s="12">
        <v>0</v>
      </c>
      <c r="AV129" s="12">
        <v>0</v>
      </c>
      <c r="AW129" s="12" t="s">
        <v>357</v>
      </c>
      <c r="AX129" s="12" t="s">
        <v>357</v>
      </c>
      <c r="AY129" s="12" t="s">
        <v>330</v>
      </c>
      <c r="AZ129" s="12"/>
      <c r="BA129" s="12"/>
      <c r="BB129" s="12"/>
      <c r="BC129" s="12"/>
      <c r="BD129" s="12" t="s">
        <v>2473</v>
      </c>
      <c r="BE129" s="12" t="s">
        <v>3178</v>
      </c>
      <c r="BF129" s="12" t="s">
        <v>3671</v>
      </c>
      <c r="BG129" s="12" t="s">
        <v>333</v>
      </c>
      <c r="BH129" s="12" t="s">
        <v>334</v>
      </c>
      <c r="BI129" s="12">
        <v>1</v>
      </c>
      <c r="BJ129" s="100">
        <v>42993</v>
      </c>
      <c r="BK129" s="12" t="s">
        <v>3911</v>
      </c>
      <c r="BL129" s="105">
        <f ca="1">(+TODAY()-BJ129)/365</f>
        <v>9.0794520547945208</v>
      </c>
      <c r="BM129" s="12"/>
      <c r="BN129" s="12">
        <v>0</v>
      </c>
      <c r="BO129" s="105">
        <v>0</v>
      </c>
      <c r="BP129" s="12"/>
      <c r="BQ129" s="12">
        <v>0</v>
      </c>
      <c r="BR129" s="12">
        <v>0</v>
      </c>
      <c r="BS129" s="12"/>
      <c r="BT129" s="12">
        <v>0</v>
      </c>
      <c r="BU129" s="12">
        <v>0</v>
      </c>
      <c r="BV129" s="12"/>
      <c r="BW129" s="12">
        <v>0</v>
      </c>
      <c r="BX129" s="12">
        <v>0</v>
      </c>
      <c r="BY129" s="12"/>
      <c r="BZ129" s="12">
        <v>0</v>
      </c>
      <c r="CA129" s="12"/>
      <c r="CB129" s="12"/>
      <c r="CC129" s="12"/>
      <c r="CD129" s="78"/>
    </row>
    <row r="130" spans="1:82" ht="13.9" customHeight="1" x14ac:dyDescent="0.2">
      <c r="A130" s="107">
        <v>382</v>
      </c>
      <c r="B130" s="107" t="s">
        <v>4208</v>
      </c>
      <c r="C130" s="78" t="s">
        <v>363</v>
      </c>
      <c r="D130" s="107" t="s">
        <v>86</v>
      </c>
      <c r="E130" s="99" t="s">
        <v>6531</v>
      </c>
      <c r="F130" s="100">
        <v>44935</v>
      </c>
      <c r="G130" s="117">
        <v>44935</v>
      </c>
      <c r="H130" s="101">
        <f t="shared" ref="H130:H193" si="12">+G130+AE130</f>
        <v>45025</v>
      </c>
      <c r="I130" s="101" t="s">
        <v>291</v>
      </c>
      <c r="J130" s="12" t="s">
        <v>4423</v>
      </c>
      <c r="K130" s="12" t="s">
        <v>1236</v>
      </c>
      <c r="L130" s="12" t="s">
        <v>1920</v>
      </c>
      <c r="M130" s="102" t="str">
        <f t="shared" ref="M130:M193" si="13">_xlfn.CONCAT(J130," ",K130," ",L130)</f>
        <v>DELGADILLO GUERRERO MONICA ALMA</v>
      </c>
      <c r="N130" s="102" t="s">
        <v>6914</v>
      </c>
      <c r="O130" s="102" t="s">
        <v>4821</v>
      </c>
      <c r="P130" s="12" t="s">
        <v>1954</v>
      </c>
      <c r="Q130" s="100">
        <v>27479</v>
      </c>
      <c r="R130" s="77">
        <f t="shared" si="8"/>
        <v>26</v>
      </c>
      <c r="S130" s="77">
        <f t="shared" si="9"/>
        <v>3</v>
      </c>
      <c r="T130" s="77">
        <f t="shared" si="10"/>
        <v>1975</v>
      </c>
      <c r="U130" s="103">
        <f t="shared" ca="1" si="11"/>
        <v>51.583561643835615</v>
      </c>
      <c r="V130" s="13" t="s">
        <v>308</v>
      </c>
      <c r="W130" s="13" t="s">
        <v>2231</v>
      </c>
      <c r="X130" s="12" t="s">
        <v>1497</v>
      </c>
      <c r="Y130" s="108" t="s">
        <v>247</v>
      </c>
      <c r="Z130" s="12" t="s">
        <v>93</v>
      </c>
      <c r="AA130" s="12" t="s">
        <v>636</v>
      </c>
      <c r="AB130" s="12" t="s">
        <v>1428</v>
      </c>
      <c r="AC130" s="12" t="s">
        <v>313</v>
      </c>
      <c r="AD130" s="12" t="s">
        <v>314</v>
      </c>
      <c r="AE130" s="12">
        <v>90</v>
      </c>
      <c r="AF130" s="13" t="s">
        <v>375</v>
      </c>
      <c r="AG130" s="12" t="s">
        <v>291</v>
      </c>
      <c r="AH130" s="104" t="s">
        <v>2336</v>
      </c>
      <c r="AI130" s="12" t="s">
        <v>317</v>
      </c>
      <c r="AJ130" s="12" t="s">
        <v>318</v>
      </c>
      <c r="AK130" s="12" t="s">
        <v>2833</v>
      </c>
      <c r="AL130" s="104" t="s">
        <v>3135</v>
      </c>
      <c r="AM130" s="12" t="s">
        <v>2604</v>
      </c>
      <c r="AN130" s="12" t="s">
        <v>832</v>
      </c>
      <c r="AO130" s="12" t="s">
        <v>327</v>
      </c>
      <c r="AP130" s="12"/>
      <c r="AQ130" s="12" t="s">
        <v>3331</v>
      </c>
      <c r="AR130" s="12">
        <v>0</v>
      </c>
      <c r="AS130" s="12">
        <v>0</v>
      </c>
      <c r="AT130" s="12">
        <v>0</v>
      </c>
      <c r="AU130" s="12">
        <v>0</v>
      </c>
      <c r="AV130" s="12">
        <v>0</v>
      </c>
      <c r="AW130" s="12" t="s">
        <v>357</v>
      </c>
      <c r="AX130" s="12" t="s">
        <v>357</v>
      </c>
      <c r="AY130" s="12" t="s">
        <v>330</v>
      </c>
      <c r="AZ130" s="12"/>
      <c r="BA130" s="12"/>
      <c r="BB130" s="12"/>
      <c r="BC130" s="12"/>
      <c r="BD130" s="12" t="s">
        <v>3560</v>
      </c>
      <c r="BE130" s="12" t="s">
        <v>560</v>
      </c>
      <c r="BF130" s="12" t="s">
        <v>3784</v>
      </c>
      <c r="BG130" s="12" t="s">
        <v>488</v>
      </c>
      <c r="BH130" s="12" t="s">
        <v>334</v>
      </c>
      <c r="BI130" s="12">
        <v>1</v>
      </c>
      <c r="BJ130" s="100">
        <v>35814</v>
      </c>
      <c r="BK130" s="12" t="s">
        <v>3911</v>
      </c>
      <c r="BL130" s="105">
        <f ca="1">(+TODAY()-BJ130)/365</f>
        <v>28.747945205479454</v>
      </c>
      <c r="BM130" s="12"/>
      <c r="BN130" s="12">
        <v>0</v>
      </c>
      <c r="BO130" s="105">
        <v>0</v>
      </c>
      <c r="BP130" s="12"/>
      <c r="BQ130" s="12">
        <v>0</v>
      </c>
      <c r="BR130" s="12">
        <v>0</v>
      </c>
      <c r="BS130" s="12"/>
      <c r="BT130" s="12">
        <v>0</v>
      </c>
      <c r="BU130" s="12">
        <v>0</v>
      </c>
      <c r="BV130" s="12"/>
      <c r="BW130" s="12">
        <v>0</v>
      </c>
      <c r="BX130" s="12">
        <v>0</v>
      </c>
      <c r="BY130" s="12"/>
      <c r="BZ130" s="12">
        <v>0</v>
      </c>
      <c r="CA130" s="12"/>
      <c r="CB130" s="12"/>
      <c r="CC130" s="12"/>
      <c r="CD130" s="78"/>
    </row>
    <row r="131" spans="1:82" ht="13.9" customHeight="1" x14ac:dyDescent="0.2">
      <c r="A131" s="12">
        <v>400</v>
      </c>
      <c r="B131" s="12" t="s">
        <v>4019</v>
      </c>
      <c r="C131" s="78" t="s">
        <v>335</v>
      </c>
      <c r="D131" s="107" t="s">
        <v>228</v>
      </c>
      <c r="E131" s="99" t="s">
        <v>6750</v>
      </c>
      <c r="F131" s="100">
        <v>44937</v>
      </c>
      <c r="G131" s="100">
        <v>44937</v>
      </c>
      <c r="H131" s="101">
        <f t="shared" si="12"/>
        <v>45027</v>
      </c>
      <c r="I131" s="101" t="s">
        <v>290</v>
      </c>
      <c r="J131" s="12" t="s">
        <v>4367</v>
      </c>
      <c r="K131" s="12" t="s">
        <v>1534</v>
      </c>
      <c r="L131" s="12" t="s">
        <v>751</v>
      </c>
      <c r="M131" s="102" t="str">
        <f t="shared" si="13"/>
        <v>GUEVARA  JUAREZ GABRIEL</v>
      </c>
      <c r="N131" s="102" t="s">
        <v>7162</v>
      </c>
      <c r="O131" s="102" t="s">
        <v>4681</v>
      </c>
      <c r="P131" s="12" t="s">
        <v>1953</v>
      </c>
      <c r="Q131" s="100">
        <v>30857</v>
      </c>
      <c r="R131" s="77">
        <f t="shared" ref="R131:R194" si="14">DAY(Q131)</f>
        <v>24</v>
      </c>
      <c r="S131" s="77">
        <f t="shared" ref="S131:S194" si="15">MONTH(Q131)</f>
        <v>6</v>
      </c>
      <c r="T131" s="77">
        <f t="shared" ref="T131:T194" si="16">YEAR(Q131)</f>
        <v>1984</v>
      </c>
      <c r="U131" s="103">
        <f t="shared" ref="U131:U194" ca="1" si="17">(+TODAY()-Q131)/365</f>
        <v>42.328767123287669</v>
      </c>
      <c r="V131" s="13" t="s">
        <v>342</v>
      </c>
      <c r="W131" s="13" t="s">
        <v>2092</v>
      </c>
      <c r="X131" s="12" t="s">
        <v>1497</v>
      </c>
      <c r="Y131" s="121" t="s">
        <v>4905</v>
      </c>
      <c r="Z131" s="12" t="s">
        <v>149</v>
      </c>
      <c r="AA131" s="12" t="s">
        <v>347</v>
      </c>
      <c r="AB131" s="12" t="s">
        <v>2293</v>
      </c>
      <c r="AC131" s="12" t="s">
        <v>313</v>
      </c>
      <c r="AD131" s="12" t="s">
        <v>314</v>
      </c>
      <c r="AE131" s="12">
        <v>90</v>
      </c>
      <c r="AF131" s="13" t="s">
        <v>949</v>
      </c>
      <c r="AG131" s="12" t="s">
        <v>290</v>
      </c>
      <c r="AH131" s="104" t="s">
        <v>950</v>
      </c>
      <c r="AI131" s="12" t="s">
        <v>317</v>
      </c>
      <c r="AJ131" s="12" t="s">
        <v>318</v>
      </c>
      <c r="AK131" s="12" t="s">
        <v>2722</v>
      </c>
      <c r="AL131" s="104" t="s">
        <v>2998</v>
      </c>
      <c r="AM131" s="12" t="s">
        <v>2474</v>
      </c>
      <c r="AN131" s="12" t="s">
        <v>381</v>
      </c>
      <c r="AO131" s="12" t="s">
        <v>398</v>
      </c>
      <c r="AP131" s="12" t="s">
        <v>398</v>
      </c>
      <c r="AQ131" s="12"/>
      <c r="AR131" s="12"/>
      <c r="AS131" s="12"/>
      <c r="AT131" s="12"/>
      <c r="AU131" s="12"/>
      <c r="AV131" s="12"/>
      <c r="AW131" s="12" t="s">
        <v>357</v>
      </c>
      <c r="AX131" s="12" t="s">
        <v>357</v>
      </c>
      <c r="AY131" s="12" t="s">
        <v>330</v>
      </c>
      <c r="AZ131" s="12"/>
      <c r="BA131" s="12"/>
      <c r="BB131" s="12"/>
      <c r="BC131" s="12"/>
      <c r="BD131" s="12" t="s">
        <v>2474</v>
      </c>
      <c r="BE131" s="12" t="s">
        <v>381</v>
      </c>
      <c r="BF131" s="12" t="s">
        <v>3672</v>
      </c>
      <c r="BG131" s="12" t="s">
        <v>685</v>
      </c>
      <c r="BH131" s="12" t="s">
        <v>334</v>
      </c>
      <c r="BI131" s="12">
        <v>2</v>
      </c>
      <c r="BJ131" s="100" t="s">
        <v>344</v>
      </c>
      <c r="BK131" s="12" t="s">
        <v>571</v>
      </c>
      <c r="BL131" s="105">
        <v>10</v>
      </c>
      <c r="BM131" s="12"/>
      <c r="BN131" s="12" t="s">
        <v>3911</v>
      </c>
      <c r="BO131" s="105">
        <v>7</v>
      </c>
      <c r="BP131" s="12"/>
      <c r="BQ131" s="12"/>
      <c r="BR131" s="12"/>
      <c r="BS131" s="12"/>
      <c r="BT131" s="12"/>
      <c r="BU131" s="12"/>
      <c r="BV131" s="12"/>
      <c r="BW131" s="12"/>
      <c r="BX131" s="12"/>
      <c r="BY131" s="12"/>
      <c r="BZ131" s="12"/>
      <c r="CA131" s="12"/>
      <c r="CB131" s="12"/>
      <c r="CC131" s="12"/>
      <c r="CD131" s="78"/>
    </row>
    <row r="132" spans="1:82" ht="13.9" customHeight="1" x14ac:dyDescent="0.2">
      <c r="A132" s="12">
        <v>320</v>
      </c>
      <c r="B132" s="12" t="s">
        <v>4119</v>
      </c>
      <c r="C132" s="78" t="s">
        <v>335</v>
      </c>
      <c r="D132" s="99" t="s">
        <v>161</v>
      </c>
      <c r="E132" s="99" t="s">
        <v>6532</v>
      </c>
      <c r="F132" s="100">
        <v>44949</v>
      </c>
      <c r="G132" s="100">
        <v>44949</v>
      </c>
      <c r="H132" s="101">
        <f t="shared" si="12"/>
        <v>45039</v>
      </c>
      <c r="I132" s="101" t="s">
        <v>290</v>
      </c>
      <c r="J132" s="12" t="s">
        <v>366</v>
      </c>
      <c r="K132" s="12" t="s">
        <v>366</v>
      </c>
      <c r="L132" s="12" t="s">
        <v>1835</v>
      </c>
      <c r="M132" s="102" t="str">
        <f t="shared" si="13"/>
        <v>HERNANDEZ HERNANDEZ PLACIDO</v>
      </c>
      <c r="N132" s="102" t="s">
        <v>6915</v>
      </c>
      <c r="O132" s="102" t="s">
        <v>4715</v>
      </c>
      <c r="P132" s="12" t="s">
        <v>1953</v>
      </c>
      <c r="Q132" s="100">
        <v>37527</v>
      </c>
      <c r="R132" s="77">
        <f t="shared" si="14"/>
        <v>28</v>
      </c>
      <c r="S132" s="77">
        <f t="shared" si="15"/>
        <v>9</v>
      </c>
      <c r="T132" s="77">
        <f t="shared" si="16"/>
        <v>2002</v>
      </c>
      <c r="U132" s="103">
        <f t="shared" ca="1" si="17"/>
        <v>24.054794520547944</v>
      </c>
      <c r="V132" s="13" t="s">
        <v>342</v>
      </c>
      <c r="W132" s="13" t="s">
        <v>2126</v>
      </c>
      <c r="X132" s="12" t="s">
        <v>1497</v>
      </c>
      <c r="Y132" s="12" t="s">
        <v>113</v>
      </c>
      <c r="Z132" s="12" t="s">
        <v>163</v>
      </c>
      <c r="AA132" s="12" t="s">
        <v>347</v>
      </c>
      <c r="AB132" s="12" t="s">
        <v>2297</v>
      </c>
      <c r="AC132" s="12" t="s">
        <v>313</v>
      </c>
      <c r="AD132" s="12" t="s">
        <v>314</v>
      </c>
      <c r="AE132" s="12">
        <v>90</v>
      </c>
      <c r="AF132" s="13" t="s">
        <v>2330</v>
      </c>
      <c r="AG132" s="12" t="s">
        <v>290</v>
      </c>
      <c r="AH132" s="104" t="s">
        <v>2343</v>
      </c>
      <c r="AI132" s="12" t="s">
        <v>317</v>
      </c>
      <c r="AJ132" s="12" t="s">
        <v>318</v>
      </c>
      <c r="AK132" s="12" t="s">
        <v>2745</v>
      </c>
      <c r="AL132" s="104" t="s">
        <v>3032</v>
      </c>
      <c r="AM132" s="12" t="s">
        <v>2503</v>
      </c>
      <c r="AN132" s="12" t="s">
        <v>381</v>
      </c>
      <c r="AO132" s="12" t="s">
        <v>398</v>
      </c>
      <c r="AP132" s="12"/>
      <c r="AQ132" s="12">
        <v>0</v>
      </c>
      <c r="AR132" s="12">
        <v>0</v>
      </c>
      <c r="AS132" s="12">
        <v>0</v>
      </c>
      <c r="AT132" s="12">
        <v>0</v>
      </c>
      <c r="AU132" s="12">
        <v>0</v>
      </c>
      <c r="AV132" s="12">
        <v>0</v>
      </c>
      <c r="AW132" s="12" t="s">
        <v>329</v>
      </c>
      <c r="AX132" s="12" t="s">
        <v>329</v>
      </c>
      <c r="AY132" s="12" t="s">
        <v>330</v>
      </c>
      <c r="AZ132" s="12"/>
      <c r="BA132" s="12"/>
      <c r="BB132" s="12"/>
      <c r="BC132" s="12"/>
      <c r="BD132" s="12" t="s">
        <v>2503</v>
      </c>
      <c r="BE132" s="12" t="s">
        <v>381</v>
      </c>
      <c r="BF132" s="12" t="s">
        <v>3697</v>
      </c>
      <c r="BG132" s="12" t="s">
        <v>685</v>
      </c>
      <c r="BH132" s="12" t="s">
        <v>334</v>
      </c>
      <c r="BI132" s="12" t="s">
        <v>362</v>
      </c>
      <c r="BJ132" s="12" t="s">
        <v>3888</v>
      </c>
      <c r="BK132" s="12" t="s">
        <v>3911</v>
      </c>
      <c r="BL132" s="105">
        <v>0</v>
      </c>
      <c r="BM132" s="12"/>
      <c r="BN132" s="12">
        <v>0</v>
      </c>
      <c r="BO132" s="105">
        <v>0</v>
      </c>
      <c r="BP132" s="12"/>
      <c r="BQ132" s="12">
        <v>0</v>
      </c>
      <c r="BR132" s="12">
        <v>0</v>
      </c>
      <c r="BS132" s="12"/>
      <c r="BT132" s="12">
        <v>0</v>
      </c>
      <c r="BU132" s="12">
        <v>0</v>
      </c>
      <c r="BV132" s="12"/>
      <c r="BW132" s="12">
        <v>0</v>
      </c>
      <c r="BX132" s="12">
        <v>0</v>
      </c>
      <c r="BY132" s="12"/>
      <c r="BZ132" s="12">
        <v>0</v>
      </c>
      <c r="CA132" s="12"/>
      <c r="CB132" s="12"/>
      <c r="CC132" s="12"/>
      <c r="CD132" s="78"/>
    </row>
    <row r="133" spans="1:82" s="116" customFormat="1" ht="13.9" customHeight="1" x14ac:dyDescent="0.2">
      <c r="A133" s="12">
        <v>358</v>
      </c>
      <c r="B133" s="12" t="s">
        <v>4067</v>
      </c>
      <c r="C133" s="78" t="s">
        <v>335</v>
      </c>
      <c r="D133" s="99" t="s">
        <v>133</v>
      </c>
      <c r="E133" s="99" t="s">
        <v>6533</v>
      </c>
      <c r="F133" s="100">
        <v>44949</v>
      </c>
      <c r="G133" s="100">
        <v>44837</v>
      </c>
      <c r="H133" s="101">
        <f t="shared" si="12"/>
        <v>44927</v>
      </c>
      <c r="I133" s="101" t="s">
        <v>290</v>
      </c>
      <c r="J133" s="12" t="s">
        <v>4359</v>
      </c>
      <c r="K133" s="12" t="s">
        <v>4481</v>
      </c>
      <c r="L133" s="12" t="s">
        <v>1792</v>
      </c>
      <c r="M133" s="102" t="str">
        <f t="shared" si="13"/>
        <v>ROSAS TINAJERO ADRIANA ARACELY</v>
      </c>
      <c r="N133" s="102" t="s">
        <v>6916</v>
      </c>
      <c r="O133" s="102" t="s">
        <v>4657</v>
      </c>
      <c r="P133" s="12" t="s">
        <v>1954</v>
      </c>
      <c r="Q133" s="100">
        <v>26649</v>
      </c>
      <c r="R133" s="77">
        <f t="shared" si="14"/>
        <v>16</v>
      </c>
      <c r="S133" s="77">
        <f t="shared" si="15"/>
        <v>12</v>
      </c>
      <c r="T133" s="77">
        <f t="shared" si="16"/>
        <v>1972</v>
      </c>
      <c r="U133" s="103">
        <f t="shared" ca="1" si="17"/>
        <v>53.857534246575341</v>
      </c>
      <c r="V133" s="13" t="s">
        <v>1450</v>
      </c>
      <c r="W133" s="13" t="s">
        <v>2069</v>
      </c>
      <c r="X133" s="12" t="s">
        <v>1497</v>
      </c>
      <c r="Y133" s="12" t="s">
        <v>106</v>
      </c>
      <c r="Z133" s="12" t="s">
        <v>138</v>
      </c>
      <c r="AA133" s="12" t="s">
        <v>636</v>
      </c>
      <c r="AB133" s="12" t="s">
        <v>1583</v>
      </c>
      <c r="AC133" s="12" t="s">
        <v>313</v>
      </c>
      <c r="AD133" s="12" t="s">
        <v>2329</v>
      </c>
      <c r="AE133" s="12">
        <v>90</v>
      </c>
      <c r="AF133" s="13" t="s">
        <v>671</v>
      </c>
      <c r="AG133" s="12" t="s">
        <v>290</v>
      </c>
      <c r="AH133" s="104" t="s">
        <v>2340</v>
      </c>
      <c r="AI133" s="12" t="s">
        <v>317</v>
      </c>
      <c r="AJ133" s="12" t="s">
        <v>318</v>
      </c>
      <c r="AK133" s="12">
        <v>8118866795</v>
      </c>
      <c r="AL133" s="104" t="s">
        <v>2975</v>
      </c>
      <c r="AM133" s="12">
        <v>0</v>
      </c>
      <c r="AN133" s="12">
        <v>0</v>
      </c>
      <c r="AO133" s="12" t="s">
        <v>398</v>
      </c>
      <c r="AP133" s="12"/>
      <c r="AQ133" s="12">
        <v>0</v>
      </c>
      <c r="AR133" s="12">
        <v>0</v>
      </c>
      <c r="AS133" s="12">
        <v>0</v>
      </c>
      <c r="AT133" s="12">
        <v>0</v>
      </c>
      <c r="AU133" s="12">
        <v>0</v>
      </c>
      <c r="AV133" s="12">
        <v>0</v>
      </c>
      <c r="AW133" s="12" t="s">
        <v>329</v>
      </c>
      <c r="AX133" s="12" t="s">
        <v>329</v>
      </c>
      <c r="AY133" s="12" t="s">
        <v>330</v>
      </c>
      <c r="AZ133" s="12"/>
      <c r="BA133" s="12"/>
      <c r="BB133" s="12"/>
      <c r="BC133" s="12"/>
      <c r="BD133" s="12">
        <v>0</v>
      </c>
      <c r="BE133" s="12">
        <v>0</v>
      </c>
      <c r="BF133" s="12">
        <v>0</v>
      </c>
      <c r="BG133" s="12" t="s">
        <v>444</v>
      </c>
      <c r="BH133" s="12" t="s">
        <v>334</v>
      </c>
      <c r="BI133" s="12">
        <v>3</v>
      </c>
      <c r="BJ133" s="12" t="s">
        <v>3858</v>
      </c>
      <c r="BK133" s="12" t="s">
        <v>3911</v>
      </c>
      <c r="BL133" s="105">
        <v>0</v>
      </c>
      <c r="BM133" s="12"/>
      <c r="BN133" s="12">
        <v>0</v>
      </c>
      <c r="BO133" s="105">
        <v>0</v>
      </c>
      <c r="BP133" s="12"/>
      <c r="BQ133" s="12">
        <v>0</v>
      </c>
      <c r="BR133" s="12">
        <v>0</v>
      </c>
      <c r="BS133" s="12"/>
      <c r="BT133" s="12"/>
      <c r="BU133" s="12"/>
      <c r="BV133" s="12"/>
      <c r="BW133" s="12"/>
      <c r="BX133" s="12"/>
      <c r="BY133" s="12"/>
      <c r="BZ133" s="12"/>
      <c r="CA133" s="12"/>
      <c r="CB133" s="12"/>
      <c r="CC133" s="12"/>
      <c r="CD133" s="110"/>
    </row>
    <row r="134" spans="1:82" s="116" customFormat="1" ht="13.9" customHeight="1" x14ac:dyDescent="0.2">
      <c r="A134" s="109">
        <v>411</v>
      </c>
      <c r="B134" s="109" t="s">
        <v>4088</v>
      </c>
      <c r="C134" s="110" t="s">
        <v>335</v>
      </c>
      <c r="D134" s="109" t="s">
        <v>228</v>
      </c>
      <c r="E134" s="111" t="s">
        <v>6751</v>
      </c>
      <c r="F134" s="112">
        <v>44958</v>
      </c>
      <c r="G134" s="112">
        <v>44958</v>
      </c>
      <c r="H134" s="113">
        <f t="shared" si="12"/>
        <v>45048</v>
      </c>
      <c r="I134" s="113" t="s">
        <v>290</v>
      </c>
      <c r="J134" s="109" t="s">
        <v>4337</v>
      </c>
      <c r="K134" s="109" t="s">
        <v>4489</v>
      </c>
      <c r="L134" s="109" t="s">
        <v>1808</v>
      </c>
      <c r="M134" s="128" t="str">
        <f t="shared" si="13"/>
        <v>CAMARILLO  BLAS LUIS DANIEL</v>
      </c>
      <c r="N134" s="128" t="s">
        <v>7163</v>
      </c>
      <c r="O134" s="128" t="s">
        <v>4682</v>
      </c>
      <c r="P134" s="109" t="s">
        <v>1953</v>
      </c>
      <c r="Q134" s="112">
        <v>34364</v>
      </c>
      <c r="R134" s="125">
        <f t="shared" si="14"/>
        <v>30</v>
      </c>
      <c r="S134" s="125">
        <f t="shared" si="15"/>
        <v>1</v>
      </c>
      <c r="T134" s="125">
        <f t="shared" si="16"/>
        <v>1994</v>
      </c>
      <c r="U134" s="142">
        <f t="shared" ca="1" si="17"/>
        <v>32.720547945205482</v>
      </c>
      <c r="V134" s="114" t="s">
        <v>342</v>
      </c>
      <c r="W134" s="114" t="s">
        <v>2093</v>
      </c>
      <c r="X134" s="109" t="s">
        <v>1497</v>
      </c>
      <c r="Y134" s="109" t="s">
        <v>117</v>
      </c>
      <c r="Z134" s="109" t="s">
        <v>149</v>
      </c>
      <c r="AA134" s="109" t="s">
        <v>347</v>
      </c>
      <c r="AB134" s="109" t="s">
        <v>2293</v>
      </c>
      <c r="AC134" s="109" t="s">
        <v>313</v>
      </c>
      <c r="AD134" s="109" t="s">
        <v>314</v>
      </c>
      <c r="AE134" s="109">
        <v>90</v>
      </c>
      <c r="AF134" s="114" t="s">
        <v>949</v>
      </c>
      <c r="AG134" s="109" t="s">
        <v>290</v>
      </c>
      <c r="AH134" s="115" t="s">
        <v>950</v>
      </c>
      <c r="AI134" s="109" t="s">
        <v>317</v>
      </c>
      <c r="AJ134" s="109" t="s">
        <v>318</v>
      </c>
      <c r="AK134" s="109" t="s">
        <v>2723</v>
      </c>
      <c r="AL134" s="115" t="s">
        <v>2999</v>
      </c>
      <c r="AM134" s="109" t="s">
        <v>2475</v>
      </c>
      <c r="AN134" s="109" t="s">
        <v>381</v>
      </c>
      <c r="AO134" s="109" t="s">
        <v>398</v>
      </c>
      <c r="AP134" s="109"/>
      <c r="AQ134" s="109">
        <v>0</v>
      </c>
      <c r="AR134" s="109">
        <v>0</v>
      </c>
      <c r="AS134" s="109">
        <v>0</v>
      </c>
      <c r="AT134" s="109">
        <v>0</v>
      </c>
      <c r="AU134" s="109">
        <v>0</v>
      </c>
      <c r="AV134" s="109">
        <v>0</v>
      </c>
      <c r="AW134" s="109" t="s">
        <v>357</v>
      </c>
      <c r="AX134" s="109" t="s">
        <v>357</v>
      </c>
      <c r="AY134" s="109" t="s">
        <v>330</v>
      </c>
      <c r="AZ134" s="109"/>
      <c r="BA134" s="109"/>
      <c r="BB134" s="109"/>
      <c r="BC134" s="109"/>
      <c r="BD134" s="109" t="s">
        <v>2475</v>
      </c>
      <c r="BE134" s="109" t="s">
        <v>381</v>
      </c>
      <c r="BF134" s="109" t="s">
        <v>3673</v>
      </c>
      <c r="BG134" s="109" t="s">
        <v>685</v>
      </c>
      <c r="BH134" s="109" t="s">
        <v>334</v>
      </c>
      <c r="BI134" s="109">
        <v>3</v>
      </c>
      <c r="BJ134" s="109" t="s">
        <v>3865</v>
      </c>
      <c r="BK134" s="109" t="s">
        <v>571</v>
      </c>
      <c r="BL134" s="111">
        <v>11</v>
      </c>
      <c r="BM134" s="109"/>
      <c r="BN134" s="109" t="s">
        <v>571</v>
      </c>
      <c r="BO134" s="111">
        <v>8</v>
      </c>
      <c r="BP134" s="109"/>
      <c r="BQ134" s="109" t="s">
        <v>571</v>
      </c>
      <c r="BR134" s="109">
        <v>6</v>
      </c>
      <c r="BS134" s="109"/>
      <c r="BT134" s="109">
        <v>0</v>
      </c>
      <c r="BU134" s="109">
        <v>0</v>
      </c>
      <c r="BV134" s="109"/>
      <c r="BW134" s="109">
        <v>0</v>
      </c>
      <c r="BX134" s="109">
        <v>0</v>
      </c>
      <c r="BY134" s="109"/>
      <c r="BZ134" s="109">
        <v>0</v>
      </c>
      <c r="CA134" s="109"/>
      <c r="CB134" s="109"/>
      <c r="CC134" s="109"/>
      <c r="CD134" s="110"/>
    </row>
    <row r="135" spans="1:82" s="116" customFormat="1" ht="13.9" customHeight="1" x14ac:dyDescent="0.2">
      <c r="A135" s="109">
        <v>408</v>
      </c>
      <c r="B135" s="109" t="s">
        <v>4157</v>
      </c>
      <c r="C135" s="110" t="s">
        <v>335</v>
      </c>
      <c r="D135" s="109" t="s">
        <v>232</v>
      </c>
      <c r="E135" s="111" t="s">
        <v>6534</v>
      </c>
      <c r="F135" s="112">
        <v>44959</v>
      </c>
      <c r="G135" s="112">
        <v>44959</v>
      </c>
      <c r="H135" s="113">
        <f t="shared" si="12"/>
        <v>45049</v>
      </c>
      <c r="I135" s="113" t="s">
        <v>291</v>
      </c>
      <c r="J135" s="109" t="s">
        <v>507</v>
      </c>
      <c r="K135" s="109" t="s">
        <v>4526</v>
      </c>
      <c r="L135" s="109" t="s">
        <v>1735</v>
      </c>
      <c r="M135" s="128" t="str">
        <f t="shared" si="13"/>
        <v>MARTINEZ ZAZUETA JOSE</v>
      </c>
      <c r="N135" s="128" t="s">
        <v>6917</v>
      </c>
      <c r="O135" s="128" t="s">
        <v>4801</v>
      </c>
      <c r="P135" s="109" t="s">
        <v>1953</v>
      </c>
      <c r="Q135" s="112">
        <v>25981</v>
      </c>
      <c r="R135" s="125">
        <f t="shared" si="14"/>
        <v>17</v>
      </c>
      <c r="S135" s="125">
        <f t="shared" si="15"/>
        <v>2</v>
      </c>
      <c r="T135" s="125">
        <f t="shared" si="16"/>
        <v>1971</v>
      </c>
      <c r="U135" s="142">
        <f t="shared" ca="1" si="17"/>
        <v>55.68767123287671</v>
      </c>
      <c r="V135" s="114" t="s">
        <v>342</v>
      </c>
      <c r="W135" s="114" t="s">
        <v>2210</v>
      </c>
      <c r="X135" s="109" t="s">
        <v>1497</v>
      </c>
      <c r="Y135" s="120" t="s">
        <v>216</v>
      </c>
      <c r="Z135" s="109" t="s">
        <v>233</v>
      </c>
      <c r="AA135" s="109" t="s">
        <v>857</v>
      </c>
      <c r="AB135" s="109" t="s">
        <v>2310</v>
      </c>
      <c r="AC135" s="109" t="s">
        <v>313</v>
      </c>
      <c r="AD135" s="109" t="s">
        <v>314</v>
      </c>
      <c r="AE135" s="109">
        <v>90</v>
      </c>
      <c r="AF135" s="114" t="s">
        <v>315</v>
      </c>
      <c r="AG135" s="109" t="s">
        <v>291</v>
      </c>
      <c r="AH135" s="115" t="s">
        <v>2342</v>
      </c>
      <c r="AI135" s="109" t="s">
        <v>317</v>
      </c>
      <c r="AJ135" s="109" t="s">
        <v>318</v>
      </c>
      <c r="AK135" s="109" t="s">
        <v>2815</v>
      </c>
      <c r="AL135" s="115" t="s">
        <v>3114</v>
      </c>
      <c r="AM135" s="109" t="s">
        <v>2583</v>
      </c>
      <c r="AN135" s="109" t="s">
        <v>381</v>
      </c>
      <c r="AO135" s="109" t="s">
        <v>327</v>
      </c>
      <c r="AP135" s="109"/>
      <c r="AQ135" s="109" t="s">
        <v>3318</v>
      </c>
      <c r="AR135" s="109">
        <v>46</v>
      </c>
      <c r="AS135" s="109" t="s">
        <v>328</v>
      </c>
      <c r="AT135" s="109" t="s">
        <v>145</v>
      </c>
      <c r="AU135" s="109" t="s">
        <v>483</v>
      </c>
      <c r="AV135" s="109">
        <v>79610</v>
      </c>
      <c r="AW135" s="109" t="s">
        <v>357</v>
      </c>
      <c r="AX135" s="109" t="s">
        <v>329</v>
      </c>
      <c r="AY135" s="109" t="s">
        <v>330</v>
      </c>
      <c r="AZ135" s="109"/>
      <c r="BA135" s="109"/>
      <c r="BB135" s="109"/>
      <c r="BC135" s="109"/>
      <c r="BD135" s="109" t="s">
        <v>2583</v>
      </c>
      <c r="BE135" s="109" t="s">
        <v>381</v>
      </c>
      <c r="BF135" s="109" t="s">
        <v>3766</v>
      </c>
      <c r="BG135" s="109" t="s">
        <v>333</v>
      </c>
      <c r="BH135" s="109" t="s">
        <v>334</v>
      </c>
      <c r="BI135" s="109">
        <v>3</v>
      </c>
      <c r="BJ135" s="112">
        <v>40378</v>
      </c>
      <c r="BK135" s="109" t="s">
        <v>3888</v>
      </c>
      <c r="BL135" s="111">
        <f ca="1">(+TODAY()-BJ135)/365</f>
        <v>16.243835616438357</v>
      </c>
      <c r="BM135" s="112">
        <v>37173</v>
      </c>
      <c r="BN135" s="109" t="s">
        <v>3888</v>
      </c>
      <c r="BO135" s="111">
        <f ca="1">(+TODAY()-BM135)/365</f>
        <v>25.024657534246575</v>
      </c>
      <c r="BP135" s="112">
        <v>36633</v>
      </c>
      <c r="BQ135" s="109"/>
      <c r="BR135" s="109"/>
      <c r="BS135" s="109"/>
      <c r="BT135" s="109"/>
      <c r="BU135" s="109"/>
      <c r="BV135" s="109"/>
      <c r="BW135" s="109"/>
      <c r="BX135" s="109"/>
      <c r="BY135" s="109"/>
      <c r="BZ135" s="109"/>
      <c r="CA135" s="109"/>
      <c r="CB135" s="109"/>
      <c r="CC135" s="109"/>
      <c r="CD135" s="110"/>
    </row>
    <row r="136" spans="1:82" ht="13.9" customHeight="1" x14ac:dyDescent="0.2">
      <c r="A136" s="12">
        <v>413</v>
      </c>
      <c r="B136" s="12" t="s">
        <v>4120</v>
      </c>
      <c r="C136" s="78" t="s">
        <v>335</v>
      </c>
      <c r="D136" s="99" t="s">
        <v>161</v>
      </c>
      <c r="E136" s="99" t="s">
        <v>6535</v>
      </c>
      <c r="F136" s="100">
        <v>44964</v>
      </c>
      <c r="G136" s="100">
        <v>44964</v>
      </c>
      <c r="H136" s="101">
        <f t="shared" si="12"/>
        <v>45054</v>
      </c>
      <c r="I136" s="101" t="s">
        <v>290</v>
      </c>
      <c r="J136" s="12" t="s">
        <v>4385</v>
      </c>
      <c r="K136" s="12" t="s">
        <v>793</v>
      </c>
      <c r="L136" s="12" t="s">
        <v>1836</v>
      </c>
      <c r="M136" s="102" t="str">
        <f t="shared" si="13"/>
        <v>ROCHA LOPEZ ZITA</v>
      </c>
      <c r="N136" s="102" t="s">
        <v>6918</v>
      </c>
      <c r="O136" s="102" t="s">
        <v>4716</v>
      </c>
      <c r="P136" s="12" t="s">
        <v>1954</v>
      </c>
      <c r="Q136" s="100">
        <v>26050</v>
      </c>
      <c r="R136" s="77">
        <f t="shared" si="14"/>
        <v>27</v>
      </c>
      <c r="S136" s="77">
        <f t="shared" si="15"/>
        <v>4</v>
      </c>
      <c r="T136" s="77">
        <f t="shared" si="16"/>
        <v>1971</v>
      </c>
      <c r="U136" s="103">
        <f t="shared" ca="1" si="17"/>
        <v>55.4986301369863</v>
      </c>
      <c r="V136" s="13" t="s">
        <v>1957</v>
      </c>
      <c r="W136" s="13" t="s">
        <v>2127</v>
      </c>
      <c r="X136" s="12" t="s">
        <v>1497</v>
      </c>
      <c r="Y136" s="121" t="s">
        <v>106</v>
      </c>
      <c r="Z136" s="12" t="s">
        <v>167</v>
      </c>
      <c r="AA136" s="12" t="s">
        <v>636</v>
      </c>
      <c r="AB136" s="12" t="s">
        <v>2298</v>
      </c>
      <c r="AC136" s="12" t="s">
        <v>313</v>
      </c>
      <c r="AD136" s="12" t="s">
        <v>314</v>
      </c>
      <c r="AE136" s="12">
        <v>90</v>
      </c>
      <c r="AF136" s="13" t="s">
        <v>2330</v>
      </c>
      <c r="AG136" s="12" t="s">
        <v>290</v>
      </c>
      <c r="AH136" s="104" t="s">
        <v>2343</v>
      </c>
      <c r="AI136" s="12" t="s">
        <v>317</v>
      </c>
      <c r="AJ136" s="12" t="s">
        <v>318</v>
      </c>
      <c r="AK136" s="12" t="s">
        <v>2746</v>
      </c>
      <c r="AL136" s="104" t="s">
        <v>3033</v>
      </c>
      <c r="AM136" s="12" t="s">
        <v>2504</v>
      </c>
      <c r="AN136" s="12" t="s">
        <v>832</v>
      </c>
      <c r="AO136" s="12" t="s">
        <v>398</v>
      </c>
      <c r="AP136" s="12"/>
      <c r="AQ136" s="12" t="s">
        <v>3286</v>
      </c>
      <c r="AR136" s="12">
        <v>217</v>
      </c>
      <c r="AS136" s="12" t="s">
        <v>581</v>
      </c>
      <c r="AT136" s="12" t="s">
        <v>3376</v>
      </c>
      <c r="AU136" s="12" t="s">
        <v>483</v>
      </c>
      <c r="AV136" s="12">
        <v>79060</v>
      </c>
      <c r="AW136" s="12" t="s">
        <v>357</v>
      </c>
      <c r="AX136" s="12" t="s">
        <v>357</v>
      </c>
      <c r="AY136" s="12" t="s">
        <v>330</v>
      </c>
      <c r="AZ136" s="12"/>
      <c r="BA136" s="12"/>
      <c r="BB136" s="12"/>
      <c r="BC136" s="12"/>
      <c r="BD136" s="12" t="s">
        <v>2504</v>
      </c>
      <c r="BE136" s="12" t="s">
        <v>832</v>
      </c>
      <c r="BF136" s="12" t="s">
        <v>3698</v>
      </c>
      <c r="BG136" s="12" t="s">
        <v>685</v>
      </c>
      <c r="BH136" s="12" t="s">
        <v>334</v>
      </c>
      <c r="BI136" s="12">
        <v>4</v>
      </c>
      <c r="BJ136" s="12" t="s">
        <v>3874</v>
      </c>
      <c r="BK136" s="12" t="s">
        <v>1953</v>
      </c>
      <c r="BL136" s="105">
        <v>35</v>
      </c>
      <c r="BM136" s="12"/>
      <c r="BN136" s="12" t="s">
        <v>571</v>
      </c>
      <c r="BO136" s="105">
        <v>30</v>
      </c>
      <c r="BP136" s="12"/>
      <c r="BQ136" s="12" t="s">
        <v>1953</v>
      </c>
      <c r="BR136" s="12">
        <v>25</v>
      </c>
      <c r="BS136" s="12"/>
      <c r="BT136" s="12" t="s">
        <v>1953</v>
      </c>
      <c r="BU136" s="12" t="s">
        <v>1953</v>
      </c>
      <c r="BV136" s="12"/>
      <c r="BW136" s="12" t="s">
        <v>1953</v>
      </c>
      <c r="BX136" s="12">
        <v>0</v>
      </c>
      <c r="BY136" s="12"/>
      <c r="BZ136" s="12">
        <v>0</v>
      </c>
      <c r="CA136" s="12"/>
      <c r="CB136" s="12"/>
      <c r="CC136" s="12"/>
      <c r="CD136" s="78"/>
    </row>
    <row r="137" spans="1:82" ht="13.9" customHeight="1" x14ac:dyDescent="0.2">
      <c r="A137" s="107">
        <v>416</v>
      </c>
      <c r="B137" s="107" t="s">
        <v>3980</v>
      </c>
      <c r="C137" s="104" t="s">
        <v>564</v>
      </c>
      <c r="D137" s="107" t="s">
        <v>81</v>
      </c>
      <c r="E137" s="99" t="s">
        <v>6536</v>
      </c>
      <c r="F137" s="100">
        <v>44970</v>
      </c>
      <c r="G137" s="100">
        <v>44970</v>
      </c>
      <c r="H137" s="101">
        <f t="shared" si="12"/>
        <v>45060</v>
      </c>
      <c r="I137" s="101" t="s">
        <v>290</v>
      </c>
      <c r="J137" s="12" t="s">
        <v>4316</v>
      </c>
      <c r="K137" s="12" t="s">
        <v>1147</v>
      </c>
      <c r="L137" s="12" t="s">
        <v>688</v>
      </c>
      <c r="M137" s="102" t="str">
        <f t="shared" si="13"/>
        <v>VEGA HERRERA JUAN ANTONIO</v>
      </c>
      <c r="N137" s="102" t="s">
        <v>6919</v>
      </c>
      <c r="O137" s="102" t="s">
        <v>4566</v>
      </c>
      <c r="P137" s="12" t="s">
        <v>1953</v>
      </c>
      <c r="Q137" s="100">
        <v>24581</v>
      </c>
      <c r="R137" s="77">
        <f t="shared" si="14"/>
        <v>19</v>
      </c>
      <c r="S137" s="77">
        <f t="shared" si="15"/>
        <v>4</v>
      </c>
      <c r="T137" s="77">
        <f t="shared" si="16"/>
        <v>1967</v>
      </c>
      <c r="U137" s="103">
        <f t="shared" ca="1" si="17"/>
        <v>59.523287671232879</v>
      </c>
      <c r="V137" s="13" t="s">
        <v>342</v>
      </c>
      <c r="W137" s="13" t="s">
        <v>1976</v>
      </c>
      <c r="X137" s="12" t="s">
        <v>1497</v>
      </c>
      <c r="Y137" s="12" t="s">
        <v>295</v>
      </c>
      <c r="Z137" s="12" t="s">
        <v>84</v>
      </c>
      <c r="AA137" s="12" t="s">
        <v>532</v>
      </c>
      <c r="AB137" s="12" t="s">
        <v>2278</v>
      </c>
      <c r="AC137" s="12" t="s">
        <v>313</v>
      </c>
      <c r="AD137" s="12" t="s">
        <v>314</v>
      </c>
      <c r="AE137" s="12">
        <v>90</v>
      </c>
      <c r="AF137" s="13" t="s">
        <v>597</v>
      </c>
      <c r="AG137" s="12" t="s">
        <v>290</v>
      </c>
      <c r="AH137" s="104" t="s">
        <v>2331</v>
      </c>
      <c r="AI137" s="12" t="s">
        <v>317</v>
      </c>
      <c r="AJ137" s="12" t="s">
        <v>318</v>
      </c>
      <c r="AK137" s="12" t="s">
        <v>2646</v>
      </c>
      <c r="AL137" s="104" t="s">
        <v>2883</v>
      </c>
      <c r="AM137" s="12" t="s">
        <v>2365</v>
      </c>
      <c r="AN137" s="12" t="s">
        <v>381</v>
      </c>
      <c r="AO137" s="12" t="s">
        <v>398</v>
      </c>
      <c r="AP137" s="12"/>
      <c r="AQ137" s="12" t="s">
        <v>3196</v>
      </c>
      <c r="AR137" s="12">
        <v>4835</v>
      </c>
      <c r="AS137" s="12" t="s">
        <v>328</v>
      </c>
      <c r="AT137" s="12" t="s">
        <v>116</v>
      </c>
      <c r="AU137" s="12" t="s">
        <v>583</v>
      </c>
      <c r="AV137" s="12">
        <v>44940</v>
      </c>
      <c r="AW137" s="12" t="s">
        <v>357</v>
      </c>
      <c r="AX137" s="12" t="s">
        <v>357</v>
      </c>
      <c r="AY137" s="12" t="s">
        <v>330</v>
      </c>
      <c r="AZ137" s="12"/>
      <c r="BA137" s="12"/>
      <c r="BB137" s="12"/>
      <c r="BC137" s="12"/>
      <c r="BD137" s="12" t="s">
        <v>2365</v>
      </c>
      <c r="BE137" s="12" t="s">
        <v>381</v>
      </c>
      <c r="BF137" s="12" t="s">
        <v>3594</v>
      </c>
      <c r="BG137" s="12" t="s">
        <v>488</v>
      </c>
      <c r="BH137" s="12" t="s">
        <v>334</v>
      </c>
      <c r="BI137" s="12">
        <v>2</v>
      </c>
      <c r="BJ137" s="12" t="s">
        <v>3833</v>
      </c>
      <c r="BK137" s="12" t="s">
        <v>3888</v>
      </c>
      <c r="BL137" s="105">
        <v>32</v>
      </c>
      <c r="BM137" s="12"/>
      <c r="BN137" s="12" t="s">
        <v>3888</v>
      </c>
      <c r="BO137" s="105">
        <v>29</v>
      </c>
      <c r="BP137" s="12"/>
      <c r="BQ137" s="12"/>
      <c r="BR137" s="12"/>
      <c r="BS137" s="12"/>
      <c r="BT137" s="12"/>
      <c r="BU137" s="12"/>
      <c r="BV137" s="12"/>
      <c r="BW137" s="12"/>
      <c r="BX137" s="12"/>
      <c r="BY137" s="12"/>
      <c r="BZ137" s="12"/>
      <c r="CA137" s="12"/>
      <c r="CB137" s="12"/>
      <c r="CC137" s="12"/>
      <c r="CD137" s="78"/>
    </row>
    <row r="138" spans="1:82" ht="13.9" customHeight="1" x14ac:dyDescent="0.2">
      <c r="A138" s="12">
        <v>431</v>
      </c>
      <c r="B138" s="12" t="s">
        <v>4133</v>
      </c>
      <c r="C138" s="78" t="s">
        <v>335</v>
      </c>
      <c r="D138" s="107" t="s">
        <v>161</v>
      </c>
      <c r="E138" s="99" t="s">
        <v>6752</v>
      </c>
      <c r="F138" s="100">
        <v>44984</v>
      </c>
      <c r="G138" s="100">
        <v>44984</v>
      </c>
      <c r="H138" s="101">
        <f t="shared" si="12"/>
        <v>45074</v>
      </c>
      <c r="I138" s="101" t="s">
        <v>291</v>
      </c>
      <c r="J138" s="12" t="s">
        <v>4407</v>
      </c>
      <c r="K138" s="12" t="s">
        <v>1079</v>
      </c>
      <c r="L138" s="12" t="s">
        <v>1891</v>
      </c>
      <c r="M138" s="102" t="str">
        <f t="shared" si="13"/>
        <v>MONTERO CASTILLO  ELIZABETH</v>
      </c>
      <c r="N138" s="102" t="s">
        <v>7164</v>
      </c>
      <c r="O138" s="102" t="s">
        <v>4777</v>
      </c>
      <c r="P138" s="12" t="s">
        <v>1953</v>
      </c>
      <c r="Q138" s="100">
        <v>32308</v>
      </c>
      <c r="R138" s="77">
        <f t="shared" si="14"/>
        <v>14</v>
      </c>
      <c r="S138" s="77">
        <f t="shared" si="15"/>
        <v>6</v>
      </c>
      <c r="T138" s="77">
        <f t="shared" si="16"/>
        <v>1988</v>
      </c>
      <c r="U138" s="103">
        <f t="shared" ca="1" si="17"/>
        <v>38.353424657534248</v>
      </c>
      <c r="V138" s="13" t="s">
        <v>1450</v>
      </c>
      <c r="W138" s="13" t="s">
        <v>2188</v>
      </c>
      <c r="X138" s="12" t="s">
        <v>1497</v>
      </c>
      <c r="Y138" s="108" t="s">
        <v>221</v>
      </c>
      <c r="Z138" s="12" t="s">
        <v>220</v>
      </c>
      <c r="AA138" s="12" t="s">
        <v>857</v>
      </c>
      <c r="AB138" s="12" t="s">
        <v>2308</v>
      </c>
      <c r="AC138" s="12" t="s">
        <v>313</v>
      </c>
      <c r="AD138" s="12" t="s">
        <v>314</v>
      </c>
      <c r="AE138" s="12">
        <v>90</v>
      </c>
      <c r="AF138" s="13" t="s">
        <v>2330</v>
      </c>
      <c r="AG138" s="12" t="s">
        <v>291</v>
      </c>
      <c r="AH138" s="104" t="s">
        <v>2343</v>
      </c>
      <c r="AI138" s="12" t="s">
        <v>317</v>
      </c>
      <c r="AJ138" s="12" t="s">
        <v>318</v>
      </c>
      <c r="AK138" s="12" t="s">
        <v>2796</v>
      </c>
      <c r="AL138" s="104" t="s">
        <v>3092</v>
      </c>
      <c r="AM138" s="12" t="s">
        <v>2561</v>
      </c>
      <c r="AN138" s="12" t="s">
        <v>3178</v>
      </c>
      <c r="AO138" s="12" t="s">
        <v>398</v>
      </c>
      <c r="AP138" s="12"/>
      <c r="AQ138" s="12" t="s">
        <v>3311</v>
      </c>
      <c r="AR138" s="12">
        <v>1810</v>
      </c>
      <c r="AS138" s="12" t="s">
        <v>328</v>
      </c>
      <c r="AT138" s="12" t="s">
        <v>3301</v>
      </c>
      <c r="AU138" s="12" t="s">
        <v>681</v>
      </c>
      <c r="AV138" s="12" t="s">
        <v>3413</v>
      </c>
      <c r="AW138" s="12" t="s">
        <v>357</v>
      </c>
      <c r="AX138" s="12" t="s">
        <v>357</v>
      </c>
      <c r="AY138" s="12" t="s">
        <v>330</v>
      </c>
      <c r="AZ138" s="12" t="s">
        <v>484</v>
      </c>
      <c r="BA138" s="12" t="s">
        <v>3447</v>
      </c>
      <c r="BB138" s="12" t="s">
        <v>3456</v>
      </c>
      <c r="BC138" s="12"/>
      <c r="BD138" s="12" t="s">
        <v>3542</v>
      </c>
      <c r="BE138" s="12" t="s">
        <v>325</v>
      </c>
      <c r="BF138" s="12" t="s">
        <v>3748</v>
      </c>
      <c r="BG138" s="12" t="s">
        <v>362</v>
      </c>
      <c r="BH138" s="12" t="s">
        <v>334</v>
      </c>
      <c r="BI138" s="12">
        <v>2</v>
      </c>
      <c r="BJ138" s="12" t="s">
        <v>3891</v>
      </c>
      <c r="BK138" s="12" t="s">
        <v>1953</v>
      </c>
      <c r="BL138" s="105">
        <v>18</v>
      </c>
      <c r="BM138" s="12"/>
      <c r="BN138" s="12" t="s">
        <v>571</v>
      </c>
      <c r="BO138" s="105">
        <v>8</v>
      </c>
      <c r="BP138" s="12"/>
      <c r="BQ138" s="12">
        <v>0</v>
      </c>
      <c r="BR138" s="12">
        <v>0</v>
      </c>
      <c r="BS138" s="12"/>
      <c r="BT138" s="12">
        <v>0</v>
      </c>
      <c r="BU138" s="12">
        <v>0</v>
      </c>
      <c r="BV138" s="12"/>
      <c r="BW138" s="12">
        <v>0</v>
      </c>
      <c r="BX138" s="12">
        <v>0</v>
      </c>
      <c r="BY138" s="12"/>
      <c r="BZ138" s="12">
        <v>0</v>
      </c>
      <c r="CA138" s="12"/>
      <c r="CB138" s="12"/>
      <c r="CC138" s="12"/>
      <c r="CD138" s="78"/>
    </row>
    <row r="139" spans="1:82" ht="13.9" customHeight="1" x14ac:dyDescent="0.2">
      <c r="A139" s="12">
        <v>565</v>
      </c>
      <c r="B139" s="12" t="s">
        <v>4239</v>
      </c>
      <c r="C139" s="104" t="s">
        <v>299</v>
      </c>
      <c r="D139" s="99" t="s">
        <v>80</v>
      </c>
      <c r="E139" s="99" t="s">
        <v>6537</v>
      </c>
      <c r="F139" s="100">
        <v>44984</v>
      </c>
      <c r="G139" s="117">
        <v>44984</v>
      </c>
      <c r="H139" s="101">
        <f t="shared" si="12"/>
        <v>45074</v>
      </c>
      <c r="I139" s="101" t="s">
        <v>291</v>
      </c>
      <c r="J139" s="12" t="s">
        <v>687</v>
      </c>
      <c r="K139" s="12" t="s">
        <v>366</v>
      </c>
      <c r="L139" s="12" t="s">
        <v>1719</v>
      </c>
      <c r="M139" s="102" t="str">
        <f t="shared" si="13"/>
        <v>RANGEL HERNANDEZ HUMBERTO</v>
      </c>
      <c r="N139" s="102" t="s">
        <v>6920</v>
      </c>
      <c r="O139" s="102" t="s">
        <v>4741</v>
      </c>
      <c r="P139" s="12" t="s">
        <v>1953</v>
      </c>
      <c r="Q139" s="100">
        <v>34446</v>
      </c>
      <c r="R139" s="77">
        <f t="shared" si="14"/>
        <v>22</v>
      </c>
      <c r="S139" s="77">
        <f t="shared" si="15"/>
        <v>4</v>
      </c>
      <c r="T139" s="77">
        <f t="shared" si="16"/>
        <v>1994</v>
      </c>
      <c r="U139" s="103">
        <f t="shared" ca="1" si="17"/>
        <v>32.495890410958907</v>
      </c>
      <c r="V139" s="13" t="s">
        <v>389</v>
      </c>
      <c r="W139" s="13" t="s">
        <v>2153</v>
      </c>
      <c r="X139" s="12" t="s">
        <v>1497</v>
      </c>
      <c r="Y139" s="12" t="s">
        <v>194</v>
      </c>
      <c r="Z139" s="12" t="s">
        <v>174</v>
      </c>
      <c r="AA139" s="12" t="s">
        <v>432</v>
      </c>
      <c r="AB139" s="12" t="s">
        <v>2301</v>
      </c>
      <c r="AC139" s="12" t="s">
        <v>313</v>
      </c>
      <c r="AD139" s="12" t="s">
        <v>314</v>
      </c>
      <c r="AE139" s="12">
        <v>90</v>
      </c>
      <c r="AF139" s="13" t="s">
        <v>315</v>
      </c>
      <c r="AG139" s="12" t="s">
        <v>291</v>
      </c>
      <c r="AH139" s="104" t="s">
        <v>316</v>
      </c>
      <c r="AI139" s="12" t="s">
        <v>317</v>
      </c>
      <c r="AJ139" s="12" t="s">
        <v>318</v>
      </c>
      <c r="AK139" s="12" t="s">
        <v>2767</v>
      </c>
      <c r="AL139" s="104" t="s">
        <v>3059</v>
      </c>
      <c r="AM139" s="12" t="s">
        <v>2530</v>
      </c>
      <c r="AN139" s="12" t="s">
        <v>325</v>
      </c>
      <c r="AO139" s="12" t="s">
        <v>398</v>
      </c>
      <c r="AP139" s="12"/>
      <c r="AQ139" s="12" t="s">
        <v>3289</v>
      </c>
      <c r="AR139" s="12">
        <v>137</v>
      </c>
      <c r="AS139" s="12" t="s">
        <v>328</v>
      </c>
      <c r="AT139" s="12" t="s">
        <v>483</v>
      </c>
      <c r="AU139" s="12" t="s">
        <v>483</v>
      </c>
      <c r="AV139" s="12">
        <v>78118</v>
      </c>
      <c r="AW139" s="12" t="s">
        <v>357</v>
      </c>
      <c r="AX139" s="12" t="s">
        <v>357</v>
      </c>
      <c r="AY139" s="12" t="s">
        <v>330</v>
      </c>
      <c r="AZ139" s="12" t="s">
        <v>484</v>
      </c>
      <c r="BA139" s="12" t="s">
        <v>3443</v>
      </c>
      <c r="BB139" s="12" t="s">
        <v>3456</v>
      </c>
      <c r="BC139" s="12"/>
      <c r="BD139" s="12" t="s">
        <v>2530</v>
      </c>
      <c r="BE139" s="12" t="s">
        <v>325</v>
      </c>
      <c r="BF139" s="12" t="s">
        <v>3721</v>
      </c>
      <c r="BG139" s="12" t="s">
        <v>333</v>
      </c>
      <c r="BH139" s="12" t="s">
        <v>334</v>
      </c>
      <c r="BI139" s="12" t="s">
        <v>3831</v>
      </c>
      <c r="BJ139" s="12" t="s">
        <v>3831</v>
      </c>
      <c r="BK139" s="12"/>
      <c r="BL139" s="105"/>
      <c r="BM139" s="12"/>
      <c r="BN139" s="12"/>
      <c r="BO139" s="105"/>
      <c r="BP139" s="12"/>
      <c r="BQ139" s="12"/>
      <c r="BR139" s="12"/>
      <c r="BS139" s="12"/>
      <c r="BT139" s="12"/>
      <c r="BU139" s="12"/>
      <c r="BV139" s="12"/>
      <c r="BW139" s="12"/>
      <c r="BX139" s="12"/>
      <c r="BY139" s="12"/>
      <c r="BZ139" s="12"/>
      <c r="CA139" s="12"/>
      <c r="CB139" s="12"/>
      <c r="CC139" s="12"/>
      <c r="CD139" s="78"/>
    </row>
    <row r="140" spans="1:82" ht="13.9" customHeight="1" x14ac:dyDescent="0.2">
      <c r="A140" s="107">
        <v>434</v>
      </c>
      <c r="B140" s="107" t="s">
        <v>3981</v>
      </c>
      <c r="C140" s="104" t="s">
        <v>564</v>
      </c>
      <c r="D140" s="107" t="s">
        <v>81</v>
      </c>
      <c r="E140" s="99" t="s">
        <v>6538</v>
      </c>
      <c r="F140" s="100">
        <v>44991</v>
      </c>
      <c r="G140" s="100">
        <v>44991</v>
      </c>
      <c r="H140" s="101">
        <f t="shared" si="12"/>
        <v>45081</v>
      </c>
      <c r="I140" s="101" t="s">
        <v>290</v>
      </c>
      <c r="J140" s="12" t="s">
        <v>366</v>
      </c>
      <c r="K140" s="12" t="s">
        <v>4441</v>
      </c>
      <c r="L140" s="12" t="s">
        <v>1714</v>
      </c>
      <c r="M140" s="102" t="str">
        <f t="shared" si="13"/>
        <v>HERNANDEZ CABO DE VILA VICTOR ANDRES</v>
      </c>
      <c r="N140" s="102" t="s">
        <v>6921</v>
      </c>
      <c r="O140" s="102" t="s">
        <v>4567</v>
      </c>
      <c r="P140" s="12" t="s">
        <v>1953</v>
      </c>
      <c r="Q140" s="100">
        <v>33087</v>
      </c>
      <c r="R140" s="77">
        <f t="shared" si="14"/>
        <v>2</v>
      </c>
      <c r="S140" s="77">
        <f t="shared" si="15"/>
        <v>8</v>
      </c>
      <c r="T140" s="77">
        <f t="shared" si="16"/>
        <v>1990</v>
      </c>
      <c r="U140" s="103">
        <f t="shared" ca="1" si="17"/>
        <v>36.219178082191782</v>
      </c>
      <c r="V140" s="13" t="s">
        <v>342</v>
      </c>
      <c r="W140" s="13" t="s">
        <v>1977</v>
      </c>
      <c r="X140" s="12" t="s">
        <v>1497</v>
      </c>
      <c r="Y140" s="12" t="s">
        <v>296</v>
      </c>
      <c r="Z140" s="12" t="s">
        <v>84</v>
      </c>
      <c r="AA140" s="12" t="s">
        <v>532</v>
      </c>
      <c r="AB140" s="12" t="s">
        <v>574</v>
      </c>
      <c r="AC140" s="12" t="s">
        <v>313</v>
      </c>
      <c r="AD140" s="12" t="s">
        <v>314</v>
      </c>
      <c r="AE140" s="12">
        <v>90</v>
      </c>
      <c r="AF140" s="13" t="s">
        <v>597</v>
      </c>
      <c r="AG140" s="12" t="s">
        <v>290</v>
      </c>
      <c r="AH140" s="104" t="s">
        <v>351</v>
      </c>
      <c r="AI140" s="12" t="s">
        <v>317</v>
      </c>
      <c r="AJ140" s="12" t="s">
        <v>318</v>
      </c>
      <c r="AK140" s="12" t="s">
        <v>2647</v>
      </c>
      <c r="AL140" s="104" t="s">
        <v>2884</v>
      </c>
      <c r="AM140" s="12" t="s">
        <v>2366</v>
      </c>
      <c r="AN140" s="12" t="s">
        <v>381</v>
      </c>
      <c r="AO140" s="12" t="s">
        <v>398</v>
      </c>
      <c r="AP140" s="12"/>
      <c r="AQ140" s="12" t="s">
        <v>3197</v>
      </c>
      <c r="AR140" s="12">
        <v>340</v>
      </c>
      <c r="AS140" s="12">
        <v>11</v>
      </c>
      <c r="AT140" s="12" t="s">
        <v>116</v>
      </c>
      <c r="AU140" s="12" t="s">
        <v>583</v>
      </c>
      <c r="AV140" s="12">
        <v>44990</v>
      </c>
      <c r="AW140" s="12" t="s">
        <v>357</v>
      </c>
      <c r="AX140" s="12" t="s">
        <v>357</v>
      </c>
      <c r="AY140" s="12" t="s">
        <v>330</v>
      </c>
      <c r="AZ140" s="12"/>
      <c r="BA140" s="12"/>
      <c r="BB140" s="12"/>
      <c r="BC140" s="12"/>
      <c r="BD140" s="12" t="s">
        <v>2366</v>
      </c>
      <c r="BE140" s="12" t="s">
        <v>381</v>
      </c>
      <c r="BF140" s="12" t="s">
        <v>3595</v>
      </c>
      <c r="BG140" s="12" t="s">
        <v>333</v>
      </c>
      <c r="BH140" s="12" t="s">
        <v>334</v>
      </c>
      <c r="BI140" s="12">
        <v>4</v>
      </c>
      <c r="BJ140" s="12" t="s">
        <v>3834</v>
      </c>
      <c r="BK140" s="12" t="s">
        <v>3888</v>
      </c>
      <c r="BL140" s="105">
        <v>11</v>
      </c>
      <c r="BM140" s="12"/>
      <c r="BN140" s="12" t="s">
        <v>3888</v>
      </c>
      <c r="BO140" s="105">
        <v>7</v>
      </c>
      <c r="BP140" s="12"/>
      <c r="BQ140" s="12" t="s">
        <v>3888</v>
      </c>
      <c r="BR140" s="12">
        <v>4</v>
      </c>
      <c r="BS140" s="12"/>
      <c r="BT140" s="12" t="s">
        <v>3888</v>
      </c>
      <c r="BU140" s="12">
        <v>4</v>
      </c>
      <c r="BV140" s="12"/>
      <c r="BW140" s="12"/>
      <c r="BX140" s="12"/>
      <c r="BY140" s="12"/>
      <c r="BZ140" s="12"/>
      <c r="CA140" s="12"/>
      <c r="CB140" s="12"/>
      <c r="CC140" s="12"/>
      <c r="CD140" s="78"/>
    </row>
    <row r="141" spans="1:82" s="116" customFormat="1" ht="13.9" customHeight="1" x14ac:dyDescent="0.2">
      <c r="A141" s="12">
        <v>436</v>
      </c>
      <c r="B141" s="12" t="s">
        <v>4134</v>
      </c>
      <c r="C141" s="78" t="s">
        <v>335</v>
      </c>
      <c r="D141" s="107" t="s">
        <v>161</v>
      </c>
      <c r="E141" s="99" t="s">
        <v>6539</v>
      </c>
      <c r="F141" s="100">
        <v>44992</v>
      </c>
      <c r="G141" s="100">
        <v>44992</v>
      </c>
      <c r="H141" s="101">
        <f t="shared" si="12"/>
        <v>45082</v>
      </c>
      <c r="I141" s="101" t="s">
        <v>291</v>
      </c>
      <c r="J141" s="12" t="s">
        <v>507</v>
      </c>
      <c r="K141" s="12" t="s">
        <v>590</v>
      </c>
      <c r="L141" s="12" t="s">
        <v>1892</v>
      </c>
      <c r="M141" s="102" t="str">
        <f t="shared" si="13"/>
        <v>MARTINEZ PEREZ DAVID</v>
      </c>
      <c r="N141" s="102" t="s">
        <v>6922</v>
      </c>
      <c r="O141" s="102" t="s">
        <v>4778</v>
      </c>
      <c r="P141" s="12" t="s">
        <v>1953</v>
      </c>
      <c r="Q141" s="100">
        <v>32850</v>
      </c>
      <c r="R141" s="77">
        <f t="shared" si="14"/>
        <v>8</v>
      </c>
      <c r="S141" s="77">
        <f t="shared" si="15"/>
        <v>12</v>
      </c>
      <c r="T141" s="77">
        <f t="shared" si="16"/>
        <v>1989</v>
      </c>
      <c r="U141" s="103">
        <f t="shared" ca="1" si="17"/>
        <v>36.868493150684934</v>
      </c>
      <c r="V141" s="13" t="s">
        <v>342</v>
      </c>
      <c r="W141" s="13" t="s">
        <v>2189</v>
      </c>
      <c r="X141" s="12" t="s">
        <v>1497</v>
      </c>
      <c r="Y141" s="108" t="s">
        <v>216</v>
      </c>
      <c r="Z141" s="12" t="s">
        <v>220</v>
      </c>
      <c r="AA141" s="12" t="s">
        <v>857</v>
      </c>
      <c r="AB141" s="12" t="s">
        <v>2309</v>
      </c>
      <c r="AC141" s="12" t="s">
        <v>313</v>
      </c>
      <c r="AD141" s="12" t="s">
        <v>314</v>
      </c>
      <c r="AE141" s="12">
        <v>90</v>
      </c>
      <c r="AF141" s="13" t="s">
        <v>2330</v>
      </c>
      <c r="AG141" s="12" t="s">
        <v>291</v>
      </c>
      <c r="AH141" s="104" t="s">
        <v>2343</v>
      </c>
      <c r="AI141" s="12" t="s">
        <v>317</v>
      </c>
      <c r="AJ141" s="12" t="s">
        <v>318</v>
      </c>
      <c r="AK141" s="12" t="s">
        <v>2797</v>
      </c>
      <c r="AL141" s="104" t="s">
        <v>3093</v>
      </c>
      <c r="AM141" s="12" t="s">
        <v>2562</v>
      </c>
      <c r="AN141" s="12" t="s">
        <v>381</v>
      </c>
      <c r="AO141" s="12" t="s">
        <v>398</v>
      </c>
      <c r="AP141" s="12"/>
      <c r="AQ141" s="12" t="s">
        <v>3304</v>
      </c>
      <c r="AR141" s="12">
        <v>3102</v>
      </c>
      <c r="AS141" s="12" t="s">
        <v>642</v>
      </c>
      <c r="AT141" s="12" t="s">
        <v>133</v>
      </c>
      <c r="AU141" s="12" t="s">
        <v>912</v>
      </c>
      <c r="AV141" s="12">
        <v>64610</v>
      </c>
      <c r="AW141" s="12" t="s">
        <v>357</v>
      </c>
      <c r="AX141" s="12" t="s">
        <v>357</v>
      </c>
      <c r="AY141" s="12" t="s">
        <v>330</v>
      </c>
      <c r="AZ141" s="12"/>
      <c r="BA141" s="12"/>
      <c r="BB141" s="12"/>
      <c r="BC141" s="12"/>
      <c r="BD141" s="12" t="s">
        <v>2562</v>
      </c>
      <c r="BE141" s="12" t="s">
        <v>381</v>
      </c>
      <c r="BF141" s="12" t="s">
        <v>3749</v>
      </c>
      <c r="BG141" s="12" t="s">
        <v>333</v>
      </c>
      <c r="BH141" s="12" t="s">
        <v>334</v>
      </c>
      <c r="BI141" s="12">
        <v>2</v>
      </c>
      <c r="BJ141" s="12" t="s">
        <v>3892</v>
      </c>
      <c r="BK141" s="12" t="s">
        <v>571</v>
      </c>
      <c r="BL141" s="105">
        <v>11</v>
      </c>
      <c r="BM141" s="12"/>
      <c r="BN141" s="12" t="s">
        <v>571</v>
      </c>
      <c r="BO141" s="105">
        <v>3</v>
      </c>
      <c r="BP141" s="12"/>
      <c r="BQ141" s="12">
        <v>0</v>
      </c>
      <c r="BR141" s="12">
        <v>0</v>
      </c>
      <c r="BS141" s="12"/>
      <c r="BT141" s="12">
        <v>0</v>
      </c>
      <c r="BU141" s="12">
        <v>0</v>
      </c>
      <c r="BV141" s="12"/>
      <c r="BW141" s="12">
        <v>0</v>
      </c>
      <c r="BX141" s="12">
        <v>0</v>
      </c>
      <c r="BY141" s="12"/>
      <c r="BZ141" s="12">
        <v>0</v>
      </c>
      <c r="CA141" s="12"/>
      <c r="CB141" s="12"/>
      <c r="CC141" s="12"/>
      <c r="CD141" s="110"/>
    </row>
    <row r="142" spans="1:82" ht="13.9" customHeight="1" x14ac:dyDescent="0.2">
      <c r="A142" s="12">
        <v>578</v>
      </c>
      <c r="B142" s="12" t="s">
        <v>4240</v>
      </c>
      <c r="C142" s="104" t="s">
        <v>299</v>
      </c>
      <c r="D142" s="99" t="s">
        <v>80</v>
      </c>
      <c r="E142" s="99" t="s">
        <v>6540</v>
      </c>
      <c r="F142" s="100">
        <v>44999</v>
      </c>
      <c r="G142" s="117">
        <v>44999</v>
      </c>
      <c r="H142" s="101">
        <f t="shared" si="12"/>
        <v>45089</v>
      </c>
      <c r="I142" s="101" t="s">
        <v>291</v>
      </c>
      <c r="J142" s="12" t="s">
        <v>4394</v>
      </c>
      <c r="K142" s="12" t="s">
        <v>4503</v>
      </c>
      <c r="L142" s="12" t="s">
        <v>688</v>
      </c>
      <c r="M142" s="102" t="str">
        <f t="shared" si="13"/>
        <v>TRISTAN ESTRADA JUAN ANTONIO</v>
      </c>
      <c r="N142" s="102" t="s">
        <v>6923</v>
      </c>
      <c r="O142" s="102" t="s">
        <v>4742</v>
      </c>
      <c r="P142" s="12" t="s">
        <v>1953</v>
      </c>
      <c r="Q142" s="100">
        <v>26015</v>
      </c>
      <c r="R142" s="77">
        <f t="shared" si="14"/>
        <v>23</v>
      </c>
      <c r="S142" s="77">
        <f t="shared" si="15"/>
        <v>3</v>
      </c>
      <c r="T142" s="77">
        <f t="shared" si="16"/>
        <v>1971</v>
      </c>
      <c r="U142" s="103">
        <f t="shared" ca="1" si="17"/>
        <v>55.594520547945208</v>
      </c>
      <c r="V142" s="13" t="s">
        <v>342</v>
      </c>
      <c r="W142" s="13" t="s">
        <v>2154</v>
      </c>
      <c r="X142" s="12" t="s">
        <v>1497</v>
      </c>
      <c r="Y142" s="119" t="s">
        <v>195</v>
      </c>
      <c r="Z142" s="12" t="s">
        <v>170</v>
      </c>
      <c r="AA142" s="12" t="s">
        <v>636</v>
      </c>
      <c r="AB142" s="12" t="s">
        <v>1368</v>
      </c>
      <c r="AC142" s="12" t="s">
        <v>313</v>
      </c>
      <c r="AD142" s="12" t="s">
        <v>314</v>
      </c>
      <c r="AE142" s="12">
        <v>90</v>
      </c>
      <c r="AF142" s="13" t="s">
        <v>315</v>
      </c>
      <c r="AG142" s="12" t="s">
        <v>291</v>
      </c>
      <c r="AH142" s="104" t="s">
        <v>316</v>
      </c>
      <c r="AI142" s="12" t="s">
        <v>317</v>
      </c>
      <c r="AJ142" s="12" t="s">
        <v>318</v>
      </c>
      <c r="AK142" s="12" t="s">
        <v>2768</v>
      </c>
      <c r="AL142" s="104" t="s">
        <v>3060</v>
      </c>
      <c r="AM142" s="12" t="s">
        <v>2531</v>
      </c>
      <c r="AN142" s="12" t="s">
        <v>381</v>
      </c>
      <c r="AO142" s="12" t="s">
        <v>398</v>
      </c>
      <c r="AP142" s="12"/>
      <c r="AQ142" s="12" t="s">
        <v>3290</v>
      </c>
      <c r="AR142" s="12">
        <v>160</v>
      </c>
      <c r="AS142" s="12" t="s">
        <v>328</v>
      </c>
      <c r="AT142" s="12" t="s">
        <v>483</v>
      </c>
      <c r="AU142" s="12" t="s">
        <v>483</v>
      </c>
      <c r="AV142" s="12">
        <v>78136</v>
      </c>
      <c r="AW142" s="12" t="s">
        <v>357</v>
      </c>
      <c r="AX142" s="12" t="s">
        <v>329</v>
      </c>
      <c r="AY142" s="12" t="s">
        <v>330</v>
      </c>
      <c r="AZ142" s="12"/>
      <c r="BA142" s="12"/>
      <c r="BB142" s="12"/>
      <c r="BC142" s="12"/>
      <c r="BD142" s="12" t="s">
        <v>3528</v>
      </c>
      <c r="BE142" s="12" t="s">
        <v>381</v>
      </c>
      <c r="BF142" s="12" t="s">
        <v>3722</v>
      </c>
      <c r="BG142" s="12" t="s">
        <v>444</v>
      </c>
      <c r="BH142" s="12" t="s">
        <v>334</v>
      </c>
      <c r="BI142" s="12" t="s">
        <v>362</v>
      </c>
      <c r="BJ142" s="12" t="s">
        <v>3888</v>
      </c>
      <c r="BK142" s="12" t="s">
        <v>571</v>
      </c>
      <c r="BL142" s="105" t="s">
        <v>3954</v>
      </c>
      <c r="BM142" s="12"/>
      <c r="BN142" s="12" t="s">
        <v>3911</v>
      </c>
      <c r="BO142" s="105" t="s">
        <v>3955</v>
      </c>
      <c r="BP142" s="12"/>
      <c r="BQ142" s="12" t="s">
        <v>571</v>
      </c>
      <c r="BR142" s="12" t="s">
        <v>3951</v>
      </c>
      <c r="BS142" s="12"/>
      <c r="BT142" s="12">
        <v>0</v>
      </c>
      <c r="BU142" s="12">
        <v>0</v>
      </c>
      <c r="BV142" s="12"/>
      <c r="BW142" s="12">
        <v>0</v>
      </c>
      <c r="BX142" s="12">
        <v>0</v>
      </c>
      <c r="BY142" s="12"/>
      <c r="BZ142" s="12">
        <v>0</v>
      </c>
      <c r="CA142" s="12"/>
      <c r="CB142" s="12"/>
      <c r="CC142" s="12"/>
      <c r="CD142" s="78"/>
    </row>
    <row r="143" spans="1:82" ht="13.9" customHeight="1" x14ac:dyDescent="0.2">
      <c r="A143" s="107">
        <v>437</v>
      </c>
      <c r="B143" s="107" t="s">
        <v>3982</v>
      </c>
      <c r="C143" s="104" t="s">
        <v>564</v>
      </c>
      <c r="D143" s="107" t="s">
        <v>81</v>
      </c>
      <c r="E143" s="99" t="s">
        <v>6541</v>
      </c>
      <c r="F143" s="100">
        <v>45001</v>
      </c>
      <c r="G143" s="100">
        <v>45001</v>
      </c>
      <c r="H143" s="101">
        <f t="shared" si="12"/>
        <v>45091</v>
      </c>
      <c r="I143" s="101" t="s">
        <v>290</v>
      </c>
      <c r="J143" s="12" t="s">
        <v>4317</v>
      </c>
      <c r="K143" s="12" t="s">
        <v>1408</v>
      </c>
      <c r="L143" s="12" t="s">
        <v>1122</v>
      </c>
      <c r="M143" s="102" t="str">
        <f t="shared" si="13"/>
        <v>DIAZ RUIZ HUGO</v>
      </c>
      <c r="N143" s="102" t="s">
        <v>6924</v>
      </c>
      <c r="O143" s="102" t="s">
        <v>4568</v>
      </c>
      <c r="P143" s="12" t="s">
        <v>1953</v>
      </c>
      <c r="Q143" s="100">
        <v>33585</v>
      </c>
      <c r="R143" s="77">
        <f t="shared" si="14"/>
        <v>13</v>
      </c>
      <c r="S143" s="77">
        <f t="shared" si="15"/>
        <v>12</v>
      </c>
      <c r="T143" s="77">
        <f t="shared" si="16"/>
        <v>1991</v>
      </c>
      <c r="U143" s="103">
        <f t="shared" ca="1" si="17"/>
        <v>34.854794520547948</v>
      </c>
      <c r="V143" s="13" t="s">
        <v>389</v>
      </c>
      <c r="W143" s="13" t="s">
        <v>1978</v>
      </c>
      <c r="X143" s="12" t="s">
        <v>1497</v>
      </c>
      <c r="Y143" s="12" t="s">
        <v>296</v>
      </c>
      <c r="Z143" s="12" t="s">
        <v>84</v>
      </c>
      <c r="AA143" s="12" t="s">
        <v>532</v>
      </c>
      <c r="AB143" s="12" t="s">
        <v>574</v>
      </c>
      <c r="AC143" s="12" t="s">
        <v>313</v>
      </c>
      <c r="AD143" s="12" t="s">
        <v>314</v>
      </c>
      <c r="AE143" s="12">
        <v>90</v>
      </c>
      <c r="AF143" s="13" t="s">
        <v>597</v>
      </c>
      <c r="AG143" s="12" t="s">
        <v>290</v>
      </c>
      <c r="AH143" s="104" t="s">
        <v>351</v>
      </c>
      <c r="AI143" s="12" t="s">
        <v>317</v>
      </c>
      <c r="AJ143" s="12" t="s">
        <v>318</v>
      </c>
      <c r="AK143" s="12" t="s">
        <v>2648</v>
      </c>
      <c r="AL143" s="104" t="s">
        <v>2885</v>
      </c>
      <c r="AM143" s="12" t="s">
        <v>2367</v>
      </c>
      <c r="AN143" s="12" t="s">
        <v>325</v>
      </c>
      <c r="AO143" s="12" t="s">
        <v>398</v>
      </c>
      <c r="AP143" s="12"/>
      <c r="AQ143" s="12" t="s">
        <v>3198</v>
      </c>
      <c r="AR143" s="12">
        <v>225</v>
      </c>
      <c r="AS143" s="12" t="s">
        <v>328</v>
      </c>
      <c r="AT143" s="12" t="s">
        <v>606</v>
      </c>
      <c r="AU143" s="12" t="s">
        <v>583</v>
      </c>
      <c r="AV143" s="12">
        <v>45590</v>
      </c>
      <c r="AW143" s="12" t="s">
        <v>357</v>
      </c>
      <c r="AX143" s="12" t="s">
        <v>357</v>
      </c>
      <c r="AY143" s="12" t="s">
        <v>330</v>
      </c>
      <c r="AZ143" s="12"/>
      <c r="BA143" s="12"/>
      <c r="BB143" s="12"/>
      <c r="BC143" s="12"/>
      <c r="BD143" s="12" t="s">
        <v>2367</v>
      </c>
      <c r="BE143" s="12" t="s">
        <v>325</v>
      </c>
      <c r="BF143" s="12" t="s">
        <v>3596</v>
      </c>
      <c r="BG143" s="12" t="s">
        <v>444</v>
      </c>
      <c r="BH143" s="12" t="s">
        <v>334</v>
      </c>
      <c r="BI143" s="12" t="s">
        <v>3831</v>
      </c>
      <c r="BJ143" s="12" t="s">
        <v>3831</v>
      </c>
      <c r="BK143" s="12"/>
      <c r="BL143" s="105"/>
      <c r="BM143" s="12"/>
      <c r="BN143" s="12"/>
      <c r="BO143" s="105"/>
      <c r="BP143" s="12"/>
      <c r="BQ143" s="12"/>
      <c r="BR143" s="12"/>
      <c r="BS143" s="12"/>
      <c r="BT143" s="12"/>
      <c r="BU143" s="12"/>
      <c r="BV143" s="12"/>
      <c r="BW143" s="12"/>
      <c r="BX143" s="12"/>
      <c r="BY143" s="12"/>
      <c r="BZ143" s="12"/>
      <c r="CA143" s="12"/>
      <c r="CB143" s="12"/>
      <c r="CC143" s="12"/>
      <c r="CD143" s="78"/>
    </row>
    <row r="144" spans="1:82" ht="13.9" customHeight="1" x14ac:dyDescent="0.2">
      <c r="A144" s="12">
        <v>442</v>
      </c>
      <c r="B144" s="12" t="s">
        <v>4058</v>
      </c>
      <c r="C144" s="78" t="s">
        <v>335</v>
      </c>
      <c r="D144" s="99" t="s">
        <v>127</v>
      </c>
      <c r="E144" s="99" t="s">
        <v>6542</v>
      </c>
      <c r="F144" s="100">
        <v>45014</v>
      </c>
      <c r="G144" s="100">
        <v>45014</v>
      </c>
      <c r="H144" s="101">
        <f t="shared" si="12"/>
        <v>45044</v>
      </c>
      <c r="I144" s="101" t="s">
        <v>290</v>
      </c>
      <c r="J144" s="12" t="s">
        <v>4356</v>
      </c>
      <c r="K144" s="12" t="s">
        <v>4364</v>
      </c>
      <c r="L144" s="12" t="s">
        <v>1783</v>
      </c>
      <c r="M144" s="102" t="str">
        <f t="shared" si="13"/>
        <v>MEDRANO MEDINA PEDRO LUIS</v>
      </c>
      <c r="N144" s="102" t="s">
        <v>6925</v>
      </c>
      <c r="O144" s="102" t="s">
        <v>4648</v>
      </c>
      <c r="P144" s="12" t="s">
        <v>1953</v>
      </c>
      <c r="Q144" s="100">
        <v>33426</v>
      </c>
      <c r="R144" s="77">
        <f t="shared" si="14"/>
        <v>7</v>
      </c>
      <c r="S144" s="77">
        <f t="shared" si="15"/>
        <v>7</v>
      </c>
      <c r="T144" s="77">
        <f t="shared" si="16"/>
        <v>1991</v>
      </c>
      <c r="U144" s="103">
        <f t="shared" ca="1" si="17"/>
        <v>35.290410958904111</v>
      </c>
      <c r="V144" s="13" t="s">
        <v>452</v>
      </c>
      <c r="W144" s="13" t="s">
        <v>2060</v>
      </c>
      <c r="X144" s="12" t="s">
        <v>1497</v>
      </c>
      <c r="Y144" s="12" t="s">
        <v>131</v>
      </c>
      <c r="Z144" s="12" t="s">
        <v>130</v>
      </c>
      <c r="AA144" s="12" t="s">
        <v>347</v>
      </c>
      <c r="AB144" s="12" t="s">
        <v>2290</v>
      </c>
      <c r="AC144" s="12" t="s">
        <v>313</v>
      </c>
      <c r="AD144" s="12" t="s">
        <v>314</v>
      </c>
      <c r="AE144" s="12">
        <v>30</v>
      </c>
      <c r="AF144" s="13" t="s">
        <v>413</v>
      </c>
      <c r="AG144" s="12" t="s">
        <v>290</v>
      </c>
      <c r="AH144" s="104" t="s">
        <v>2339</v>
      </c>
      <c r="AI144" s="12" t="s">
        <v>317</v>
      </c>
      <c r="AJ144" s="12" t="s">
        <v>318</v>
      </c>
      <c r="AK144" s="12" t="s">
        <v>2705</v>
      </c>
      <c r="AL144" s="104" t="s">
        <v>2966</v>
      </c>
      <c r="AM144" s="12" t="s">
        <v>2442</v>
      </c>
      <c r="AN144" s="12" t="s">
        <v>461</v>
      </c>
      <c r="AO144" s="12" t="s">
        <v>398</v>
      </c>
      <c r="AP144" s="12"/>
      <c r="AQ144" s="12" t="s">
        <v>3251</v>
      </c>
      <c r="AR144" s="12">
        <v>1200</v>
      </c>
      <c r="AS144" s="12">
        <v>7</v>
      </c>
      <c r="AT144" s="12" t="s">
        <v>3301</v>
      </c>
      <c r="AU144" s="12" t="s">
        <v>681</v>
      </c>
      <c r="AV144" s="12" t="s">
        <v>3411</v>
      </c>
      <c r="AW144" s="12" t="s">
        <v>357</v>
      </c>
      <c r="AX144" s="12" t="s">
        <v>357</v>
      </c>
      <c r="AY144" s="12" t="s">
        <v>330</v>
      </c>
      <c r="AZ144" s="12" t="s">
        <v>484</v>
      </c>
      <c r="BA144" s="12"/>
      <c r="BB144" s="12"/>
      <c r="BC144" s="12"/>
      <c r="BD144" s="12" t="s">
        <v>3489</v>
      </c>
      <c r="BE144" s="12" t="s">
        <v>461</v>
      </c>
      <c r="BF144" s="12" t="s">
        <v>3653</v>
      </c>
      <c r="BG144" s="12" t="s">
        <v>333</v>
      </c>
      <c r="BH144" s="12" t="s">
        <v>334</v>
      </c>
      <c r="BI144" s="12">
        <v>1</v>
      </c>
      <c r="BJ144" s="12" t="s">
        <v>3854</v>
      </c>
      <c r="BK144" s="12" t="s">
        <v>3911</v>
      </c>
      <c r="BL144" s="105">
        <v>10</v>
      </c>
      <c r="BM144" s="12"/>
      <c r="BN144" s="12">
        <v>0</v>
      </c>
      <c r="BO144" s="105">
        <v>0</v>
      </c>
      <c r="BP144" s="12"/>
      <c r="BQ144" s="12">
        <v>0</v>
      </c>
      <c r="BR144" s="12">
        <v>0</v>
      </c>
      <c r="BS144" s="12"/>
      <c r="BT144" s="12">
        <v>0</v>
      </c>
      <c r="BU144" s="12">
        <v>0</v>
      </c>
      <c r="BV144" s="12"/>
      <c r="BW144" s="12">
        <v>0</v>
      </c>
      <c r="BX144" s="12">
        <v>0</v>
      </c>
      <c r="BY144" s="12"/>
      <c r="BZ144" s="12">
        <v>0</v>
      </c>
      <c r="CA144" s="12"/>
      <c r="CB144" s="12"/>
      <c r="CC144" s="12"/>
      <c r="CD144" s="78"/>
    </row>
    <row r="145" spans="1:82" s="116" customFormat="1" ht="13.9" customHeight="1" x14ac:dyDescent="0.2">
      <c r="A145" s="109">
        <v>400</v>
      </c>
      <c r="B145" s="109" t="s">
        <v>4019</v>
      </c>
      <c r="C145" s="110" t="s">
        <v>335</v>
      </c>
      <c r="D145" s="109" t="s">
        <v>228</v>
      </c>
      <c r="E145" s="111" t="s">
        <v>6750</v>
      </c>
      <c r="F145" s="112">
        <v>45033</v>
      </c>
      <c r="G145" s="112">
        <v>45033</v>
      </c>
      <c r="H145" s="113">
        <f t="shared" si="12"/>
        <v>45123</v>
      </c>
      <c r="I145" s="113" t="s">
        <v>290</v>
      </c>
      <c r="J145" s="109" t="s">
        <v>4367</v>
      </c>
      <c r="K145" s="109" t="s">
        <v>1534</v>
      </c>
      <c r="L145" s="109" t="s">
        <v>751</v>
      </c>
      <c r="M145" s="128" t="str">
        <f t="shared" si="13"/>
        <v>GUEVARA  JUAREZ GABRIEL</v>
      </c>
      <c r="N145" s="128" t="s">
        <v>7162</v>
      </c>
      <c r="O145" s="128" t="s">
        <v>4681</v>
      </c>
      <c r="P145" s="109" t="s">
        <v>1953</v>
      </c>
      <c r="Q145" s="112">
        <v>30857</v>
      </c>
      <c r="R145" s="125">
        <f t="shared" si="14"/>
        <v>24</v>
      </c>
      <c r="S145" s="125">
        <f t="shared" si="15"/>
        <v>6</v>
      </c>
      <c r="T145" s="125">
        <f t="shared" si="16"/>
        <v>1984</v>
      </c>
      <c r="U145" s="142">
        <f t="shared" ca="1" si="17"/>
        <v>42.328767123287669</v>
      </c>
      <c r="V145" s="114" t="s">
        <v>342</v>
      </c>
      <c r="W145" s="114" t="s">
        <v>2092</v>
      </c>
      <c r="X145" s="109" t="s">
        <v>1497</v>
      </c>
      <c r="Y145" s="109" t="s">
        <v>151</v>
      </c>
      <c r="Z145" s="109" t="s">
        <v>149</v>
      </c>
      <c r="AA145" s="109" t="s">
        <v>347</v>
      </c>
      <c r="AB145" s="109" t="s">
        <v>2293</v>
      </c>
      <c r="AC145" s="109" t="s">
        <v>313</v>
      </c>
      <c r="AD145" s="109" t="s">
        <v>314</v>
      </c>
      <c r="AE145" s="109">
        <v>90</v>
      </c>
      <c r="AF145" s="114" t="s">
        <v>949</v>
      </c>
      <c r="AG145" s="109" t="s">
        <v>290</v>
      </c>
      <c r="AH145" s="115" t="s">
        <v>950</v>
      </c>
      <c r="AI145" s="109" t="s">
        <v>317</v>
      </c>
      <c r="AJ145" s="109" t="s">
        <v>318</v>
      </c>
      <c r="AK145" s="109" t="s">
        <v>2722</v>
      </c>
      <c r="AL145" s="115" t="s">
        <v>2998</v>
      </c>
      <c r="AM145" s="109" t="s">
        <v>2474</v>
      </c>
      <c r="AN145" s="109" t="s">
        <v>381</v>
      </c>
      <c r="AO145" s="109" t="s">
        <v>398</v>
      </c>
      <c r="AP145" s="109"/>
      <c r="AQ145" s="109">
        <v>0</v>
      </c>
      <c r="AR145" s="109">
        <v>0</v>
      </c>
      <c r="AS145" s="109">
        <v>0</v>
      </c>
      <c r="AT145" s="109">
        <v>0</v>
      </c>
      <c r="AU145" s="109">
        <v>0</v>
      </c>
      <c r="AV145" s="109">
        <v>0</v>
      </c>
      <c r="AW145" s="109" t="s">
        <v>357</v>
      </c>
      <c r="AX145" s="109" t="s">
        <v>357</v>
      </c>
      <c r="AY145" s="109" t="s">
        <v>330</v>
      </c>
      <c r="AZ145" s="109"/>
      <c r="BA145" s="109"/>
      <c r="BB145" s="109"/>
      <c r="BC145" s="109"/>
      <c r="BD145" s="109" t="s">
        <v>2474</v>
      </c>
      <c r="BE145" s="109" t="s">
        <v>381</v>
      </c>
      <c r="BF145" s="109" t="s">
        <v>3672</v>
      </c>
      <c r="BG145" s="109" t="s">
        <v>685</v>
      </c>
      <c r="BH145" s="109" t="s">
        <v>334</v>
      </c>
      <c r="BI145" s="109">
        <v>2</v>
      </c>
      <c r="BJ145" s="109" t="s">
        <v>3864</v>
      </c>
      <c r="BK145" s="109" t="s">
        <v>571</v>
      </c>
      <c r="BL145" s="111">
        <v>9</v>
      </c>
      <c r="BM145" s="109"/>
      <c r="BN145" s="109" t="s">
        <v>1953</v>
      </c>
      <c r="BO145" s="111">
        <v>6</v>
      </c>
      <c r="BP145" s="109"/>
      <c r="BQ145" s="109">
        <v>0</v>
      </c>
      <c r="BR145" s="109">
        <v>0</v>
      </c>
      <c r="BS145" s="109"/>
      <c r="BT145" s="109">
        <v>0</v>
      </c>
      <c r="BU145" s="109">
        <v>0</v>
      </c>
      <c r="BV145" s="109"/>
      <c r="BW145" s="109">
        <v>0</v>
      </c>
      <c r="BX145" s="109">
        <v>0</v>
      </c>
      <c r="BY145" s="109"/>
      <c r="BZ145" s="109">
        <v>0</v>
      </c>
      <c r="CA145" s="109"/>
      <c r="CB145" s="109"/>
      <c r="CC145" s="109"/>
      <c r="CD145" s="110"/>
    </row>
    <row r="146" spans="1:82" ht="13.9" customHeight="1" x14ac:dyDescent="0.2">
      <c r="A146" s="12">
        <v>455</v>
      </c>
      <c r="B146" s="12" t="s">
        <v>4128</v>
      </c>
      <c r="C146" s="78" t="s">
        <v>335</v>
      </c>
      <c r="D146" s="107" t="s">
        <v>116</v>
      </c>
      <c r="E146" s="99" t="s">
        <v>1675</v>
      </c>
      <c r="F146" s="100">
        <v>45033</v>
      </c>
      <c r="G146" s="100">
        <v>45033</v>
      </c>
      <c r="H146" s="101">
        <f t="shared" si="12"/>
        <v>45123</v>
      </c>
      <c r="I146" s="101" t="s">
        <v>291</v>
      </c>
      <c r="J146" s="12" t="s">
        <v>735</v>
      </c>
      <c r="K146" s="12" t="s">
        <v>4513</v>
      </c>
      <c r="L146" s="12" t="s">
        <v>1886</v>
      </c>
      <c r="M146" s="102" t="str">
        <f t="shared" si="13"/>
        <v>RIVERA PASCUAL MARIA GUADALUPE</v>
      </c>
      <c r="N146" s="102" t="s">
        <v>6926</v>
      </c>
      <c r="O146" s="102" t="s">
        <v>4772</v>
      </c>
      <c r="P146" s="12" t="s">
        <v>1953</v>
      </c>
      <c r="Q146" s="100">
        <v>35478</v>
      </c>
      <c r="R146" s="77">
        <f t="shared" si="14"/>
        <v>17</v>
      </c>
      <c r="S146" s="77">
        <f t="shared" si="15"/>
        <v>2</v>
      </c>
      <c r="T146" s="77">
        <f t="shared" si="16"/>
        <v>1997</v>
      </c>
      <c r="U146" s="103">
        <f t="shared" ca="1" si="17"/>
        <v>29.668493150684931</v>
      </c>
      <c r="V146" s="13" t="s">
        <v>308</v>
      </c>
      <c r="W146" s="13" t="s">
        <v>2183</v>
      </c>
      <c r="X146" s="12" t="s">
        <v>1497</v>
      </c>
      <c r="Y146" s="108" t="s">
        <v>219</v>
      </c>
      <c r="Z146" s="12" t="s">
        <v>120</v>
      </c>
      <c r="AA146" s="12" t="s">
        <v>2271</v>
      </c>
      <c r="AB146" s="12" t="s">
        <v>533</v>
      </c>
      <c r="AC146" s="12" t="s">
        <v>313</v>
      </c>
      <c r="AD146" s="12" t="s">
        <v>314</v>
      </c>
      <c r="AE146" s="12">
        <v>90</v>
      </c>
      <c r="AF146" s="13" t="s">
        <v>350</v>
      </c>
      <c r="AG146" s="12" t="s">
        <v>291</v>
      </c>
      <c r="AH146" s="104" t="s">
        <v>351</v>
      </c>
      <c r="AI146" s="12" t="s">
        <v>317</v>
      </c>
      <c r="AJ146" s="12" t="s">
        <v>318</v>
      </c>
      <c r="AK146" s="12" t="s">
        <v>2791</v>
      </c>
      <c r="AL146" s="104" t="s">
        <v>3087</v>
      </c>
      <c r="AM146" s="12" t="s">
        <v>2556</v>
      </c>
      <c r="AN146" s="12" t="s">
        <v>325</v>
      </c>
      <c r="AO146" s="12" t="s">
        <v>398</v>
      </c>
      <c r="AP146" s="12"/>
      <c r="AQ146" s="12" t="s">
        <v>3310</v>
      </c>
      <c r="AR146" s="12">
        <v>14</v>
      </c>
      <c r="AS146" s="12" t="s">
        <v>328</v>
      </c>
      <c r="AT146" s="12" t="s">
        <v>3384</v>
      </c>
      <c r="AU146" s="12" t="s">
        <v>583</v>
      </c>
      <c r="AV146" s="12">
        <v>45300</v>
      </c>
      <c r="AW146" s="12" t="s">
        <v>357</v>
      </c>
      <c r="AX146" s="12" t="s">
        <v>357</v>
      </c>
      <c r="AY146" s="12" t="s">
        <v>330</v>
      </c>
      <c r="AZ146" s="12" t="s">
        <v>484</v>
      </c>
      <c r="BA146" s="12" t="s">
        <v>3446</v>
      </c>
      <c r="BB146" s="12"/>
      <c r="BC146" s="12"/>
      <c r="BD146" s="12" t="s">
        <v>2556</v>
      </c>
      <c r="BE146" s="12" t="s">
        <v>325</v>
      </c>
      <c r="BF146" s="12" t="s">
        <v>3744</v>
      </c>
      <c r="BG146" s="12" t="s">
        <v>333</v>
      </c>
      <c r="BH146" s="12" t="s">
        <v>334</v>
      </c>
      <c r="BI146" s="12" t="s">
        <v>362</v>
      </c>
      <c r="BJ146" s="12" t="s">
        <v>3888</v>
      </c>
      <c r="BK146" s="12" t="s">
        <v>3911</v>
      </c>
      <c r="BL146" s="105">
        <v>0</v>
      </c>
      <c r="BM146" s="12"/>
      <c r="BN146" s="12">
        <v>0</v>
      </c>
      <c r="BO146" s="105">
        <v>0</v>
      </c>
      <c r="BP146" s="12"/>
      <c r="BQ146" s="12">
        <v>0</v>
      </c>
      <c r="BR146" s="12">
        <v>0</v>
      </c>
      <c r="BS146" s="12"/>
      <c r="BT146" s="12">
        <v>0</v>
      </c>
      <c r="BU146" s="12">
        <v>0</v>
      </c>
      <c r="BV146" s="12"/>
      <c r="BW146" s="12">
        <v>0</v>
      </c>
      <c r="BX146" s="12">
        <v>0</v>
      </c>
      <c r="BY146" s="12"/>
      <c r="BZ146" s="12">
        <v>0</v>
      </c>
      <c r="CA146" s="12"/>
      <c r="CB146" s="12"/>
      <c r="CC146" s="12"/>
      <c r="CD146" s="78"/>
    </row>
    <row r="147" spans="1:82" s="116" customFormat="1" ht="13.9" customHeight="1" x14ac:dyDescent="0.2">
      <c r="A147" s="109">
        <v>453</v>
      </c>
      <c r="B147" s="109" t="s">
        <v>4089</v>
      </c>
      <c r="C147" s="110" t="s">
        <v>335</v>
      </c>
      <c r="D147" s="109" t="s">
        <v>228</v>
      </c>
      <c r="E147" s="111" t="s">
        <v>6543</v>
      </c>
      <c r="F147" s="112">
        <v>45040</v>
      </c>
      <c r="G147" s="112">
        <v>45040</v>
      </c>
      <c r="H147" s="113">
        <f t="shared" si="12"/>
        <v>45130</v>
      </c>
      <c r="I147" s="113" t="s">
        <v>290</v>
      </c>
      <c r="J147" s="109" t="s">
        <v>405</v>
      </c>
      <c r="K147" s="109" t="s">
        <v>4484</v>
      </c>
      <c r="L147" s="109" t="s">
        <v>1809</v>
      </c>
      <c r="M147" s="128" t="str">
        <f t="shared" si="13"/>
        <v>REYES RUBIO EDUARDO RAMIRO</v>
      </c>
      <c r="N147" s="128" t="s">
        <v>6927</v>
      </c>
      <c r="O147" s="128" t="s">
        <v>4683</v>
      </c>
      <c r="P147" s="109" t="s">
        <v>1953</v>
      </c>
      <c r="Q147" s="112">
        <v>33463</v>
      </c>
      <c r="R147" s="125">
        <f t="shared" si="14"/>
        <v>13</v>
      </c>
      <c r="S147" s="125">
        <f t="shared" si="15"/>
        <v>8</v>
      </c>
      <c r="T147" s="125">
        <f t="shared" si="16"/>
        <v>1991</v>
      </c>
      <c r="U147" s="142">
        <f t="shared" ca="1" si="17"/>
        <v>35.18904109589041</v>
      </c>
      <c r="V147" s="114" t="s">
        <v>342</v>
      </c>
      <c r="W147" s="114" t="s">
        <v>2094</v>
      </c>
      <c r="X147" s="109" t="s">
        <v>1497</v>
      </c>
      <c r="Y147" s="109" t="s">
        <v>122</v>
      </c>
      <c r="Z147" s="109" t="s">
        <v>147</v>
      </c>
      <c r="AA147" s="109" t="s">
        <v>532</v>
      </c>
      <c r="AB147" s="109" t="s">
        <v>2293</v>
      </c>
      <c r="AC147" s="109" t="s">
        <v>313</v>
      </c>
      <c r="AD147" s="109" t="s">
        <v>314</v>
      </c>
      <c r="AE147" s="109">
        <v>90</v>
      </c>
      <c r="AF147" s="114" t="s">
        <v>949</v>
      </c>
      <c r="AG147" s="109" t="s">
        <v>290</v>
      </c>
      <c r="AH147" s="115" t="s">
        <v>950</v>
      </c>
      <c r="AI147" s="109" t="s">
        <v>317</v>
      </c>
      <c r="AJ147" s="109" t="s">
        <v>318</v>
      </c>
      <c r="AK147" s="109" t="s">
        <v>2724</v>
      </c>
      <c r="AL147" s="115" t="s">
        <v>3000</v>
      </c>
      <c r="AM147" s="109" t="s">
        <v>2476</v>
      </c>
      <c r="AN147" s="109" t="s">
        <v>381</v>
      </c>
      <c r="AO147" s="109" t="s">
        <v>398</v>
      </c>
      <c r="AP147" s="109"/>
      <c r="AQ147" s="109" t="s">
        <v>3272</v>
      </c>
      <c r="AR147" s="109">
        <v>222</v>
      </c>
      <c r="AS147" s="109" t="s">
        <v>328</v>
      </c>
      <c r="AT147" s="109" t="s">
        <v>145</v>
      </c>
      <c r="AU147" s="109" t="s">
        <v>483</v>
      </c>
      <c r="AV147" s="109">
        <v>79610</v>
      </c>
      <c r="AW147" s="109" t="s">
        <v>357</v>
      </c>
      <c r="AX147" s="109" t="s">
        <v>357</v>
      </c>
      <c r="AY147" s="109" t="s">
        <v>330</v>
      </c>
      <c r="AZ147" s="109"/>
      <c r="BA147" s="109"/>
      <c r="BB147" s="109"/>
      <c r="BC147" s="109"/>
      <c r="BD147" s="109" t="s">
        <v>2476</v>
      </c>
      <c r="BE147" s="109" t="s">
        <v>381</v>
      </c>
      <c r="BF147" s="109" t="s">
        <v>3674</v>
      </c>
      <c r="BG147" s="109" t="s">
        <v>333</v>
      </c>
      <c r="BH147" s="109" t="s">
        <v>334</v>
      </c>
      <c r="BI147" s="109">
        <v>1</v>
      </c>
      <c r="BJ147" s="109" t="s">
        <v>3866</v>
      </c>
      <c r="BK147" s="109" t="s">
        <v>3911</v>
      </c>
      <c r="BL147" s="111">
        <v>1</v>
      </c>
      <c r="BM147" s="109"/>
      <c r="BN147" s="109">
        <v>0</v>
      </c>
      <c r="BO147" s="111">
        <v>0</v>
      </c>
      <c r="BP147" s="109"/>
      <c r="BQ147" s="109">
        <v>0</v>
      </c>
      <c r="BR147" s="109">
        <v>0</v>
      </c>
      <c r="BS147" s="109"/>
      <c r="BT147" s="109">
        <v>0</v>
      </c>
      <c r="BU147" s="109">
        <v>0</v>
      </c>
      <c r="BV147" s="109"/>
      <c r="BW147" s="109">
        <v>0</v>
      </c>
      <c r="BX147" s="109">
        <v>0</v>
      </c>
      <c r="BY147" s="109"/>
      <c r="BZ147" s="109">
        <v>0</v>
      </c>
      <c r="CA147" s="109"/>
      <c r="CB147" s="109"/>
      <c r="CC147" s="109"/>
      <c r="CD147" s="110"/>
    </row>
    <row r="148" spans="1:82" s="116" customFormat="1" ht="13.9" customHeight="1" x14ac:dyDescent="0.2">
      <c r="A148" s="109">
        <v>604</v>
      </c>
      <c r="B148" s="109" t="s">
        <v>4241</v>
      </c>
      <c r="C148" s="115" t="s">
        <v>299</v>
      </c>
      <c r="D148" s="111" t="s">
        <v>80</v>
      </c>
      <c r="E148" s="111" t="s">
        <v>6544</v>
      </c>
      <c r="F148" s="112">
        <v>45041</v>
      </c>
      <c r="G148" s="112">
        <v>45041</v>
      </c>
      <c r="H148" s="113">
        <f t="shared" si="12"/>
        <v>45131</v>
      </c>
      <c r="I148" s="113" t="s">
        <v>291</v>
      </c>
      <c r="J148" s="109" t="s">
        <v>1045</v>
      </c>
      <c r="K148" s="109" t="s">
        <v>704</v>
      </c>
      <c r="L148" s="109" t="s">
        <v>1861</v>
      </c>
      <c r="M148" s="128" t="str">
        <f t="shared" si="13"/>
        <v>CERVANTES GONZALEZ LAURA ANGELICA</v>
      </c>
      <c r="N148" s="128" t="s">
        <v>6928</v>
      </c>
      <c r="O148" s="128" t="s">
        <v>4743</v>
      </c>
      <c r="P148" s="109" t="s">
        <v>1953</v>
      </c>
      <c r="Q148" s="112">
        <v>34294</v>
      </c>
      <c r="R148" s="125">
        <f t="shared" si="14"/>
        <v>21</v>
      </c>
      <c r="S148" s="125">
        <f t="shared" si="15"/>
        <v>11</v>
      </c>
      <c r="T148" s="125">
        <f t="shared" si="16"/>
        <v>1993</v>
      </c>
      <c r="U148" s="142">
        <f t="shared" ca="1" si="17"/>
        <v>32.912328767123284</v>
      </c>
      <c r="V148" s="114" t="s">
        <v>452</v>
      </c>
      <c r="W148" s="114" t="s">
        <v>2155</v>
      </c>
      <c r="X148" s="109" t="s">
        <v>1497</v>
      </c>
      <c r="Y148" s="109" t="s">
        <v>197</v>
      </c>
      <c r="Z148" s="109" t="s">
        <v>196</v>
      </c>
      <c r="AA148" s="109" t="s">
        <v>2273</v>
      </c>
      <c r="AB148" s="109">
        <v>0</v>
      </c>
      <c r="AC148" s="109" t="s">
        <v>313</v>
      </c>
      <c r="AD148" s="109" t="s">
        <v>314</v>
      </c>
      <c r="AE148" s="109">
        <v>90</v>
      </c>
      <c r="AF148" s="114" t="s">
        <v>315</v>
      </c>
      <c r="AG148" s="109" t="s">
        <v>291</v>
      </c>
      <c r="AH148" s="115" t="s">
        <v>316</v>
      </c>
      <c r="AI148" s="109" t="s">
        <v>317</v>
      </c>
      <c r="AJ148" s="109" t="s">
        <v>318</v>
      </c>
      <c r="AK148" s="109" t="s">
        <v>2769</v>
      </c>
      <c r="AL148" s="115" t="s">
        <v>3061</v>
      </c>
      <c r="AM148" s="109" t="s">
        <v>2532</v>
      </c>
      <c r="AN148" s="109" t="s">
        <v>478</v>
      </c>
      <c r="AO148" s="109" t="s">
        <v>398</v>
      </c>
      <c r="AP148" s="109"/>
      <c r="AQ148" s="109" t="s">
        <v>3291</v>
      </c>
      <c r="AR148" s="109">
        <v>629</v>
      </c>
      <c r="AS148" s="109" t="s">
        <v>328</v>
      </c>
      <c r="AT148" s="109" t="s">
        <v>482</v>
      </c>
      <c r="AU148" s="109" t="s">
        <v>483</v>
      </c>
      <c r="AV148" s="109">
        <v>78435</v>
      </c>
      <c r="AW148" s="109" t="s">
        <v>357</v>
      </c>
      <c r="AX148" s="109" t="s">
        <v>357</v>
      </c>
      <c r="AY148" s="109" t="s">
        <v>330</v>
      </c>
      <c r="AZ148" s="109"/>
      <c r="BA148" s="109"/>
      <c r="BB148" s="109"/>
      <c r="BC148" s="109"/>
      <c r="BD148" s="109" t="s">
        <v>2532</v>
      </c>
      <c r="BE148" s="109" t="s">
        <v>478</v>
      </c>
      <c r="BF148" s="109" t="s">
        <v>3723</v>
      </c>
      <c r="BG148" s="109" t="s">
        <v>333</v>
      </c>
      <c r="BH148" s="109" t="s">
        <v>334</v>
      </c>
      <c r="BI148" s="109" t="s">
        <v>362</v>
      </c>
      <c r="BJ148" s="109" t="s">
        <v>3888</v>
      </c>
      <c r="BK148" s="109" t="s">
        <v>3911</v>
      </c>
      <c r="BL148" s="111">
        <v>0</v>
      </c>
      <c r="BM148" s="109"/>
      <c r="BN148" s="109">
        <v>0</v>
      </c>
      <c r="BO148" s="111">
        <v>0</v>
      </c>
      <c r="BP148" s="109"/>
      <c r="BQ148" s="109">
        <v>0</v>
      </c>
      <c r="BR148" s="109">
        <v>0</v>
      </c>
      <c r="BS148" s="109"/>
      <c r="BT148" s="109">
        <v>0</v>
      </c>
      <c r="BU148" s="109">
        <v>0</v>
      </c>
      <c r="BV148" s="109"/>
      <c r="BW148" s="109">
        <v>0</v>
      </c>
      <c r="BX148" s="109">
        <v>0</v>
      </c>
      <c r="BY148" s="109"/>
      <c r="BZ148" s="109">
        <v>0</v>
      </c>
      <c r="CA148" s="109"/>
      <c r="CB148" s="109"/>
      <c r="CC148" s="109"/>
      <c r="CD148" s="110"/>
    </row>
    <row r="149" spans="1:82" ht="13.9" customHeight="1" x14ac:dyDescent="0.2">
      <c r="A149" s="12">
        <v>613</v>
      </c>
      <c r="B149" s="12" t="s">
        <v>4242</v>
      </c>
      <c r="C149" s="104" t="s">
        <v>299</v>
      </c>
      <c r="D149" s="99" t="s">
        <v>80</v>
      </c>
      <c r="E149" s="99" t="s">
        <v>6753</v>
      </c>
      <c r="F149" s="100">
        <v>45048</v>
      </c>
      <c r="G149" s="117">
        <v>45048</v>
      </c>
      <c r="H149" s="101">
        <f t="shared" si="12"/>
        <v>45138</v>
      </c>
      <c r="I149" s="101" t="s">
        <v>291</v>
      </c>
      <c r="J149" s="12" t="s">
        <v>365</v>
      </c>
      <c r="K149" s="12" t="s">
        <v>4492</v>
      </c>
      <c r="L149" s="12" t="s">
        <v>1862</v>
      </c>
      <c r="M149" s="102" t="str">
        <f t="shared" si="13"/>
        <v>RODRIGUEZ  NERI LUZ ANDREA</v>
      </c>
      <c r="N149" s="102" t="s">
        <v>7165</v>
      </c>
      <c r="O149" s="102" t="s">
        <v>4744</v>
      </c>
      <c r="P149" s="12" t="s">
        <v>1953</v>
      </c>
      <c r="Q149" s="100">
        <v>35445</v>
      </c>
      <c r="R149" s="77">
        <f t="shared" si="14"/>
        <v>15</v>
      </c>
      <c r="S149" s="77">
        <f t="shared" si="15"/>
        <v>1</v>
      </c>
      <c r="T149" s="77">
        <f t="shared" si="16"/>
        <v>1997</v>
      </c>
      <c r="U149" s="103">
        <f t="shared" ca="1" si="17"/>
        <v>29.758904109589039</v>
      </c>
      <c r="V149" s="13" t="s">
        <v>308</v>
      </c>
      <c r="W149" s="13" t="s">
        <v>2156</v>
      </c>
      <c r="X149" s="12" t="s">
        <v>1497</v>
      </c>
      <c r="Y149" s="12" t="s">
        <v>189</v>
      </c>
      <c r="Z149" s="12" t="s">
        <v>174</v>
      </c>
      <c r="AA149" s="12" t="s">
        <v>432</v>
      </c>
      <c r="AB149" s="12" t="s">
        <v>2280</v>
      </c>
      <c r="AC149" s="12" t="s">
        <v>313</v>
      </c>
      <c r="AD149" s="12" t="s">
        <v>314</v>
      </c>
      <c r="AE149" s="12">
        <v>90</v>
      </c>
      <c r="AF149" s="13" t="s">
        <v>315</v>
      </c>
      <c r="AG149" s="12" t="s">
        <v>291</v>
      </c>
      <c r="AH149" s="104" t="s">
        <v>316</v>
      </c>
      <c r="AI149" s="12" t="s">
        <v>317</v>
      </c>
      <c r="AJ149" s="12" t="s">
        <v>318</v>
      </c>
      <c r="AK149" s="12" t="s">
        <v>2770</v>
      </c>
      <c r="AL149" s="104" t="s">
        <v>3062</v>
      </c>
      <c r="AM149" s="12" t="s">
        <v>2533</v>
      </c>
      <c r="AN149" s="12" t="s">
        <v>325</v>
      </c>
      <c r="AO149" s="12" t="s">
        <v>398</v>
      </c>
      <c r="AP149" s="12"/>
      <c r="AQ149" s="12" t="s">
        <v>3292</v>
      </c>
      <c r="AR149" s="12">
        <v>3</v>
      </c>
      <c r="AS149" s="12" t="s">
        <v>328</v>
      </c>
      <c r="AT149" s="12" t="s">
        <v>482</v>
      </c>
      <c r="AU149" s="12" t="s">
        <v>483</v>
      </c>
      <c r="AV149" s="12">
        <v>78430</v>
      </c>
      <c r="AW149" s="12" t="s">
        <v>357</v>
      </c>
      <c r="AX149" s="12" t="s">
        <v>357</v>
      </c>
      <c r="AY149" s="12" t="s">
        <v>330</v>
      </c>
      <c r="AZ149" s="12"/>
      <c r="BA149" s="12"/>
      <c r="BB149" s="12"/>
      <c r="BC149" s="12"/>
      <c r="BD149" s="12" t="s">
        <v>2533</v>
      </c>
      <c r="BE149" s="12" t="s">
        <v>325</v>
      </c>
      <c r="BF149" s="12" t="s">
        <v>3724</v>
      </c>
      <c r="BG149" s="12" t="s">
        <v>333</v>
      </c>
      <c r="BH149" s="12" t="s">
        <v>334</v>
      </c>
      <c r="BI149" s="12" t="s">
        <v>362</v>
      </c>
      <c r="BJ149" s="12" t="s">
        <v>3888</v>
      </c>
      <c r="BK149" s="12" t="s">
        <v>3911</v>
      </c>
      <c r="BL149" s="105">
        <v>0</v>
      </c>
      <c r="BM149" s="12"/>
      <c r="BN149" s="12">
        <v>0</v>
      </c>
      <c r="BO149" s="105">
        <v>0</v>
      </c>
      <c r="BP149" s="12"/>
      <c r="BQ149" s="12">
        <v>0</v>
      </c>
      <c r="BR149" s="12">
        <v>0</v>
      </c>
      <c r="BS149" s="12"/>
      <c r="BT149" s="12">
        <v>0</v>
      </c>
      <c r="BU149" s="12">
        <v>0</v>
      </c>
      <c r="BV149" s="12"/>
      <c r="BW149" s="12">
        <v>0</v>
      </c>
      <c r="BX149" s="12">
        <v>0</v>
      </c>
      <c r="BY149" s="12"/>
      <c r="BZ149" s="12">
        <v>0</v>
      </c>
      <c r="CA149" s="12"/>
      <c r="CB149" s="12"/>
      <c r="CC149" s="12"/>
      <c r="CD149" s="78"/>
    </row>
    <row r="150" spans="1:82" s="116" customFormat="1" ht="13.9" customHeight="1" x14ac:dyDescent="0.2">
      <c r="A150" s="109">
        <v>463</v>
      </c>
      <c r="B150" s="109" t="s">
        <v>4186</v>
      </c>
      <c r="C150" s="115" t="s">
        <v>1390</v>
      </c>
      <c r="D150" s="109" t="s">
        <v>281</v>
      </c>
      <c r="E150" s="111" t="s">
        <v>6545</v>
      </c>
      <c r="F150" s="112">
        <v>45068</v>
      </c>
      <c r="G150" s="112">
        <v>45068</v>
      </c>
      <c r="H150" s="113">
        <f t="shared" si="12"/>
        <v>45158</v>
      </c>
      <c r="I150" s="113" t="s">
        <v>291</v>
      </c>
      <c r="J150" s="109" t="s">
        <v>4432</v>
      </c>
      <c r="K150" s="109" t="s">
        <v>4490</v>
      </c>
      <c r="L150" s="109" t="s">
        <v>1942</v>
      </c>
      <c r="M150" s="128" t="str">
        <f t="shared" si="13"/>
        <v>ARRIAGA PADRON ADOLFO</v>
      </c>
      <c r="N150" s="128" t="s">
        <v>6929</v>
      </c>
      <c r="O150" s="128" t="s">
        <v>4849</v>
      </c>
      <c r="P150" s="109" t="s">
        <v>1953</v>
      </c>
      <c r="Q150" s="112">
        <v>35468</v>
      </c>
      <c r="R150" s="125">
        <f t="shared" si="14"/>
        <v>7</v>
      </c>
      <c r="S150" s="125">
        <f t="shared" si="15"/>
        <v>2</v>
      </c>
      <c r="T150" s="125">
        <f t="shared" si="16"/>
        <v>1997</v>
      </c>
      <c r="U150" s="142">
        <f t="shared" ca="1" si="17"/>
        <v>29.695890410958903</v>
      </c>
      <c r="V150" s="114" t="s">
        <v>389</v>
      </c>
      <c r="W150" s="114" t="s">
        <v>2260</v>
      </c>
      <c r="X150" s="109" t="s">
        <v>1497</v>
      </c>
      <c r="Y150" s="120" t="s">
        <v>278</v>
      </c>
      <c r="Z150" s="109" t="s">
        <v>263</v>
      </c>
      <c r="AA150" s="109" t="s">
        <v>636</v>
      </c>
      <c r="AB150" s="109" t="s">
        <v>1397</v>
      </c>
      <c r="AC150" s="109" t="s">
        <v>313</v>
      </c>
      <c r="AD150" s="109" t="s">
        <v>314</v>
      </c>
      <c r="AE150" s="109">
        <v>90</v>
      </c>
      <c r="AF150" s="114" t="s">
        <v>375</v>
      </c>
      <c r="AG150" s="109" t="s">
        <v>291</v>
      </c>
      <c r="AH150" s="115" t="s">
        <v>1398</v>
      </c>
      <c r="AI150" s="109" t="s">
        <v>317</v>
      </c>
      <c r="AJ150" s="109" t="s">
        <v>318</v>
      </c>
      <c r="AK150" s="109" t="s">
        <v>2858</v>
      </c>
      <c r="AL150" s="115" t="s">
        <v>3164</v>
      </c>
      <c r="AM150" s="109" t="s">
        <v>2621</v>
      </c>
      <c r="AN150" s="109" t="s">
        <v>325</v>
      </c>
      <c r="AO150" s="109" t="s">
        <v>398</v>
      </c>
      <c r="AP150" s="109"/>
      <c r="AQ150" s="109" t="s">
        <v>3341</v>
      </c>
      <c r="AR150" s="109">
        <v>104</v>
      </c>
      <c r="AS150" s="109" t="s">
        <v>328</v>
      </c>
      <c r="AT150" s="109" t="s">
        <v>483</v>
      </c>
      <c r="AU150" s="109" t="s">
        <v>483</v>
      </c>
      <c r="AV150" s="109">
        <v>78216</v>
      </c>
      <c r="AW150" s="109" t="s">
        <v>357</v>
      </c>
      <c r="AX150" s="109" t="s">
        <v>357</v>
      </c>
      <c r="AY150" s="109" t="s">
        <v>330</v>
      </c>
      <c r="AZ150" s="109"/>
      <c r="BA150" s="109"/>
      <c r="BB150" s="109"/>
      <c r="BC150" s="109"/>
      <c r="BD150" s="109" t="s">
        <v>2621</v>
      </c>
      <c r="BE150" s="109" t="s">
        <v>325</v>
      </c>
      <c r="BF150" s="109" t="s">
        <v>3807</v>
      </c>
      <c r="BG150" s="109" t="s">
        <v>1406</v>
      </c>
      <c r="BH150" s="109" t="s">
        <v>334</v>
      </c>
      <c r="BI150" s="109" t="s">
        <v>362</v>
      </c>
      <c r="BJ150" s="109" t="s">
        <v>3888</v>
      </c>
      <c r="BK150" s="109" t="s">
        <v>3911</v>
      </c>
      <c r="BL150" s="111">
        <v>0</v>
      </c>
      <c r="BM150" s="109"/>
      <c r="BN150" s="109">
        <v>0</v>
      </c>
      <c r="BO150" s="111">
        <v>0</v>
      </c>
      <c r="BP150" s="109"/>
      <c r="BQ150" s="109">
        <v>0</v>
      </c>
      <c r="BR150" s="109">
        <v>0</v>
      </c>
      <c r="BS150" s="109"/>
      <c r="BT150" s="109">
        <v>0</v>
      </c>
      <c r="BU150" s="109">
        <v>0</v>
      </c>
      <c r="BV150" s="109"/>
      <c r="BW150" s="109">
        <v>0</v>
      </c>
      <c r="BX150" s="109">
        <v>0</v>
      </c>
      <c r="BY150" s="109"/>
      <c r="BZ150" s="109">
        <v>0</v>
      </c>
      <c r="CA150" s="109"/>
      <c r="CB150" s="109"/>
      <c r="CC150" s="109"/>
      <c r="CD150" s="110"/>
    </row>
    <row r="151" spans="1:82" ht="13.9" customHeight="1" x14ac:dyDescent="0.2">
      <c r="A151" s="12">
        <v>464</v>
      </c>
      <c r="B151" s="12" t="s">
        <v>4188</v>
      </c>
      <c r="C151" s="106" t="s">
        <v>1390</v>
      </c>
      <c r="D151" s="107" t="s">
        <v>281</v>
      </c>
      <c r="E151" s="99" t="s">
        <v>6546</v>
      </c>
      <c r="F151" s="100">
        <v>45068</v>
      </c>
      <c r="G151" s="100">
        <v>45068</v>
      </c>
      <c r="H151" s="101">
        <f t="shared" si="12"/>
        <v>45158</v>
      </c>
      <c r="I151" s="101" t="s">
        <v>291</v>
      </c>
      <c r="J151" s="12" t="s">
        <v>4339</v>
      </c>
      <c r="K151" s="12" t="s">
        <v>4487</v>
      </c>
      <c r="L151" s="12" t="s">
        <v>1943</v>
      </c>
      <c r="M151" s="102" t="str">
        <f t="shared" si="13"/>
        <v>BLANCO DOMINGUEZ EDUARDO IVAN</v>
      </c>
      <c r="N151" s="102" t="s">
        <v>6930</v>
      </c>
      <c r="O151" s="102" t="s">
        <v>4850</v>
      </c>
      <c r="P151" s="12" t="s">
        <v>1953</v>
      </c>
      <c r="Q151" s="100">
        <v>29640</v>
      </c>
      <c r="R151" s="77">
        <f t="shared" si="14"/>
        <v>23</v>
      </c>
      <c r="S151" s="77">
        <f t="shared" si="15"/>
        <v>2</v>
      </c>
      <c r="T151" s="77">
        <f t="shared" si="16"/>
        <v>1981</v>
      </c>
      <c r="U151" s="103">
        <f t="shared" ca="1" si="17"/>
        <v>45.663013698630138</v>
      </c>
      <c r="V151" s="13" t="s">
        <v>342</v>
      </c>
      <c r="W151" s="13" t="s">
        <v>2261</v>
      </c>
      <c r="X151" s="12" t="s">
        <v>1497</v>
      </c>
      <c r="Y151" s="108" t="s">
        <v>279</v>
      </c>
      <c r="Z151" s="12" t="s">
        <v>263</v>
      </c>
      <c r="AA151" s="12" t="s">
        <v>636</v>
      </c>
      <c r="AB151" s="12" t="s">
        <v>2302</v>
      </c>
      <c r="AC151" s="12" t="s">
        <v>313</v>
      </c>
      <c r="AD151" s="12" t="s">
        <v>314</v>
      </c>
      <c r="AE151" s="12">
        <v>90</v>
      </c>
      <c r="AF151" s="13" t="s">
        <v>375</v>
      </c>
      <c r="AG151" s="12" t="s">
        <v>291</v>
      </c>
      <c r="AH151" s="104" t="s">
        <v>1398</v>
      </c>
      <c r="AI151" s="12" t="s">
        <v>317</v>
      </c>
      <c r="AJ151" s="12" t="s">
        <v>318</v>
      </c>
      <c r="AK151" s="12" t="s">
        <v>2859</v>
      </c>
      <c r="AL151" s="104" t="s">
        <v>3165</v>
      </c>
      <c r="AM151" s="12" t="s">
        <v>2622</v>
      </c>
      <c r="AN151" s="12" t="s">
        <v>622</v>
      </c>
      <c r="AO151" s="12" t="s">
        <v>398</v>
      </c>
      <c r="AP151" s="12"/>
      <c r="AQ151" s="12" t="s">
        <v>3342</v>
      </c>
      <c r="AR151" s="12">
        <v>372</v>
      </c>
      <c r="AS151" s="12" t="s">
        <v>328</v>
      </c>
      <c r="AT151" s="12" t="s">
        <v>483</v>
      </c>
      <c r="AU151" s="12" t="s">
        <v>483</v>
      </c>
      <c r="AV151" s="12">
        <v>78130</v>
      </c>
      <c r="AW151" s="12" t="s">
        <v>357</v>
      </c>
      <c r="AX151" s="12" t="s">
        <v>329</v>
      </c>
      <c r="AY151" s="12" t="s">
        <v>330</v>
      </c>
      <c r="AZ151" s="12"/>
      <c r="BA151" s="12"/>
      <c r="BB151" s="12"/>
      <c r="BC151" s="12"/>
      <c r="BD151" s="12" t="s">
        <v>2622</v>
      </c>
      <c r="BE151" s="12" t="s">
        <v>1003</v>
      </c>
      <c r="BF151" s="12" t="s">
        <v>3808</v>
      </c>
      <c r="BG151" s="12" t="s">
        <v>333</v>
      </c>
      <c r="BH151" s="12" t="s">
        <v>334</v>
      </c>
      <c r="BI151" s="12">
        <v>3</v>
      </c>
      <c r="BJ151" s="12" t="s">
        <v>3909</v>
      </c>
      <c r="BK151" s="12" t="s">
        <v>3911</v>
      </c>
      <c r="BL151" s="105">
        <v>0</v>
      </c>
      <c r="BM151" s="12"/>
      <c r="BN151" s="12">
        <v>0</v>
      </c>
      <c r="BO151" s="105">
        <v>0</v>
      </c>
      <c r="BP151" s="12"/>
      <c r="BQ151" s="12">
        <v>0</v>
      </c>
      <c r="BR151" s="12">
        <v>0</v>
      </c>
      <c r="BS151" s="12"/>
      <c r="BT151" s="12">
        <v>0</v>
      </c>
      <c r="BU151" s="12">
        <v>0</v>
      </c>
      <c r="BV151" s="12"/>
      <c r="BW151" s="12">
        <v>0</v>
      </c>
      <c r="BX151" s="12">
        <v>0</v>
      </c>
      <c r="BY151" s="12"/>
      <c r="BZ151" s="12">
        <v>0</v>
      </c>
      <c r="CA151" s="12"/>
      <c r="CB151" s="12"/>
      <c r="CC151" s="12"/>
      <c r="CD151" s="78"/>
    </row>
    <row r="152" spans="1:82" ht="13.9" customHeight="1" x14ac:dyDescent="0.2">
      <c r="A152" s="107">
        <v>465</v>
      </c>
      <c r="B152" s="107" t="s">
        <v>7252</v>
      </c>
      <c r="C152" s="78" t="s">
        <v>363</v>
      </c>
      <c r="D152" s="107" t="s">
        <v>7925</v>
      </c>
      <c r="E152" s="99" t="s">
        <v>6547</v>
      </c>
      <c r="F152" s="100">
        <v>45075</v>
      </c>
      <c r="G152" s="117">
        <v>45075</v>
      </c>
      <c r="H152" s="101">
        <f t="shared" si="12"/>
        <v>45165</v>
      </c>
      <c r="I152" s="101" t="s">
        <v>290</v>
      </c>
      <c r="J152" s="12" t="s">
        <v>1280</v>
      </c>
      <c r="K152" s="12" t="s">
        <v>4459</v>
      </c>
      <c r="L152" s="12" t="s">
        <v>1743</v>
      </c>
      <c r="M152" s="153" t="str">
        <f t="shared" si="13"/>
        <v>RAMIREZ PECINA JOSE ALBERTO</v>
      </c>
      <c r="N152" s="102" t="s">
        <v>6931</v>
      </c>
      <c r="O152" s="102" t="s">
        <v>4602</v>
      </c>
      <c r="P152" s="12" t="s">
        <v>1953</v>
      </c>
      <c r="Q152" s="100">
        <v>31869</v>
      </c>
      <c r="R152" s="77">
        <f t="shared" si="14"/>
        <v>2</v>
      </c>
      <c r="S152" s="77">
        <f t="shared" si="15"/>
        <v>4</v>
      </c>
      <c r="T152" s="77">
        <f t="shared" si="16"/>
        <v>1987</v>
      </c>
      <c r="U152" s="103">
        <f t="shared" ca="1" si="17"/>
        <v>39.556164383561644</v>
      </c>
      <c r="V152" s="13" t="s">
        <v>342</v>
      </c>
      <c r="W152" s="13" t="s">
        <v>2013</v>
      </c>
      <c r="X152" s="12" t="s">
        <v>1497</v>
      </c>
      <c r="Y152" s="12" t="s">
        <v>87</v>
      </c>
      <c r="Z152" s="12" t="s">
        <v>88</v>
      </c>
      <c r="AA152" s="12" t="s">
        <v>392</v>
      </c>
      <c r="AB152" s="12" t="s">
        <v>374</v>
      </c>
      <c r="AC152" s="12" t="s">
        <v>313</v>
      </c>
      <c r="AD152" s="12" t="s">
        <v>314</v>
      </c>
      <c r="AE152" s="12">
        <v>90</v>
      </c>
      <c r="AF152" s="13" t="s">
        <v>375</v>
      </c>
      <c r="AG152" s="12" t="s">
        <v>290</v>
      </c>
      <c r="AH152" s="104" t="s">
        <v>473</v>
      </c>
      <c r="AI152" s="12" t="s">
        <v>317</v>
      </c>
      <c r="AJ152" s="12" t="s">
        <v>318</v>
      </c>
      <c r="AK152" s="12" t="s">
        <v>2668</v>
      </c>
      <c r="AL152" s="104" t="s">
        <v>2920</v>
      </c>
      <c r="AM152" s="12" t="s">
        <v>2401</v>
      </c>
      <c r="AN152" s="12" t="s">
        <v>381</v>
      </c>
      <c r="AO152" s="12" t="s">
        <v>398</v>
      </c>
      <c r="AP152" s="12"/>
      <c r="AQ152" s="12" t="s">
        <v>3220</v>
      </c>
      <c r="AR152" s="12">
        <v>444</v>
      </c>
      <c r="AS152" s="12" t="s">
        <v>328</v>
      </c>
      <c r="AT152" s="12" t="s">
        <v>133</v>
      </c>
      <c r="AU152" s="12" t="s">
        <v>912</v>
      </c>
      <c r="AV152" s="12">
        <v>64000</v>
      </c>
      <c r="AW152" s="12" t="s">
        <v>357</v>
      </c>
      <c r="AX152" s="12" t="s">
        <v>357</v>
      </c>
      <c r="AY152" s="12" t="s">
        <v>330</v>
      </c>
      <c r="AZ152" s="12"/>
      <c r="BA152" s="12"/>
      <c r="BB152" s="12"/>
      <c r="BC152" s="12"/>
      <c r="BD152" s="12" t="s">
        <v>2401</v>
      </c>
      <c r="BE152" s="12" t="s">
        <v>381</v>
      </c>
      <c r="BF152" s="12" t="s">
        <v>3616</v>
      </c>
      <c r="BG152" s="12" t="s">
        <v>333</v>
      </c>
      <c r="BH152" s="12" t="s">
        <v>334</v>
      </c>
      <c r="BI152" s="12">
        <v>2</v>
      </c>
      <c r="BJ152" s="12" t="s">
        <v>3844</v>
      </c>
      <c r="BK152" s="12" t="s">
        <v>3911</v>
      </c>
      <c r="BL152" s="105">
        <v>16</v>
      </c>
      <c r="BM152" s="12"/>
      <c r="BN152" s="12" t="s">
        <v>1953</v>
      </c>
      <c r="BO152" s="105">
        <v>11</v>
      </c>
      <c r="BP152" s="12"/>
      <c r="BQ152" s="12">
        <v>0</v>
      </c>
      <c r="BR152" s="12">
        <v>0</v>
      </c>
      <c r="BS152" s="12"/>
      <c r="BT152" s="12">
        <v>0</v>
      </c>
      <c r="BU152" s="12">
        <v>0</v>
      </c>
      <c r="BV152" s="12"/>
      <c r="BW152" s="12">
        <v>0</v>
      </c>
      <c r="BX152" s="12">
        <v>0</v>
      </c>
      <c r="BY152" s="12"/>
      <c r="BZ152" s="12">
        <v>0</v>
      </c>
      <c r="CA152" s="12"/>
      <c r="CB152" s="12"/>
      <c r="CC152" s="12"/>
      <c r="CD152" s="78"/>
    </row>
    <row r="153" spans="1:82" s="116" customFormat="1" ht="13.9" customHeight="1" x14ac:dyDescent="0.2">
      <c r="A153" s="12">
        <v>201</v>
      </c>
      <c r="B153" s="12" t="s">
        <v>4229</v>
      </c>
      <c r="C153" s="104" t="s">
        <v>299</v>
      </c>
      <c r="D153" s="99" t="s">
        <v>80</v>
      </c>
      <c r="E153" s="99" t="s">
        <v>1667</v>
      </c>
      <c r="F153" s="100">
        <v>45078</v>
      </c>
      <c r="G153" s="100">
        <v>45078</v>
      </c>
      <c r="H153" s="101">
        <f t="shared" si="12"/>
        <v>45168</v>
      </c>
      <c r="I153" s="101" t="s">
        <v>291</v>
      </c>
      <c r="J153" s="12" t="s">
        <v>1420</v>
      </c>
      <c r="K153" s="12" t="s">
        <v>366</v>
      </c>
      <c r="L153" s="12" t="s">
        <v>1851</v>
      </c>
      <c r="M153" s="102" t="str">
        <f t="shared" si="13"/>
        <v>BRAVO HERNANDEZ JAVIER EDUARDO</v>
      </c>
      <c r="N153" s="102" t="s">
        <v>6932</v>
      </c>
      <c r="O153" s="102" t="s">
        <v>4732</v>
      </c>
      <c r="P153" s="12" t="s">
        <v>1953</v>
      </c>
      <c r="Q153" s="100">
        <v>33701</v>
      </c>
      <c r="R153" s="77">
        <f t="shared" si="14"/>
        <v>7</v>
      </c>
      <c r="S153" s="77">
        <f t="shared" si="15"/>
        <v>4</v>
      </c>
      <c r="T153" s="77">
        <f t="shared" si="16"/>
        <v>1992</v>
      </c>
      <c r="U153" s="103">
        <f t="shared" ca="1" si="17"/>
        <v>34.536986301369865</v>
      </c>
      <c r="V153" s="13" t="s">
        <v>342</v>
      </c>
      <c r="W153" s="13" t="s">
        <v>2143</v>
      </c>
      <c r="X153" s="12" t="s">
        <v>1497</v>
      </c>
      <c r="Y153" s="12" t="s">
        <v>184</v>
      </c>
      <c r="Z153" s="12" t="s">
        <v>183</v>
      </c>
      <c r="AA153" s="12" t="s">
        <v>311</v>
      </c>
      <c r="AB153" s="12">
        <v>0</v>
      </c>
      <c r="AC153" s="12" t="s">
        <v>313</v>
      </c>
      <c r="AD153" s="12" t="s">
        <v>314</v>
      </c>
      <c r="AE153" s="12">
        <v>90</v>
      </c>
      <c r="AF153" s="13" t="s">
        <v>315</v>
      </c>
      <c r="AG153" s="12" t="s">
        <v>290</v>
      </c>
      <c r="AH153" s="104" t="s">
        <v>316</v>
      </c>
      <c r="AI153" s="12" t="s">
        <v>317</v>
      </c>
      <c r="AJ153" s="12" t="s">
        <v>318</v>
      </c>
      <c r="AK153" s="12" t="s">
        <v>2757</v>
      </c>
      <c r="AL153" s="104" t="s">
        <v>3049</v>
      </c>
      <c r="AM153" s="12" t="s">
        <v>2520</v>
      </c>
      <c r="AN153" s="12" t="s">
        <v>381</v>
      </c>
      <c r="AO153" s="12" t="s">
        <v>398</v>
      </c>
      <c r="AP153" s="12"/>
      <c r="AQ153" s="12">
        <v>0</v>
      </c>
      <c r="AR153" s="12">
        <v>0</v>
      </c>
      <c r="AS153" s="12">
        <v>0</v>
      </c>
      <c r="AT153" s="12">
        <v>0</v>
      </c>
      <c r="AU153" s="12">
        <v>0</v>
      </c>
      <c r="AV153" s="12">
        <v>0</v>
      </c>
      <c r="AW153" s="12" t="s">
        <v>357</v>
      </c>
      <c r="AX153" s="12" t="s">
        <v>357</v>
      </c>
      <c r="AY153" s="12" t="s">
        <v>330</v>
      </c>
      <c r="AZ153" s="12" t="s">
        <v>3426</v>
      </c>
      <c r="BA153" s="12" t="s">
        <v>3441</v>
      </c>
      <c r="BB153" s="100">
        <v>45078</v>
      </c>
      <c r="BC153" s="12"/>
      <c r="BD153" s="12" t="s">
        <v>3525</v>
      </c>
      <c r="BE153" s="12" t="s">
        <v>325</v>
      </c>
      <c r="BF153" s="12" t="s">
        <v>3711</v>
      </c>
      <c r="BG153" s="12" t="s">
        <v>333</v>
      </c>
      <c r="BH153" s="12" t="s">
        <v>334</v>
      </c>
      <c r="BI153" s="12">
        <v>2</v>
      </c>
      <c r="BJ153" s="12" t="s">
        <v>3881</v>
      </c>
      <c r="BK153" s="12" t="s">
        <v>3911</v>
      </c>
      <c r="BL153" s="105" t="s">
        <v>3923</v>
      </c>
      <c r="BM153" s="12"/>
      <c r="BN153" s="12" t="s">
        <v>3911</v>
      </c>
      <c r="BO153" s="105" t="s">
        <v>3918</v>
      </c>
      <c r="BP153" s="12"/>
      <c r="BQ153" s="12">
        <v>0</v>
      </c>
      <c r="BR153" s="12">
        <v>0</v>
      </c>
      <c r="BS153" s="12"/>
      <c r="BT153" s="12">
        <v>0</v>
      </c>
      <c r="BU153" s="12">
        <v>0</v>
      </c>
      <c r="BV153" s="12"/>
      <c r="BW153" s="12">
        <v>0</v>
      </c>
      <c r="BX153" s="12">
        <v>0</v>
      </c>
      <c r="BY153" s="12"/>
      <c r="BZ153" s="12">
        <v>0</v>
      </c>
      <c r="CA153" s="12"/>
      <c r="CB153" s="12"/>
      <c r="CC153" s="12"/>
      <c r="CD153" s="110"/>
    </row>
    <row r="154" spans="1:82" ht="13.9" customHeight="1" x14ac:dyDescent="0.2">
      <c r="A154" s="12">
        <v>470</v>
      </c>
      <c r="B154" s="12" t="s">
        <v>4146</v>
      </c>
      <c r="C154" s="78" t="s">
        <v>335</v>
      </c>
      <c r="D154" s="107" t="s">
        <v>228</v>
      </c>
      <c r="E154" s="99" t="s">
        <v>6548</v>
      </c>
      <c r="F154" s="100">
        <v>45078</v>
      </c>
      <c r="G154" s="100">
        <v>45078</v>
      </c>
      <c r="H154" s="101">
        <f t="shared" si="12"/>
        <v>45168</v>
      </c>
      <c r="I154" s="101" t="s">
        <v>291</v>
      </c>
      <c r="J154" s="12" t="s">
        <v>4410</v>
      </c>
      <c r="K154" s="12" t="s">
        <v>4364</v>
      </c>
      <c r="L154" s="12" t="s">
        <v>1900</v>
      </c>
      <c r="M154" s="102" t="str">
        <f t="shared" si="13"/>
        <v>BRIONES MEDINA TANIA PATRICIA</v>
      </c>
      <c r="N154" s="102" t="s">
        <v>6933</v>
      </c>
      <c r="O154" s="102" t="s">
        <v>4790</v>
      </c>
      <c r="P154" s="12" t="s">
        <v>1953</v>
      </c>
      <c r="Q154" s="100">
        <v>33314</v>
      </c>
      <c r="R154" s="77">
        <f t="shared" si="14"/>
        <v>17</v>
      </c>
      <c r="S154" s="77">
        <f t="shared" si="15"/>
        <v>3</v>
      </c>
      <c r="T154" s="77">
        <f t="shared" si="16"/>
        <v>1991</v>
      </c>
      <c r="U154" s="103">
        <f t="shared" ca="1" si="17"/>
        <v>35.597260273972601</v>
      </c>
      <c r="V154" s="13" t="s">
        <v>1450</v>
      </c>
      <c r="W154" s="13" t="s">
        <v>2199</v>
      </c>
      <c r="X154" s="12" t="s">
        <v>1497</v>
      </c>
      <c r="Y154" s="108" t="s">
        <v>216</v>
      </c>
      <c r="Z154" s="12" t="s">
        <v>230</v>
      </c>
      <c r="AA154" s="12" t="s">
        <v>857</v>
      </c>
      <c r="AB154" s="12" t="s">
        <v>948</v>
      </c>
      <c r="AC154" s="12" t="s">
        <v>313</v>
      </c>
      <c r="AD154" s="12" t="s">
        <v>314</v>
      </c>
      <c r="AE154" s="12">
        <v>90</v>
      </c>
      <c r="AF154" s="13" t="s">
        <v>949</v>
      </c>
      <c r="AG154" s="12" t="s">
        <v>291</v>
      </c>
      <c r="AH154" s="104" t="s">
        <v>950</v>
      </c>
      <c r="AI154" s="12" t="s">
        <v>317</v>
      </c>
      <c r="AJ154" s="12" t="s">
        <v>318</v>
      </c>
      <c r="AK154" s="12" t="s">
        <v>2806</v>
      </c>
      <c r="AL154" s="104" t="s">
        <v>3103</v>
      </c>
      <c r="AM154" s="12" t="s">
        <v>2572</v>
      </c>
      <c r="AN154" s="12" t="s">
        <v>3178</v>
      </c>
      <c r="AO154" s="12" t="s">
        <v>398</v>
      </c>
      <c r="AP154" s="12"/>
      <c r="AQ154" s="12" t="s">
        <v>3314</v>
      </c>
      <c r="AR154" s="12">
        <v>206</v>
      </c>
      <c r="AS154" s="12" t="s">
        <v>328</v>
      </c>
      <c r="AT154" s="12" t="s">
        <v>145</v>
      </c>
      <c r="AU154" s="12" t="s">
        <v>483</v>
      </c>
      <c r="AV154" s="12">
        <v>79613</v>
      </c>
      <c r="AW154" s="12" t="s">
        <v>357</v>
      </c>
      <c r="AX154" s="12" t="s">
        <v>357</v>
      </c>
      <c r="AY154" s="12" t="s">
        <v>330</v>
      </c>
      <c r="AZ154" s="12"/>
      <c r="BA154" s="12"/>
      <c r="BB154" s="12"/>
      <c r="BC154" s="12"/>
      <c r="BD154" s="12" t="s">
        <v>2572</v>
      </c>
      <c r="BE154" s="12" t="s">
        <v>3178</v>
      </c>
      <c r="BF154" s="12" t="s">
        <v>3759</v>
      </c>
      <c r="BG154" s="12" t="s">
        <v>488</v>
      </c>
      <c r="BH154" s="12" t="s">
        <v>334</v>
      </c>
      <c r="BI154" s="12">
        <v>2</v>
      </c>
      <c r="BJ154" s="12" t="s">
        <v>3896</v>
      </c>
      <c r="BK154" s="12" t="s">
        <v>3911</v>
      </c>
      <c r="BL154" s="105">
        <v>14</v>
      </c>
      <c r="BM154" s="12"/>
      <c r="BN154" s="12" t="s">
        <v>1953</v>
      </c>
      <c r="BO154" s="105">
        <v>9</v>
      </c>
      <c r="BP154" s="12"/>
      <c r="BQ154" s="12">
        <v>0</v>
      </c>
      <c r="BR154" s="12">
        <v>0</v>
      </c>
      <c r="BS154" s="12"/>
      <c r="BT154" s="12">
        <v>0</v>
      </c>
      <c r="BU154" s="12">
        <v>0</v>
      </c>
      <c r="BV154" s="12"/>
      <c r="BW154" s="12">
        <v>0</v>
      </c>
      <c r="BX154" s="12">
        <v>0</v>
      </c>
      <c r="BY154" s="12"/>
      <c r="BZ154" s="12">
        <v>0</v>
      </c>
      <c r="CA154" s="12"/>
      <c r="CB154" s="12"/>
      <c r="CC154" s="12"/>
      <c r="CD154" s="78"/>
    </row>
    <row r="155" spans="1:82" ht="13.9" customHeight="1" x14ac:dyDescent="0.2">
      <c r="A155" s="12">
        <v>475</v>
      </c>
      <c r="B155" s="12" t="s">
        <v>4090</v>
      </c>
      <c r="C155" s="78" t="s">
        <v>335</v>
      </c>
      <c r="D155" s="107" t="s">
        <v>228</v>
      </c>
      <c r="E155" s="99" t="s">
        <v>6549</v>
      </c>
      <c r="F155" s="100">
        <v>45090</v>
      </c>
      <c r="G155" s="100">
        <v>45090</v>
      </c>
      <c r="H155" s="101">
        <f t="shared" si="12"/>
        <v>45180</v>
      </c>
      <c r="I155" s="101" t="s">
        <v>290</v>
      </c>
      <c r="J155" s="12" t="s">
        <v>4368</v>
      </c>
      <c r="K155" s="12" t="s">
        <v>4487</v>
      </c>
      <c r="L155" s="12" t="s">
        <v>1722</v>
      </c>
      <c r="M155" s="102" t="str">
        <f t="shared" si="13"/>
        <v>TURRUBIARTES DOMINGUEZ SERGIO</v>
      </c>
      <c r="N155" s="102" t="s">
        <v>6934</v>
      </c>
      <c r="O155" s="102" t="s">
        <v>4684</v>
      </c>
      <c r="P155" s="12" t="s">
        <v>1953</v>
      </c>
      <c r="Q155" s="100">
        <v>34413</v>
      </c>
      <c r="R155" s="77">
        <f t="shared" si="14"/>
        <v>20</v>
      </c>
      <c r="S155" s="77">
        <f t="shared" si="15"/>
        <v>3</v>
      </c>
      <c r="T155" s="77">
        <f t="shared" si="16"/>
        <v>1994</v>
      </c>
      <c r="U155" s="103">
        <f t="shared" ca="1" si="17"/>
        <v>32.586301369863016</v>
      </c>
      <c r="V155" s="13" t="s">
        <v>342</v>
      </c>
      <c r="W155" s="13" t="s">
        <v>2095</v>
      </c>
      <c r="X155" s="12" t="s">
        <v>1497</v>
      </c>
      <c r="Y155" s="121" t="s">
        <v>117</v>
      </c>
      <c r="Z155" s="12" t="s">
        <v>149</v>
      </c>
      <c r="AA155" s="12" t="s">
        <v>347</v>
      </c>
      <c r="AB155" s="12" t="s">
        <v>2293</v>
      </c>
      <c r="AC155" s="12" t="s">
        <v>313</v>
      </c>
      <c r="AD155" s="12" t="s">
        <v>314</v>
      </c>
      <c r="AE155" s="12">
        <v>90</v>
      </c>
      <c r="AF155" s="13" t="s">
        <v>949</v>
      </c>
      <c r="AG155" s="12" t="s">
        <v>290</v>
      </c>
      <c r="AH155" s="104" t="s">
        <v>950</v>
      </c>
      <c r="AI155" s="12" t="s">
        <v>317</v>
      </c>
      <c r="AJ155" s="12" t="s">
        <v>318</v>
      </c>
      <c r="AK155" s="12" t="s">
        <v>2725</v>
      </c>
      <c r="AL155" s="104" t="s">
        <v>3001</v>
      </c>
      <c r="AM155" s="12" t="s">
        <v>2477</v>
      </c>
      <c r="AN155" s="12" t="s">
        <v>381</v>
      </c>
      <c r="AO155" s="12" t="s">
        <v>398</v>
      </c>
      <c r="AP155" s="12"/>
      <c r="AQ155" s="12" t="s">
        <v>3273</v>
      </c>
      <c r="AR155" s="12">
        <v>217</v>
      </c>
      <c r="AS155" s="12">
        <v>0</v>
      </c>
      <c r="AT155" s="12" t="s">
        <v>145</v>
      </c>
      <c r="AU155" s="12" t="s">
        <v>483</v>
      </c>
      <c r="AV155" s="12">
        <v>79617</v>
      </c>
      <c r="AW155" s="12" t="s">
        <v>357</v>
      </c>
      <c r="AX155" s="12" t="s">
        <v>357</v>
      </c>
      <c r="AY155" s="12" t="s">
        <v>330</v>
      </c>
      <c r="AZ155" s="12"/>
      <c r="BA155" s="12"/>
      <c r="BB155" s="12"/>
      <c r="BC155" s="12"/>
      <c r="BD155" s="12" t="s">
        <v>2477</v>
      </c>
      <c r="BE155" s="12" t="s">
        <v>381</v>
      </c>
      <c r="BF155" s="12" t="s">
        <v>2725</v>
      </c>
      <c r="BG155" s="12" t="s">
        <v>685</v>
      </c>
      <c r="BH155" s="12" t="s">
        <v>334</v>
      </c>
      <c r="BI155" s="12">
        <v>1</v>
      </c>
      <c r="BJ155" s="12" t="s">
        <v>3867</v>
      </c>
      <c r="BK155" s="12" t="s">
        <v>3911</v>
      </c>
      <c r="BL155" s="105">
        <v>4</v>
      </c>
      <c r="BM155" s="12"/>
      <c r="BN155" s="12">
        <v>0</v>
      </c>
      <c r="BO155" s="105">
        <v>0</v>
      </c>
      <c r="BP155" s="12"/>
      <c r="BQ155" s="12">
        <v>0</v>
      </c>
      <c r="BR155" s="12">
        <v>0</v>
      </c>
      <c r="BS155" s="12"/>
      <c r="BT155" s="12">
        <v>0</v>
      </c>
      <c r="BU155" s="12">
        <v>0</v>
      </c>
      <c r="BV155" s="12"/>
      <c r="BW155" s="12">
        <v>0</v>
      </c>
      <c r="BX155" s="12">
        <v>0</v>
      </c>
      <c r="BY155" s="12"/>
      <c r="BZ155" s="12">
        <v>0</v>
      </c>
      <c r="CA155" s="12"/>
      <c r="CB155" s="12"/>
      <c r="CC155" s="12"/>
      <c r="CD155" s="78"/>
    </row>
    <row r="156" spans="1:82" ht="13.9" customHeight="1" x14ac:dyDescent="0.2">
      <c r="A156" s="108" t="s">
        <v>4263</v>
      </c>
      <c r="B156" s="108" t="s">
        <v>4034</v>
      </c>
      <c r="C156" s="78" t="s">
        <v>363</v>
      </c>
      <c r="D156" s="12" t="s">
        <v>7242</v>
      </c>
      <c r="E156" s="99" t="s">
        <v>6550</v>
      </c>
      <c r="F156" s="100">
        <v>45090</v>
      </c>
      <c r="G156" s="117">
        <v>45090</v>
      </c>
      <c r="H156" s="101">
        <f t="shared" si="12"/>
        <v>45180</v>
      </c>
      <c r="I156" s="101" t="s">
        <v>290</v>
      </c>
      <c r="J156" s="12" t="s">
        <v>4426</v>
      </c>
      <c r="K156" s="12" t="s">
        <v>4316</v>
      </c>
      <c r="L156" s="12" t="s">
        <v>4264</v>
      </c>
      <c r="M156" s="102" t="str">
        <f t="shared" si="13"/>
        <v>MIRELES VEGA LUIS ROBERTO</v>
      </c>
      <c r="N156" s="102" t="s">
        <v>6935</v>
      </c>
      <c r="O156" s="102" t="s">
        <v>7231</v>
      </c>
      <c r="P156" s="12" t="s">
        <v>1953</v>
      </c>
      <c r="Q156" s="100">
        <v>33012</v>
      </c>
      <c r="R156" s="77">
        <f t="shared" si="14"/>
        <v>19</v>
      </c>
      <c r="S156" s="77">
        <f t="shared" si="15"/>
        <v>5</v>
      </c>
      <c r="T156" s="77">
        <f t="shared" si="16"/>
        <v>1990</v>
      </c>
      <c r="U156" s="103">
        <f t="shared" ca="1" si="17"/>
        <v>36.424657534246577</v>
      </c>
      <c r="V156" s="13" t="s">
        <v>389</v>
      </c>
      <c r="W156" s="13" t="s">
        <v>4265</v>
      </c>
      <c r="X156" s="12" t="s">
        <v>1497</v>
      </c>
      <c r="Y156" s="12" t="s">
        <v>87</v>
      </c>
      <c r="Z156" s="12" t="s">
        <v>88</v>
      </c>
      <c r="AA156" s="12" t="s">
        <v>392</v>
      </c>
      <c r="AB156" s="12" t="s">
        <v>374</v>
      </c>
      <c r="AC156" s="12" t="s">
        <v>313</v>
      </c>
      <c r="AD156" s="12" t="s">
        <v>314</v>
      </c>
      <c r="AE156" s="12">
        <v>90</v>
      </c>
      <c r="AF156" s="52" t="s">
        <v>375</v>
      </c>
      <c r="AG156" s="12" t="s">
        <v>290</v>
      </c>
      <c r="AH156" s="104" t="s">
        <v>473</v>
      </c>
      <c r="AI156" s="12" t="s">
        <v>317</v>
      </c>
      <c r="AJ156" s="12" t="s">
        <v>318</v>
      </c>
      <c r="AK156" s="12">
        <v>4444501364</v>
      </c>
      <c r="AL156" s="104" t="s">
        <v>4266</v>
      </c>
      <c r="AM156" s="12" t="s">
        <v>4267</v>
      </c>
      <c r="AN156" s="12" t="s">
        <v>325</v>
      </c>
      <c r="AO156" s="12" t="s">
        <v>327</v>
      </c>
      <c r="AP156" s="12" t="s">
        <v>398</v>
      </c>
      <c r="AQ156" s="12" t="s">
        <v>4268</v>
      </c>
      <c r="AR156" s="12">
        <v>221</v>
      </c>
      <c r="AS156" s="12" t="s">
        <v>328</v>
      </c>
      <c r="AT156" s="12" t="s">
        <v>4269</v>
      </c>
      <c r="AU156" s="12" t="s">
        <v>483</v>
      </c>
      <c r="AV156" s="12">
        <v>78340</v>
      </c>
      <c r="AW156" s="20" t="s">
        <v>329</v>
      </c>
      <c r="AX156" s="19" t="s">
        <v>357</v>
      </c>
      <c r="AY156" s="20" t="s">
        <v>330</v>
      </c>
      <c r="AZ156" s="12"/>
      <c r="BA156" s="12"/>
      <c r="BB156" s="12"/>
      <c r="BC156" s="12"/>
      <c r="BD156" s="12" t="s">
        <v>4267</v>
      </c>
      <c r="BE156" s="12" t="s">
        <v>325</v>
      </c>
      <c r="BF156" s="12" t="s">
        <v>4270</v>
      </c>
      <c r="BG156" s="12" t="s">
        <v>362</v>
      </c>
      <c r="BH156" s="12" t="s">
        <v>334</v>
      </c>
      <c r="BI156" s="12">
        <v>3</v>
      </c>
      <c r="BJ156" s="12" t="s">
        <v>4271</v>
      </c>
      <c r="BK156" s="12" t="s">
        <v>3911</v>
      </c>
      <c r="BL156" s="105">
        <v>14</v>
      </c>
      <c r="BM156" s="12"/>
      <c r="BN156" s="12" t="s">
        <v>3911</v>
      </c>
      <c r="BO156" s="105">
        <v>10</v>
      </c>
      <c r="BP156" s="12"/>
      <c r="BQ156" s="12" t="s">
        <v>1953</v>
      </c>
      <c r="BR156" s="12">
        <v>2</v>
      </c>
      <c r="BS156" s="12"/>
      <c r="BT156" s="12"/>
      <c r="BU156" s="12"/>
      <c r="BV156" s="12"/>
      <c r="BW156" s="12"/>
      <c r="BX156" s="12"/>
      <c r="BY156" s="12"/>
      <c r="BZ156" s="12"/>
      <c r="CA156" s="12"/>
      <c r="CB156" s="12"/>
      <c r="CC156" s="12"/>
      <c r="CD156" s="78"/>
    </row>
    <row r="157" spans="1:82" s="116" customFormat="1" ht="13.9" customHeight="1" x14ac:dyDescent="0.2">
      <c r="A157" s="109">
        <v>476</v>
      </c>
      <c r="B157" s="109" t="s">
        <v>4054</v>
      </c>
      <c r="C157" s="110" t="s">
        <v>335</v>
      </c>
      <c r="D157" s="111" t="s">
        <v>116</v>
      </c>
      <c r="E157" s="111" t="s">
        <v>6551</v>
      </c>
      <c r="F157" s="112">
        <v>45096</v>
      </c>
      <c r="G157" s="112">
        <v>45096</v>
      </c>
      <c r="H157" s="113">
        <f t="shared" si="12"/>
        <v>45186</v>
      </c>
      <c r="I157" s="113" t="s">
        <v>290</v>
      </c>
      <c r="J157" s="109" t="s">
        <v>336</v>
      </c>
      <c r="K157" s="109" t="s">
        <v>4475</v>
      </c>
      <c r="L157" s="109" t="s">
        <v>1776</v>
      </c>
      <c r="M157" s="128" t="str">
        <f t="shared" si="13"/>
        <v>VARELA VILLA CARLOS ALEJANDRO</v>
      </c>
      <c r="N157" s="128" t="s">
        <v>6936</v>
      </c>
      <c r="O157" s="128" t="s">
        <v>4641</v>
      </c>
      <c r="P157" s="109" t="s">
        <v>1953</v>
      </c>
      <c r="Q157" s="112">
        <v>36234</v>
      </c>
      <c r="R157" s="125">
        <f t="shared" si="14"/>
        <v>15</v>
      </c>
      <c r="S157" s="125">
        <f t="shared" si="15"/>
        <v>3</v>
      </c>
      <c r="T157" s="125">
        <f t="shared" si="16"/>
        <v>1999</v>
      </c>
      <c r="U157" s="142">
        <f t="shared" ca="1" si="17"/>
        <v>27.597260273972601</v>
      </c>
      <c r="V157" s="114" t="s">
        <v>452</v>
      </c>
      <c r="W157" s="114" t="s">
        <v>2053</v>
      </c>
      <c r="X157" s="109" t="s">
        <v>1497</v>
      </c>
      <c r="Y157" s="109" t="s">
        <v>125</v>
      </c>
      <c r="Z157" s="109" t="s">
        <v>118</v>
      </c>
      <c r="AA157" s="109" t="s">
        <v>347</v>
      </c>
      <c r="AB157" s="109">
        <v>0</v>
      </c>
      <c r="AC157" s="109" t="s">
        <v>313</v>
      </c>
      <c r="AD157" s="109" t="s">
        <v>314</v>
      </c>
      <c r="AE157" s="109">
        <v>90</v>
      </c>
      <c r="AF157" s="114" t="s">
        <v>350</v>
      </c>
      <c r="AG157" s="109" t="s">
        <v>290</v>
      </c>
      <c r="AH157" s="115" t="s">
        <v>351</v>
      </c>
      <c r="AI157" s="109" t="s">
        <v>317</v>
      </c>
      <c r="AJ157" s="109" t="s">
        <v>318</v>
      </c>
      <c r="AK157" s="109" t="s">
        <v>2699</v>
      </c>
      <c r="AL157" s="115" t="s">
        <v>2959</v>
      </c>
      <c r="AM157" s="109" t="s">
        <v>2435</v>
      </c>
      <c r="AN157" s="109" t="s">
        <v>560</v>
      </c>
      <c r="AO157" s="109" t="s">
        <v>327</v>
      </c>
      <c r="AP157" s="109"/>
      <c r="AQ157" s="109" t="s">
        <v>3246</v>
      </c>
      <c r="AR157" s="109">
        <v>289</v>
      </c>
      <c r="AS157" s="109" t="s">
        <v>3372</v>
      </c>
      <c r="AT157" s="109" t="s">
        <v>3384</v>
      </c>
      <c r="AU157" s="109" t="s">
        <v>583</v>
      </c>
      <c r="AV157" s="109">
        <v>45300</v>
      </c>
      <c r="AW157" s="109" t="s">
        <v>357</v>
      </c>
      <c r="AX157" s="109" t="s">
        <v>329</v>
      </c>
      <c r="AY157" s="109" t="s">
        <v>330</v>
      </c>
      <c r="AZ157" s="109" t="s">
        <v>3422</v>
      </c>
      <c r="BA157" s="109" t="s">
        <v>3434</v>
      </c>
      <c r="BB157" s="109"/>
      <c r="BC157" s="109"/>
      <c r="BD157" s="109" t="s">
        <v>3486</v>
      </c>
      <c r="BE157" s="109" t="s">
        <v>560</v>
      </c>
      <c r="BF157" s="109" t="s">
        <v>3647</v>
      </c>
      <c r="BG157" s="109" t="s">
        <v>488</v>
      </c>
      <c r="BH157" s="109" t="s">
        <v>334</v>
      </c>
      <c r="BI157" s="109">
        <v>2</v>
      </c>
      <c r="BJ157" s="109" t="s">
        <v>3853</v>
      </c>
      <c r="BK157" s="109" t="s">
        <v>3911</v>
      </c>
      <c r="BL157" s="111" t="s">
        <v>3927</v>
      </c>
      <c r="BM157" s="109"/>
      <c r="BN157" s="109" t="s">
        <v>3911</v>
      </c>
      <c r="BO157" s="111" t="s">
        <v>3862</v>
      </c>
      <c r="BP157" s="109"/>
      <c r="BQ157" s="109">
        <v>0</v>
      </c>
      <c r="BR157" s="109">
        <v>0</v>
      </c>
      <c r="BS157" s="109"/>
      <c r="BT157" s="109">
        <v>0</v>
      </c>
      <c r="BU157" s="109">
        <v>0</v>
      </c>
      <c r="BV157" s="109"/>
      <c r="BW157" s="109">
        <v>0</v>
      </c>
      <c r="BX157" s="109">
        <v>0</v>
      </c>
      <c r="BY157" s="109"/>
      <c r="BZ157" s="109">
        <v>0</v>
      </c>
      <c r="CA157" s="109"/>
      <c r="CB157" s="109"/>
      <c r="CC157" s="109"/>
      <c r="CD157" s="110"/>
    </row>
    <row r="158" spans="1:82" s="116" customFormat="1" ht="13.9" customHeight="1" x14ac:dyDescent="0.2">
      <c r="A158" s="109">
        <v>270</v>
      </c>
      <c r="B158" s="109" t="s">
        <v>4032</v>
      </c>
      <c r="C158" s="110" t="s">
        <v>363</v>
      </c>
      <c r="D158" s="109" t="s">
        <v>98</v>
      </c>
      <c r="E158" s="111" t="s">
        <v>1640</v>
      </c>
      <c r="F158" s="112">
        <v>45103</v>
      </c>
      <c r="G158" s="112">
        <v>45103</v>
      </c>
      <c r="H158" s="113">
        <f t="shared" si="12"/>
        <v>45193</v>
      </c>
      <c r="I158" s="113" t="s">
        <v>290</v>
      </c>
      <c r="J158" s="109" t="s">
        <v>4339</v>
      </c>
      <c r="K158" s="109" t="s">
        <v>4464</v>
      </c>
      <c r="L158" s="109" t="s">
        <v>1756</v>
      </c>
      <c r="M158" s="128" t="str">
        <f t="shared" si="13"/>
        <v>BLANCO CASTAÑEDA GERARDO ALEJANDRO</v>
      </c>
      <c r="N158" s="128" t="s">
        <v>6937</v>
      </c>
      <c r="O158" s="128" t="s">
        <v>4615</v>
      </c>
      <c r="P158" s="109" t="s">
        <v>1953</v>
      </c>
      <c r="Q158" s="112">
        <v>33071</v>
      </c>
      <c r="R158" s="125">
        <f t="shared" si="14"/>
        <v>17</v>
      </c>
      <c r="S158" s="125">
        <f t="shared" si="15"/>
        <v>7</v>
      </c>
      <c r="T158" s="125">
        <f t="shared" si="16"/>
        <v>1990</v>
      </c>
      <c r="U158" s="142">
        <f t="shared" ca="1" si="17"/>
        <v>36.263013698630139</v>
      </c>
      <c r="V158" s="114" t="s">
        <v>452</v>
      </c>
      <c r="W158" s="114" t="s">
        <v>2026</v>
      </c>
      <c r="X158" s="109" t="s">
        <v>1497</v>
      </c>
      <c r="Y158" s="109" t="s">
        <v>87</v>
      </c>
      <c r="Z158" s="109" t="s">
        <v>99</v>
      </c>
      <c r="AA158" s="109" t="s">
        <v>392</v>
      </c>
      <c r="AB158" s="109" t="s">
        <v>596</v>
      </c>
      <c r="AC158" s="109" t="s">
        <v>313</v>
      </c>
      <c r="AD158" s="109" t="s">
        <v>314</v>
      </c>
      <c r="AE158" s="109">
        <v>90</v>
      </c>
      <c r="AF158" s="114" t="s">
        <v>597</v>
      </c>
      <c r="AG158" s="109" t="s">
        <v>290</v>
      </c>
      <c r="AH158" s="115" t="s">
        <v>598</v>
      </c>
      <c r="AI158" s="109" t="s">
        <v>317</v>
      </c>
      <c r="AJ158" s="109" t="s">
        <v>318</v>
      </c>
      <c r="AK158" s="109">
        <v>3321074491</v>
      </c>
      <c r="AL158" s="115" t="s">
        <v>2932</v>
      </c>
      <c r="AM158" s="109" t="s">
        <v>2414</v>
      </c>
      <c r="AN158" s="109" t="s">
        <v>381</v>
      </c>
      <c r="AO158" s="109" t="s">
        <v>398</v>
      </c>
      <c r="AP158" s="109"/>
      <c r="AQ158" s="109" t="s">
        <v>3230</v>
      </c>
      <c r="AR158" s="109">
        <v>664</v>
      </c>
      <c r="AS158" s="109" t="s">
        <v>328</v>
      </c>
      <c r="AT158" s="109" t="s">
        <v>116</v>
      </c>
      <c r="AU158" s="109" t="s">
        <v>583</v>
      </c>
      <c r="AV158" s="109">
        <v>44600</v>
      </c>
      <c r="AW158" s="109" t="s">
        <v>329</v>
      </c>
      <c r="AX158" s="109" t="s">
        <v>329</v>
      </c>
      <c r="AY158" s="109" t="s">
        <v>3418</v>
      </c>
      <c r="AZ158" s="109" t="s">
        <v>484</v>
      </c>
      <c r="BA158" s="109">
        <v>0</v>
      </c>
      <c r="BB158" s="109"/>
      <c r="BC158" s="109"/>
      <c r="BD158" s="109" t="s">
        <v>2414</v>
      </c>
      <c r="BE158" s="109" t="s">
        <v>560</v>
      </c>
      <c r="BF158" s="109" t="s">
        <v>3627</v>
      </c>
      <c r="BG158" s="109" t="s">
        <v>333</v>
      </c>
      <c r="BH158" s="109" t="s">
        <v>334</v>
      </c>
      <c r="BI158" s="109">
        <v>2</v>
      </c>
      <c r="BJ158" s="109" t="s">
        <v>3849</v>
      </c>
      <c r="BK158" s="109" t="s">
        <v>3911</v>
      </c>
      <c r="BL158" s="111" t="s">
        <v>3939</v>
      </c>
      <c r="BM158" s="109"/>
      <c r="BN158" s="109" t="s">
        <v>571</v>
      </c>
      <c r="BO158" s="111" t="s">
        <v>3940</v>
      </c>
      <c r="BP158" s="109"/>
      <c r="BQ158" s="109">
        <v>0</v>
      </c>
      <c r="BR158" s="109">
        <v>0</v>
      </c>
      <c r="BS158" s="109"/>
      <c r="BT158" s="109">
        <v>0</v>
      </c>
      <c r="BU158" s="109">
        <v>0</v>
      </c>
      <c r="BV158" s="109"/>
      <c r="BW158" s="109">
        <v>0</v>
      </c>
      <c r="BX158" s="109">
        <v>0</v>
      </c>
      <c r="BY158" s="109"/>
      <c r="BZ158" s="109">
        <v>0</v>
      </c>
      <c r="CA158" s="109"/>
      <c r="CB158" s="109"/>
      <c r="CC158" s="109"/>
      <c r="CD158" s="110"/>
    </row>
    <row r="159" spans="1:82" ht="13.9" customHeight="1" x14ac:dyDescent="0.2">
      <c r="A159" s="12">
        <v>477</v>
      </c>
      <c r="B159" s="12" t="s">
        <v>4158</v>
      </c>
      <c r="C159" s="78" t="s">
        <v>335</v>
      </c>
      <c r="D159" s="107" t="s">
        <v>232</v>
      </c>
      <c r="E159" s="99" t="s">
        <v>6552</v>
      </c>
      <c r="F159" s="100">
        <v>45103</v>
      </c>
      <c r="G159" s="100">
        <v>45103</v>
      </c>
      <c r="H159" s="101">
        <f t="shared" si="12"/>
        <v>45283</v>
      </c>
      <c r="I159" s="101" t="s">
        <v>291</v>
      </c>
      <c r="J159" s="12" t="s">
        <v>384</v>
      </c>
      <c r="K159" s="12" t="s">
        <v>4376</v>
      </c>
      <c r="L159" s="12" t="s">
        <v>1908</v>
      </c>
      <c r="M159" s="102" t="str">
        <f t="shared" si="13"/>
        <v>SANCHEZ QUIROZ JUAN LUIS RODRIGO</v>
      </c>
      <c r="N159" s="102" t="s">
        <v>6938</v>
      </c>
      <c r="O159" s="102" t="s">
        <v>7232</v>
      </c>
      <c r="P159" s="12" t="s">
        <v>1953</v>
      </c>
      <c r="Q159" s="100">
        <v>24639</v>
      </c>
      <c r="R159" s="77">
        <f t="shared" si="14"/>
        <v>16</v>
      </c>
      <c r="S159" s="77">
        <f t="shared" si="15"/>
        <v>6</v>
      </c>
      <c r="T159" s="77">
        <f t="shared" si="16"/>
        <v>1967</v>
      </c>
      <c r="U159" s="103">
        <f t="shared" ca="1" si="17"/>
        <v>59.364383561643834</v>
      </c>
      <c r="V159" s="13" t="s">
        <v>452</v>
      </c>
      <c r="W159" s="13" t="s">
        <v>2211</v>
      </c>
      <c r="X159" s="12" t="s">
        <v>1497</v>
      </c>
      <c r="Y159" s="108" t="s">
        <v>212</v>
      </c>
      <c r="Z159" s="12" t="s">
        <v>158</v>
      </c>
      <c r="AA159" s="12" t="s">
        <v>636</v>
      </c>
      <c r="AB159" s="12" t="s">
        <v>2302</v>
      </c>
      <c r="AC159" s="12" t="s">
        <v>313</v>
      </c>
      <c r="AD159" s="12" t="s">
        <v>314</v>
      </c>
      <c r="AE159" s="12">
        <v>180</v>
      </c>
      <c r="AF159" s="13" t="s">
        <v>315</v>
      </c>
      <c r="AG159" s="12" t="s">
        <v>291</v>
      </c>
      <c r="AH159" s="104" t="s">
        <v>843</v>
      </c>
      <c r="AI159" s="12" t="s">
        <v>317</v>
      </c>
      <c r="AJ159" s="12" t="s">
        <v>318</v>
      </c>
      <c r="AK159" s="12" t="s">
        <v>2816</v>
      </c>
      <c r="AL159" s="104" t="s">
        <v>3115</v>
      </c>
      <c r="AM159" s="12" t="s">
        <v>2584</v>
      </c>
      <c r="AN159" s="12" t="s">
        <v>560</v>
      </c>
      <c r="AO159" s="12" t="s">
        <v>398</v>
      </c>
      <c r="AP159" s="12"/>
      <c r="AQ159" s="12" t="s">
        <v>3319</v>
      </c>
      <c r="AR159" s="12">
        <v>325</v>
      </c>
      <c r="AS159" s="12" t="s">
        <v>328</v>
      </c>
      <c r="AT159" s="12" t="s">
        <v>483</v>
      </c>
      <c r="AU159" s="12" t="s">
        <v>483</v>
      </c>
      <c r="AV159" s="12">
        <v>78200</v>
      </c>
      <c r="AW159" s="12" t="s">
        <v>357</v>
      </c>
      <c r="AX159" s="12" t="s">
        <v>329</v>
      </c>
      <c r="AY159" s="12" t="s">
        <v>330</v>
      </c>
      <c r="AZ159" s="12"/>
      <c r="BA159" s="12"/>
      <c r="BB159" s="12"/>
      <c r="BC159" s="12"/>
      <c r="BD159" s="12" t="s">
        <v>2584</v>
      </c>
      <c r="BE159" s="12" t="s">
        <v>560</v>
      </c>
      <c r="BF159" s="12" t="s">
        <v>3767</v>
      </c>
      <c r="BG159" s="12" t="s">
        <v>333</v>
      </c>
      <c r="BH159" s="12" t="s">
        <v>334</v>
      </c>
      <c r="BI159" s="12">
        <v>2</v>
      </c>
      <c r="BJ159" s="12" t="s">
        <v>3900</v>
      </c>
      <c r="BK159" s="12" t="s">
        <v>3911</v>
      </c>
      <c r="BL159" s="105">
        <v>0</v>
      </c>
      <c r="BM159" s="12"/>
      <c r="BN159" s="12">
        <v>0</v>
      </c>
      <c r="BO159" s="105">
        <v>0</v>
      </c>
      <c r="BP159" s="12"/>
      <c r="BQ159" s="12">
        <v>0</v>
      </c>
      <c r="BR159" s="12">
        <v>0</v>
      </c>
      <c r="BS159" s="12"/>
      <c r="BT159" s="12">
        <v>0</v>
      </c>
      <c r="BU159" s="12">
        <v>0</v>
      </c>
      <c r="BV159" s="12"/>
      <c r="BW159" s="12">
        <v>0</v>
      </c>
      <c r="BX159" s="12">
        <v>0</v>
      </c>
      <c r="BY159" s="12"/>
      <c r="BZ159" s="12">
        <v>0</v>
      </c>
      <c r="CA159" s="12"/>
      <c r="CB159" s="12"/>
      <c r="CC159" s="12"/>
      <c r="CD159" s="78"/>
    </row>
    <row r="160" spans="1:82" ht="13.9" customHeight="1" x14ac:dyDescent="0.2">
      <c r="A160" s="12">
        <v>485</v>
      </c>
      <c r="B160" s="12" t="s">
        <v>4163</v>
      </c>
      <c r="C160" s="78" t="s">
        <v>335</v>
      </c>
      <c r="D160" s="107" t="s">
        <v>133</v>
      </c>
      <c r="E160" s="99" t="s">
        <v>6553</v>
      </c>
      <c r="F160" s="100">
        <v>45131</v>
      </c>
      <c r="G160" s="100">
        <v>45131</v>
      </c>
      <c r="H160" s="101">
        <f t="shared" si="12"/>
        <v>45221</v>
      </c>
      <c r="I160" s="101" t="s">
        <v>291</v>
      </c>
      <c r="J160" s="12" t="s">
        <v>4359</v>
      </c>
      <c r="K160" s="12" t="s">
        <v>4481</v>
      </c>
      <c r="L160" s="12" t="s">
        <v>1814</v>
      </c>
      <c r="M160" s="102" t="str">
        <f t="shared" si="13"/>
        <v>ROSAS TINAJERO JUAN</v>
      </c>
      <c r="N160" s="102" t="s">
        <v>6939</v>
      </c>
      <c r="O160" s="102" t="s">
        <v>4808</v>
      </c>
      <c r="P160" s="12" t="s">
        <v>1953</v>
      </c>
      <c r="Q160" s="100">
        <v>30978</v>
      </c>
      <c r="R160" s="77">
        <f t="shared" si="14"/>
        <v>23</v>
      </c>
      <c r="S160" s="77">
        <f t="shared" si="15"/>
        <v>10</v>
      </c>
      <c r="T160" s="77">
        <f t="shared" si="16"/>
        <v>1984</v>
      </c>
      <c r="U160" s="103">
        <f t="shared" ca="1" si="17"/>
        <v>41.9972602739726</v>
      </c>
      <c r="V160" s="13" t="s">
        <v>342</v>
      </c>
      <c r="W160" s="13" t="s">
        <v>2218</v>
      </c>
      <c r="X160" s="12" t="s">
        <v>1497</v>
      </c>
      <c r="Y160" s="108" t="s">
        <v>236</v>
      </c>
      <c r="Z160" s="12" t="s">
        <v>134</v>
      </c>
      <c r="AA160" s="12" t="s">
        <v>532</v>
      </c>
      <c r="AB160" s="12" t="s">
        <v>1583</v>
      </c>
      <c r="AC160" s="12" t="s">
        <v>313</v>
      </c>
      <c r="AD160" s="12" t="s">
        <v>314</v>
      </c>
      <c r="AE160" s="12">
        <v>90</v>
      </c>
      <c r="AF160" s="13" t="s">
        <v>671</v>
      </c>
      <c r="AG160" s="12" t="s">
        <v>291</v>
      </c>
      <c r="AH160" s="104" t="s">
        <v>672</v>
      </c>
      <c r="AI160" s="12" t="s">
        <v>317</v>
      </c>
      <c r="AJ160" s="12" t="s">
        <v>318</v>
      </c>
      <c r="AK160" s="12" t="s">
        <v>2821</v>
      </c>
      <c r="AL160" s="104" t="s">
        <v>3122</v>
      </c>
      <c r="AM160" s="12" t="s">
        <v>2591</v>
      </c>
      <c r="AN160" s="12" t="s">
        <v>381</v>
      </c>
      <c r="AO160" s="12" t="s">
        <v>327</v>
      </c>
      <c r="AP160" s="12"/>
      <c r="AQ160" s="12" t="s">
        <v>3324</v>
      </c>
      <c r="AR160" s="12">
        <v>1111</v>
      </c>
      <c r="AS160" s="12" t="s">
        <v>328</v>
      </c>
      <c r="AT160" s="12" t="s">
        <v>3398</v>
      </c>
      <c r="AU160" s="12" t="s">
        <v>912</v>
      </c>
      <c r="AV160" s="12">
        <v>66490</v>
      </c>
      <c r="AW160" s="12" t="s">
        <v>329</v>
      </c>
      <c r="AX160" s="12" t="s">
        <v>329</v>
      </c>
      <c r="AY160" s="12" t="s">
        <v>330</v>
      </c>
      <c r="AZ160" s="12"/>
      <c r="BA160" s="12"/>
      <c r="BB160" s="12"/>
      <c r="BC160" s="12"/>
      <c r="BD160" s="12" t="s">
        <v>2591</v>
      </c>
      <c r="BE160" s="12" t="s">
        <v>381</v>
      </c>
      <c r="BF160" s="12" t="s">
        <v>3774</v>
      </c>
      <c r="BG160" s="12" t="s">
        <v>3826</v>
      </c>
      <c r="BH160" s="12" t="s">
        <v>334</v>
      </c>
      <c r="BI160" s="12">
        <v>3</v>
      </c>
      <c r="BJ160" s="12" t="s">
        <v>3902</v>
      </c>
      <c r="BK160" s="12" t="s">
        <v>3911</v>
      </c>
      <c r="BL160" s="105">
        <v>0</v>
      </c>
      <c r="BM160" s="12"/>
      <c r="BN160" s="12">
        <v>0</v>
      </c>
      <c r="BO160" s="105">
        <v>0</v>
      </c>
      <c r="BP160" s="12"/>
      <c r="BQ160" s="12">
        <v>0</v>
      </c>
      <c r="BR160" s="12">
        <v>0</v>
      </c>
      <c r="BS160" s="12"/>
      <c r="BT160" s="12">
        <v>0</v>
      </c>
      <c r="BU160" s="12">
        <v>0</v>
      </c>
      <c r="BV160" s="12"/>
      <c r="BW160" s="12">
        <v>0</v>
      </c>
      <c r="BX160" s="12">
        <v>0</v>
      </c>
      <c r="BY160" s="12"/>
      <c r="BZ160" s="12">
        <v>0</v>
      </c>
      <c r="CA160" s="12"/>
      <c r="CB160" s="12"/>
      <c r="CC160" s="12"/>
      <c r="CD160" s="78"/>
    </row>
    <row r="161" spans="1:82" ht="13.9" customHeight="1" x14ac:dyDescent="0.2">
      <c r="A161" s="107">
        <v>487</v>
      </c>
      <c r="B161" s="107" t="s">
        <v>7253</v>
      </c>
      <c r="C161" s="78" t="s">
        <v>363</v>
      </c>
      <c r="D161" s="107" t="s">
        <v>86</v>
      </c>
      <c r="E161" s="99" t="s">
        <v>1637</v>
      </c>
      <c r="F161" s="100">
        <v>45132</v>
      </c>
      <c r="G161" s="117">
        <v>45132</v>
      </c>
      <c r="H161" s="101">
        <f t="shared" si="12"/>
        <v>45162</v>
      </c>
      <c r="I161" s="101" t="s">
        <v>290</v>
      </c>
      <c r="J161" s="12" t="s">
        <v>1079</v>
      </c>
      <c r="K161" s="12" t="s">
        <v>4460</v>
      </c>
      <c r="L161" s="12" t="s">
        <v>1744</v>
      </c>
      <c r="M161" s="102" t="str">
        <f t="shared" si="13"/>
        <v>CASTILLO ORDAZ LUCERO</v>
      </c>
      <c r="N161" s="102" t="s">
        <v>6940</v>
      </c>
      <c r="O161" s="102" t="s">
        <v>4603</v>
      </c>
      <c r="P161" s="12" t="s">
        <v>1953</v>
      </c>
      <c r="Q161" s="100">
        <v>31582</v>
      </c>
      <c r="R161" s="77">
        <f t="shared" si="14"/>
        <v>19</v>
      </c>
      <c r="S161" s="77">
        <f t="shared" si="15"/>
        <v>6</v>
      </c>
      <c r="T161" s="77">
        <f t="shared" si="16"/>
        <v>1986</v>
      </c>
      <c r="U161" s="103">
        <f t="shared" ca="1" si="17"/>
        <v>40.342465753424655</v>
      </c>
      <c r="V161" s="13" t="s">
        <v>308</v>
      </c>
      <c r="W161" s="13" t="s">
        <v>2014</v>
      </c>
      <c r="X161" s="12" t="s">
        <v>1497</v>
      </c>
      <c r="Y161" s="107" t="s">
        <v>92</v>
      </c>
      <c r="Z161" s="12" t="s">
        <v>93</v>
      </c>
      <c r="AA161" s="12" t="s">
        <v>636</v>
      </c>
      <c r="AB161" s="12" t="s">
        <v>2281</v>
      </c>
      <c r="AC161" s="12" t="s">
        <v>313</v>
      </c>
      <c r="AD161" s="12" t="s">
        <v>314</v>
      </c>
      <c r="AE161" s="12">
        <v>30</v>
      </c>
      <c r="AF161" s="13" t="s">
        <v>315</v>
      </c>
      <c r="AG161" s="12" t="s">
        <v>290</v>
      </c>
      <c r="AH161" s="104" t="s">
        <v>473</v>
      </c>
      <c r="AI161" s="12" t="s">
        <v>317</v>
      </c>
      <c r="AJ161" s="12" t="s">
        <v>318</v>
      </c>
      <c r="AK161" s="12" t="s">
        <v>2669</v>
      </c>
      <c r="AL161" s="104" t="s">
        <v>2921</v>
      </c>
      <c r="AM161" s="12" t="s">
        <v>2402</v>
      </c>
      <c r="AN161" s="12" t="s">
        <v>401</v>
      </c>
      <c r="AO161" s="12" t="s">
        <v>398</v>
      </c>
      <c r="AP161" s="12"/>
      <c r="AQ161" s="12" t="s">
        <v>3221</v>
      </c>
      <c r="AR161" s="12">
        <v>103</v>
      </c>
      <c r="AS161" s="12" t="s">
        <v>328</v>
      </c>
      <c r="AT161" s="12" t="s">
        <v>482</v>
      </c>
      <c r="AU161" s="12" t="s">
        <v>483</v>
      </c>
      <c r="AV161" s="12">
        <v>78433</v>
      </c>
      <c r="AW161" s="12" t="s">
        <v>357</v>
      </c>
      <c r="AX161" s="12" t="s">
        <v>357</v>
      </c>
      <c r="AY161" s="12" t="s">
        <v>330</v>
      </c>
      <c r="AZ161" s="12"/>
      <c r="BA161" s="12"/>
      <c r="BB161" s="12"/>
      <c r="BC161" s="12"/>
      <c r="BD161" s="12" t="s">
        <v>3471</v>
      </c>
      <c r="BE161" s="12" t="s">
        <v>401</v>
      </c>
      <c r="BF161" s="12" t="s">
        <v>3617</v>
      </c>
      <c r="BG161" s="12" t="s">
        <v>1406</v>
      </c>
      <c r="BH161" s="12" t="s">
        <v>334</v>
      </c>
      <c r="BI161" s="12">
        <v>3</v>
      </c>
      <c r="BJ161" s="12" t="s">
        <v>3845</v>
      </c>
      <c r="BK161" s="12" t="s">
        <v>3911</v>
      </c>
      <c r="BL161" s="105">
        <v>18</v>
      </c>
      <c r="BM161" s="12"/>
      <c r="BN161" s="12" t="s">
        <v>3911</v>
      </c>
      <c r="BO161" s="105">
        <v>17</v>
      </c>
      <c r="BP161" s="12"/>
      <c r="BQ161" s="12" t="s">
        <v>3911</v>
      </c>
      <c r="BR161" s="12">
        <v>5</v>
      </c>
      <c r="BS161" s="12"/>
      <c r="BT161" s="12">
        <v>0</v>
      </c>
      <c r="BU161" s="12">
        <v>0</v>
      </c>
      <c r="BV161" s="12"/>
      <c r="BW161" s="12">
        <v>0</v>
      </c>
      <c r="BX161" s="12">
        <v>0</v>
      </c>
      <c r="BY161" s="12"/>
      <c r="BZ161" s="12">
        <v>0</v>
      </c>
      <c r="CA161" s="12"/>
      <c r="CB161" s="12"/>
      <c r="CC161" s="12"/>
      <c r="CD161" s="78"/>
    </row>
    <row r="162" spans="1:82" s="116" customFormat="1" ht="13.9" customHeight="1" x14ac:dyDescent="0.2">
      <c r="A162" s="109">
        <v>322</v>
      </c>
      <c r="B162" s="109" t="s">
        <v>4036</v>
      </c>
      <c r="C162" s="115" t="s">
        <v>5046</v>
      </c>
      <c r="D162" s="109" t="s">
        <v>285</v>
      </c>
      <c r="E162" s="111" t="s">
        <v>6554</v>
      </c>
      <c r="F162" s="112">
        <v>45139</v>
      </c>
      <c r="G162" s="112">
        <v>45139</v>
      </c>
      <c r="H162" s="113">
        <f t="shared" si="12"/>
        <v>45229</v>
      </c>
      <c r="I162" s="113" t="s">
        <v>291</v>
      </c>
      <c r="J162" s="109" t="s">
        <v>4436</v>
      </c>
      <c r="K162" s="109" t="s">
        <v>4539</v>
      </c>
      <c r="L162" s="109" t="s">
        <v>1949</v>
      </c>
      <c r="M162" s="128" t="str">
        <f t="shared" si="13"/>
        <v>RENDON ROSALES HUGO PABLO</v>
      </c>
      <c r="N162" s="128" t="s">
        <v>6941</v>
      </c>
      <c r="O162" s="128" t="s">
        <v>4856</v>
      </c>
      <c r="P162" s="109" t="s">
        <v>1953</v>
      </c>
      <c r="Q162" s="112">
        <v>26159</v>
      </c>
      <c r="R162" s="125">
        <f t="shared" si="14"/>
        <v>14</v>
      </c>
      <c r="S162" s="125">
        <f t="shared" si="15"/>
        <v>8</v>
      </c>
      <c r="T162" s="125">
        <f t="shared" si="16"/>
        <v>1971</v>
      </c>
      <c r="U162" s="142">
        <f t="shared" ca="1" si="17"/>
        <v>55.2</v>
      </c>
      <c r="V162" s="114" t="s">
        <v>342</v>
      </c>
      <c r="W162" s="114" t="s">
        <v>2267</v>
      </c>
      <c r="X162" s="109" t="s">
        <v>1497</v>
      </c>
      <c r="Y162" s="120" t="s">
        <v>284</v>
      </c>
      <c r="Z162" s="109" t="s">
        <v>282</v>
      </c>
      <c r="AA162" s="109" t="s">
        <v>636</v>
      </c>
      <c r="AB162" s="109" t="s">
        <v>2302</v>
      </c>
      <c r="AC162" s="109" t="s">
        <v>313</v>
      </c>
      <c r="AD162" s="109" t="s">
        <v>314</v>
      </c>
      <c r="AE162" s="109">
        <v>90</v>
      </c>
      <c r="AF162" s="114" t="s">
        <v>375</v>
      </c>
      <c r="AG162" s="109" t="s">
        <v>291</v>
      </c>
      <c r="AH162" s="115" t="s">
        <v>843</v>
      </c>
      <c r="AI162" s="109" t="s">
        <v>317</v>
      </c>
      <c r="AJ162" s="109" t="s">
        <v>318</v>
      </c>
      <c r="AK162" s="109" t="s">
        <v>2864</v>
      </c>
      <c r="AL162" s="115" t="s">
        <v>3171</v>
      </c>
      <c r="AM162" s="109" t="s">
        <v>2628</v>
      </c>
      <c r="AN162" s="109" t="s">
        <v>381</v>
      </c>
      <c r="AO162" s="109" t="s">
        <v>398</v>
      </c>
      <c r="AP162" s="109"/>
      <c r="AQ162" s="109" t="s">
        <v>3348</v>
      </c>
      <c r="AR162" s="109">
        <v>146</v>
      </c>
      <c r="AS162" s="109" t="s">
        <v>328</v>
      </c>
      <c r="AT162" s="109" t="s">
        <v>483</v>
      </c>
      <c r="AU162" s="109" t="s">
        <v>483</v>
      </c>
      <c r="AV162" s="109">
        <v>78230</v>
      </c>
      <c r="AW162" s="109" t="s">
        <v>328</v>
      </c>
      <c r="AX162" s="109" t="s">
        <v>357</v>
      </c>
      <c r="AY162" s="109" t="s">
        <v>330</v>
      </c>
      <c r="AZ162" s="109"/>
      <c r="BA162" s="109"/>
      <c r="BB162" s="109"/>
      <c r="BC162" s="109"/>
      <c r="BD162" s="109" t="s">
        <v>2628</v>
      </c>
      <c r="BE162" s="109" t="s">
        <v>381</v>
      </c>
      <c r="BF162" s="109" t="s">
        <v>3812</v>
      </c>
      <c r="BG162" s="109" t="s">
        <v>333</v>
      </c>
      <c r="BH162" s="109" t="s">
        <v>334</v>
      </c>
      <c r="BI162" s="109">
        <v>2</v>
      </c>
      <c r="BJ162" s="109" t="s">
        <v>3910</v>
      </c>
      <c r="BK162" s="109" t="s">
        <v>3911</v>
      </c>
      <c r="BL162" s="111">
        <v>0</v>
      </c>
      <c r="BM162" s="109"/>
      <c r="BN162" s="109">
        <v>0</v>
      </c>
      <c r="BO162" s="111">
        <v>0</v>
      </c>
      <c r="BP162" s="109"/>
      <c r="BQ162" s="109">
        <v>0</v>
      </c>
      <c r="BR162" s="109">
        <v>0</v>
      </c>
      <c r="BS162" s="109"/>
      <c r="BT162" s="109">
        <v>0</v>
      </c>
      <c r="BU162" s="109">
        <v>0</v>
      </c>
      <c r="BV162" s="109"/>
      <c r="BW162" s="109">
        <v>0</v>
      </c>
      <c r="BX162" s="109">
        <v>0</v>
      </c>
      <c r="BY162" s="109"/>
      <c r="BZ162" s="109">
        <v>0</v>
      </c>
      <c r="CA162" s="109"/>
      <c r="CB162" s="109"/>
      <c r="CC162" s="109"/>
      <c r="CD162" s="110"/>
    </row>
    <row r="163" spans="1:82" ht="13.9" customHeight="1" x14ac:dyDescent="0.2">
      <c r="A163" s="12">
        <v>344</v>
      </c>
      <c r="B163" s="12" t="s">
        <v>4184</v>
      </c>
      <c r="C163" s="106" t="s">
        <v>1390</v>
      </c>
      <c r="D163" s="107" t="s">
        <v>281</v>
      </c>
      <c r="E163" s="99" t="s">
        <v>4860</v>
      </c>
      <c r="F163" s="100">
        <v>45139</v>
      </c>
      <c r="G163" s="100">
        <v>45139</v>
      </c>
      <c r="H163" s="101">
        <f t="shared" si="12"/>
        <v>45229</v>
      </c>
      <c r="I163" s="101" t="s">
        <v>291</v>
      </c>
      <c r="J163" s="12" t="s">
        <v>447</v>
      </c>
      <c r="K163" s="12" t="s">
        <v>4861</v>
      </c>
      <c r="L163" s="12" t="s">
        <v>1712</v>
      </c>
      <c r="M163" s="102" t="str">
        <f t="shared" si="13"/>
        <v>GARCIA VILLASANA JORGE ALEJANDRO</v>
      </c>
      <c r="N163" s="102" t="s">
        <v>6942</v>
      </c>
      <c r="O163" s="102" t="s">
        <v>4862</v>
      </c>
      <c r="P163" s="12" t="s">
        <v>1953</v>
      </c>
      <c r="Q163" s="100">
        <v>29306</v>
      </c>
      <c r="R163" s="77">
        <f t="shared" si="14"/>
        <v>26</v>
      </c>
      <c r="S163" s="77">
        <f t="shared" si="15"/>
        <v>3</v>
      </c>
      <c r="T163" s="77">
        <f t="shared" si="16"/>
        <v>1980</v>
      </c>
      <c r="U163" s="103">
        <f t="shared" ca="1" si="17"/>
        <v>46.578082191780823</v>
      </c>
      <c r="V163" s="13" t="s">
        <v>342</v>
      </c>
      <c r="W163" s="13" t="s">
        <v>4863</v>
      </c>
      <c r="X163" s="12" t="s">
        <v>1497</v>
      </c>
      <c r="Y163" s="108" t="s">
        <v>276</v>
      </c>
      <c r="Z163" s="12" t="s">
        <v>263</v>
      </c>
      <c r="AA163" s="12" t="s">
        <v>636</v>
      </c>
      <c r="AB163" s="12" t="s">
        <v>2302</v>
      </c>
      <c r="AC163" s="12" t="s">
        <v>313</v>
      </c>
      <c r="AD163" s="12" t="s">
        <v>314</v>
      </c>
      <c r="AE163" s="12">
        <v>90</v>
      </c>
      <c r="AF163" s="13" t="s">
        <v>315</v>
      </c>
      <c r="AG163" s="12" t="s">
        <v>291</v>
      </c>
      <c r="AH163" s="104" t="s">
        <v>1398</v>
      </c>
      <c r="AI163" s="12" t="s">
        <v>317</v>
      </c>
      <c r="AJ163" s="12" t="s">
        <v>318</v>
      </c>
      <c r="AK163" s="12" t="s">
        <v>4864</v>
      </c>
      <c r="AL163" s="104" t="s">
        <v>4865</v>
      </c>
      <c r="AM163" s="12" t="s">
        <v>4866</v>
      </c>
      <c r="AN163" s="12" t="s">
        <v>381</v>
      </c>
      <c r="AO163" s="12" t="s">
        <v>398</v>
      </c>
      <c r="AP163" s="12"/>
      <c r="AQ163" s="12" t="s">
        <v>4867</v>
      </c>
      <c r="AR163" s="12">
        <v>2321</v>
      </c>
      <c r="AS163" s="12" t="s">
        <v>328</v>
      </c>
      <c r="AT163" s="12" t="s">
        <v>3383</v>
      </c>
      <c r="AU163" s="12" t="s">
        <v>1224</v>
      </c>
      <c r="AV163" s="12">
        <v>87049</v>
      </c>
      <c r="AW163" s="12" t="s">
        <v>328</v>
      </c>
      <c r="AX163" s="12" t="s">
        <v>329</v>
      </c>
      <c r="AY163" s="12" t="s">
        <v>329</v>
      </c>
      <c r="AZ163" s="12"/>
      <c r="BA163" s="12"/>
      <c r="BB163" s="12"/>
      <c r="BC163" s="12"/>
      <c r="BD163" s="12" t="s">
        <v>4866</v>
      </c>
      <c r="BE163" s="12" t="s">
        <v>381</v>
      </c>
      <c r="BF163" s="12" t="s">
        <v>4868</v>
      </c>
      <c r="BG163" s="12" t="s">
        <v>333</v>
      </c>
      <c r="BH163" s="12" t="s">
        <v>334</v>
      </c>
      <c r="BI163" s="12">
        <v>3</v>
      </c>
      <c r="BJ163" s="100">
        <v>39542</v>
      </c>
      <c r="BK163" s="12" t="s">
        <v>571</v>
      </c>
      <c r="BL163" s="105">
        <v>0</v>
      </c>
      <c r="BM163" s="100">
        <v>40760</v>
      </c>
      <c r="BN163" s="12" t="s">
        <v>3911</v>
      </c>
      <c r="BO163" s="105">
        <v>0</v>
      </c>
      <c r="BP163" s="100">
        <v>42104</v>
      </c>
      <c r="BQ163" s="12" t="s">
        <v>3911</v>
      </c>
      <c r="BR163" s="12">
        <v>0</v>
      </c>
      <c r="BS163" s="12"/>
      <c r="BT163" s="12"/>
      <c r="BU163" s="12"/>
      <c r="BV163" s="12"/>
      <c r="BW163" s="12"/>
      <c r="BX163" s="12"/>
      <c r="BY163" s="12"/>
      <c r="BZ163" s="12"/>
      <c r="CA163" s="12"/>
      <c r="CB163" s="12"/>
      <c r="CC163" s="12"/>
      <c r="CD163" s="78"/>
    </row>
    <row r="164" spans="1:82" ht="13.9" customHeight="1" x14ac:dyDescent="0.2">
      <c r="A164" s="12">
        <v>491</v>
      </c>
      <c r="B164" s="12" t="s">
        <v>4091</v>
      </c>
      <c r="C164" s="78" t="s">
        <v>335</v>
      </c>
      <c r="D164" s="107" t="s">
        <v>228</v>
      </c>
      <c r="E164" s="99" t="s">
        <v>6555</v>
      </c>
      <c r="F164" s="100">
        <v>45139</v>
      </c>
      <c r="G164" s="100">
        <v>45139</v>
      </c>
      <c r="H164" s="101">
        <f t="shared" si="12"/>
        <v>45229</v>
      </c>
      <c r="I164" s="101" t="s">
        <v>290</v>
      </c>
      <c r="J164" s="12" t="s">
        <v>4369</v>
      </c>
      <c r="K164" s="12" t="s">
        <v>704</v>
      </c>
      <c r="L164" s="12" t="s">
        <v>1810</v>
      </c>
      <c r="M164" s="102" t="str">
        <f t="shared" si="13"/>
        <v>RIOS GONZALEZ JOSE MANUEL</v>
      </c>
      <c r="N164" s="102" t="s">
        <v>6943</v>
      </c>
      <c r="O164" s="102" t="s">
        <v>4685</v>
      </c>
      <c r="P164" s="12" t="s">
        <v>1953</v>
      </c>
      <c r="Q164" s="100">
        <v>32914</v>
      </c>
      <c r="R164" s="77">
        <f t="shared" si="14"/>
        <v>10</v>
      </c>
      <c r="S164" s="77">
        <f t="shared" si="15"/>
        <v>2</v>
      </c>
      <c r="T164" s="77">
        <f t="shared" si="16"/>
        <v>1990</v>
      </c>
      <c r="U164" s="103">
        <f t="shared" ca="1" si="17"/>
        <v>36.69315068493151</v>
      </c>
      <c r="V164" s="13" t="s">
        <v>342</v>
      </c>
      <c r="W164" s="13" t="s">
        <v>2096</v>
      </c>
      <c r="X164" s="12" t="s">
        <v>1497</v>
      </c>
      <c r="Y164" s="121" t="s">
        <v>117</v>
      </c>
      <c r="Z164" s="12" t="s">
        <v>149</v>
      </c>
      <c r="AA164" s="12" t="s">
        <v>347</v>
      </c>
      <c r="AB164" s="12" t="s">
        <v>2293</v>
      </c>
      <c r="AC164" s="12" t="s">
        <v>313</v>
      </c>
      <c r="AD164" s="12" t="s">
        <v>314</v>
      </c>
      <c r="AE164" s="12">
        <v>90</v>
      </c>
      <c r="AF164" s="13" t="s">
        <v>949</v>
      </c>
      <c r="AG164" s="12" t="s">
        <v>290</v>
      </c>
      <c r="AH164" s="104" t="s">
        <v>950</v>
      </c>
      <c r="AI164" s="12" t="s">
        <v>317</v>
      </c>
      <c r="AJ164" s="12" t="s">
        <v>318</v>
      </c>
      <c r="AK164" s="12" t="s">
        <v>2726</v>
      </c>
      <c r="AL164" s="104" t="s">
        <v>3002</v>
      </c>
      <c r="AM164" s="12" t="s">
        <v>2478</v>
      </c>
      <c r="AN164" s="12" t="s">
        <v>381</v>
      </c>
      <c r="AO164" s="12" t="s">
        <v>398</v>
      </c>
      <c r="AP164" s="12"/>
      <c r="AQ164" s="12" t="s">
        <v>3274</v>
      </c>
      <c r="AR164" s="12">
        <v>734</v>
      </c>
      <c r="AS164" s="12" t="s">
        <v>328</v>
      </c>
      <c r="AT164" s="12" t="s">
        <v>1573</v>
      </c>
      <c r="AU164" s="12" t="s">
        <v>483</v>
      </c>
      <c r="AV164" s="12">
        <v>79660</v>
      </c>
      <c r="AW164" s="12" t="s">
        <v>357</v>
      </c>
      <c r="AX164" s="12" t="s">
        <v>357</v>
      </c>
      <c r="AY164" s="12" t="s">
        <v>330</v>
      </c>
      <c r="AZ164" s="12"/>
      <c r="BA164" s="12"/>
      <c r="BB164" s="12"/>
      <c r="BC164" s="12"/>
      <c r="BD164" s="12" t="s">
        <v>2478</v>
      </c>
      <c r="BE164" s="12" t="s">
        <v>381</v>
      </c>
      <c r="BF164" s="12" t="s">
        <v>3675</v>
      </c>
      <c r="BG164" s="12" t="s">
        <v>685</v>
      </c>
      <c r="BH164" s="12" t="s">
        <v>334</v>
      </c>
      <c r="BI164" s="12">
        <v>2</v>
      </c>
      <c r="BJ164" s="12" t="s">
        <v>3868</v>
      </c>
      <c r="BK164" s="12" t="s">
        <v>3911</v>
      </c>
      <c r="BL164" s="105">
        <v>14</v>
      </c>
      <c r="BM164" s="12"/>
      <c r="BN164" s="12" t="s">
        <v>1953</v>
      </c>
      <c r="BO164" s="105">
        <v>10</v>
      </c>
      <c r="BP164" s="12"/>
      <c r="BQ164" s="12">
        <v>0</v>
      </c>
      <c r="BR164" s="12">
        <v>0</v>
      </c>
      <c r="BS164" s="12"/>
      <c r="BT164" s="12">
        <v>0</v>
      </c>
      <c r="BU164" s="12">
        <v>0</v>
      </c>
      <c r="BV164" s="12"/>
      <c r="BW164" s="12">
        <v>0</v>
      </c>
      <c r="BX164" s="12">
        <v>0</v>
      </c>
      <c r="BY164" s="12"/>
      <c r="BZ164" s="12">
        <v>0</v>
      </c>
      <c r="CA164" s="12"/>
      <c r="CB164" s="12"/>
      <c r="CC164" s="12"/>
      <c r="CD164" s="78"/>
    </row>
    <row r="165" spans="1:82" ht="13.9" customHeight="1" x14ac:dyDescent="0.2">
      <c r="A165" s="107">
        <v>490</v>
      </c>
      <c r="B165" s="107" t="s">
        <v>3983</v>
      </c>
      <c r="C165" s="104" t="s">
        <v>564</v>
      </c>
      <c r="D165" s="107" t="s">
        <v>81</v>
      </c>
      <c r="E165" s="99" t="s">
        <v>6556</v>
      </c>
      <c r="F165" s="100">
        <v>45145</v>
      </c>
      <c r="G165" s="100">
        <v>45145</v>
      </c>
      <c r="H165" s="101">
        <f t="shared" si="12"/>
        <v>45235</v>
      </c>
      <c r="I165" s="101" t="s">
        <v>290</v>
      </c>
      <c r="J165" s="12" t="s">
        <v>4318</v>
      </c>
      <c r="K165" s="12" t="s">
        <v>4442</v>
      </c>
      <c r="L165" s="12" t="s">
        <v>1715</v>
      </c>
      <c r="M165" s="102" t="str">
        <f t="shared" si="13"/>
        <v>VILLANUEVA NOTARIO JORGE DANIEL</v>
      </c>
      <c r="N165" s="102" t="s">
        <v>6944</v>
      </c>
      <c r="O165" s="102" t="s">
        <v>4569</v>
      </c>
      <c r="P165" s="12" t="s">
        <v>1953</v>
      </c>
      <c r="Q165" s="100">
        <v>32579</v>
      </c>
      <c r="R165" s="77">
        <f t="shared" si="14"/>
        <v>12</v>
      </c>
      <c r="S165" s="77">
        <f t="shared" si="15"/>
        <v>3</v>
      </c>
      <c r="T165" s="77">
        <f t="shared" si="16"/>
        <v>1989</v>
      </c>
      <c r="U165" s="103">
        <f t="shared" ca="1" si="17"/>
        <v>37.610958904109587</v>
      </c>
      <c r="V165" s="13" t="s">
        <v>342</v>
      </c>
      <c r="W165" s="13" t="s">
        <v>1979</v>
      </c>
      <c r="X165" s="12" t="s">
        <v>1497</v>
      </c>
      <c r="Y165" s="12" t="s">
        <v>295</v>
      </c>
      <c r="Z165" s="12" t="s">
        <v>84</v>
      </c>
      <c r="AA165" s="12" t="s">
        <v>532</v>
      </c>
      <c r="AB165" s="12" t="s">
        <v>574</v>
      </c>
      <c r="AC165" s="12" t="s">
        <v>313</v>
      </c>
      <c r="AD165" s="12" t="s">
        <v>314</v>
      </c>
      <c r="AE165" s="12">
        <v>90</v>
      </c>
      <c r="AF165" s="13" t="s">
        <v>350</v>
      </c>
      <c r="AG165" s="12" t="s">
        <v>290</v>
      </c>
      <c r="AH165" s="104" t="s">
        <v>575</v>
      </c>
      <c r="AI165" s="12" t="s">
        <v>317</v>
      </c>
      <c r="AJ165" s="12" t="s">
        <v>318</v>
      </c>
      <c r="AK165" s="12" t="s">
        <v>2649</v>
      </c>
      <c r="AL165" s="104" t="s">
        <v>2886</v>
      </c>
      <c r="AM165" s="12" t="s">
        <v>2368</v>
      </c>
      <c r="AN165" s="12" t="s">
        <v>381</v>
      </c>
      <c r="AO165" s="12" t="s">
        <v>327</v>
      </c>
      <c r="AP165" s="12"/>
      <c r="AQ165" s="12" t="s">
        <v>3199</v>
      </c>
      <c r="AR165" s="12">
        <v>142</v>
      </c>
      <c r="AS165" s="12" t="s">
        <v>328</v>
      </c>
      <c r="AT165" s="12" t="s">
        <v>717</v>
      </c>
      <c r="AU165" s="12" t="s">
        <v>583</v>
      </c>
      <c r="AV165" s="12">
        <v>45400</v>
      </c>
      <c r="AW165" s="12" t="s">
        <v>357</v>
      </c>
      <c r="AX165" s="12" t="s">
        <v>357</v>
      </c>
      <c r="AY165" s="12" t="s">
        <v>330</v>
      </c>
      <c r="AZ165" s="12"/>
      <c r="BA165" s="12"/>
      <c r="BB165" s="12"/>
      <c r="BC165" s="12"/>
      <c r="BD165" s="12" t="s">
        <v>2368</v>
      </c>
      <c r="BE165" s="12" t="s">
        <v>381</v>
      </c>
      <c r="BF165" s="12" t="s">
        <v>3597</v>
      </c>
      <c r="BG165" s="12" t="s">
        <v>444</v>
      </c>
      <c r="BH165" s="12" t="s">
        <v>334</v>
      </c>
      <c r="BI165" s="12">
        <v>2</v>
      </c>
      <c r="BJ165" s="12" t="s">
        <v>3835</v>
      </c>
      <c r="BK165" s="12" t="s">
        <v>3911</v>
      </c>
      <c r="BL165" s="105">
        <v>0</v>
      </c>
      <c r="BM165" s="12"/>
      <c r="BN165" s="12">
        <v>0</v>
      </c>
      <c r="BO165" s="105">
        <v>0</v>
      </c>
      <c r="BP165" s="12"/>
      <c r="BQ165" s="12">
        <v>0</v>
      </c>
      <c r="BR165" s="12">
        <v>0</v>
      </c>
      <c r="BS165" s="12"/>
      <c r="BT165" s="12">
        <v>0</v>
      </c>
      <c r="BU165" s="12">
        <v>0</v>
      </c>
      <c r="BV165" s="12"/>
      <c r="BW165" s="12">
        <v>0</v>
      </c>
      <c r="BX165" s="12">
        <v>0</v>
      </c>
      <c r="BY165" s="12"/>
      <c r="BZ165" s="12">
        <v>0</v>
      </c>
      <c r="CA165" s="12"/>
      <c r="CB165" s="12"/>
      <c r="CC165" s="12"/>
      <c r="CD165" s="78"/>
    </row>
    <row r="166" spans="1:82" ht="13.9" customHeight="1" x14ac:dyDescent="0.2">
      <c r="A166" s="12">
        <v>496</v>
      </c>
      <c r="B166" s="12" t="s">
        <v>4121</v>
      </c>
      <c r="C166" s="78" t="s">
        <v>335</v>
      </c>
      <c r="D166" s="99" t="s">
        <v>161</v>
      </c>
      <c r="E166" s="99" t="s">
        <v>1658</v>
      </c>
      <c r="F166" s="100">
        <v>45166</v>
      </c>
      <c r="G166" s="100">
        <v>45166</v>
      </c>
      <c r="H166" s="101">
        <f t="shared" si="12"/>
        <v>45256</v>
      </c>
      <c r="I166" s="101" t="s">
        <v>290</v>
      </c>
      <c r="J166" s="12" t="s">
        <v>990</v>
      </c>
      <c r="K166" s="12" t="s">
        <v>4500</v>
      </c>
      <c r="L166" s="12" t="s">
        <v>1837</v>
      </c>
      <c r="M166" s="102" t="str">
        <f t="shared" si="13"/>
        <v>MUÑOZ PIÑA JOSE FRANCISCO</v>
      </c>
      <c r="N166" s="102" t="s">
        <v>6945</v>
      </c>
      <c r="O166" s="102" t="s">
        <v>4717</v>
      </c>
      <c r="P166" s="12" t="s">
        <v>1953</v>
      </c>
      <c r="Q166" s="100">
        <v>37464</v>
      </c>
      <c r="R166" s="77">
        <f t="shared" si="14"/>
        <v>27</v>
      </c>
      <c r="S166" s="77">
        <f t="shared" si="15"/>
        <v>7</v>
      </c>
      <c r="T166" s="77">
        <f t="shared" si="16"/>
        <v>2002</v>
      </c>
      <c r="U166" s="103">
        <f t="shared" ca="1" si="17"/>
        <v>24.227397260273971</v>
      </c>
      <c r="V166" s="13" t="s">
        <v>389</v>
      </c>
      <c r="W166" s="13" t="s">
        <v>2128</v>
      </c>
      <c r="X166" s="12" t="s">
        <v>1497</v>
      </c>
      <c r="Y166" s="12" t="s">
        <v>113</v>
      </c>
      <c r="Z166" s="12" t="s">
        <v>164</v>
      </c>
      <c r="AA166" s="12" t="s">
        <v>347</v>
      </c>
      <c r="AB166" s="12" t="s">
        <v>2297</v>
      </c>
      <c r="AC166" s="12" t="s">
        <v>313</v>
      </c>
      <c r="AD166" s="12" t="s">
        <v>314</v>
      </c>
      <c r="AE166" s="12">
        <v>90</v>
      </c>
      <c r="AF166" s="13" t="s">
        <v>2330</v>
      </c>
      <c r="AG166" s="12" t="s">
        <v>290</v>
      </c>
      <c r="AH166" s="104" t="s">
        <v>2343</v>
      </c>
      <c r="AI166" s="12" t="s">
        <v>317</v>
      </c>
      <c r="AJ166" s="12" t="s">
        <v>318</v>
      </c>
      <c r="AK166" s="12" t="s">
        <v>2747</v>
      </c>
      <c r="AL166" s="104" t="s">
        <v>3034</v>
      </c>
      <c r="AM166" s="12" t="s">
        <v>2505</v>
      </c>
      <c r="AN166" s="12" t="s">
        <v>439</v>
      </c>
      <c r="AO166" s="12" t="s">
        <v>398</v>
      </c>
      <c r="AP166" s="12"/>
      <c r="AQ166" s="12" t="s">
        <v>1304</v>
      </c>
      <c r="AR166" s="12">
        <v>203</v>
      </c>
      <c r="AS166" s="12" t="s">
        <v>3372</v>
      </c>
      <c r="AT166" s="12" t="s">
        <v>3376</v>
      </c>
      <c r="AU166" s="12" t="s">
        <v>483</v>
      </c>
      <c r="AV166" s="12">
        <v>79050</v>
      </c>
      <c r="AW166" s="12" t="s">
        <v>329</v>
      </c>
      <c r="AX166" s="12" t="s">
        <v>357</v>
      </c>
      <c r="AY166" s="12" t="s">
        <v>357</v>
      </c>
      <c r="AZ166" s="12"/>
      <c r="BA166" s="12"/>
      <c r="BB166" s="12"/>
      <c r="BC166" s="12"/>
      <c r="BD166" s="12" t="s">
        <v>3512</v>
      </c>
      <c r="BE166" s="12" t="s">
        <v>439</v>
      </c>
      <c r="BF166" s="12" t="s">
        <v>3699</v>
      </c>
      <c r="BG166" s="12" t="s">
        <v>685</v>
      </c>
      <c r="BH166" s="12" t="s">
        <v>334</v>
      </c>
      <c r="BI166" s="12" t="s">
        <v>3831</v>
      </c>
      <c r="BJ166" s="12" t="s">
        <v>3831</v>
      </c>
      <c r="BK166" s="12"/>
      <c r="BL166" s="105"/>
      <c r="BM166" s="12"/>
      <c r="BN166" s="12"/>
      <c r="BO166" s="105"/>
      <c r="BP166" s="12"/>
      <c r="BQ166" s="12"/>
      <c r="BR166" s="12"/>
      <c r="BS166" s="12"/>
      <c r="BT166" s="12"/>
      <c r="BU166" s="12"/>
      <c r="BV166" s="12"/>
      <c r="BW166" s="12"/>
      <c r="BX166" s="12"/>
      <c r="BY166" s="12"/>
      <c r="BZ166" s="12"/>
      <c r="CA166" s="12"/>
      <c r="CB166" s="12"/>
      <c r="CC166" s="12"/>
      <c r="CD166" s="78"/>
    </row>
    <row r="167" spans="1:82" ht="13.9" customHeight="1" x14ac:dyDescent="0.2">
      <c r="A167" s="12">
        <v>309</v>
      </c>
      <c r="B167" s="12" t="s">
        <v>4118</v>
      </c>
      <c r="C167" s="78" t="s">
        <v>335</v>
      </c>
      <c r="D167" s="99" t="s">
        <v>161</v>
      </c>
      <c r="E167" s="99" t="s">
        <v>1657</v>
      </c>
      <c r="F167" s="100">
        <v>45167</v>
      </c>
      <c r="G167" s="100">
        <v>45167</v>
      </c>
      <c r="H167" s="101">
        <f t="shared" si="12"/>
        <v>45257</v>
      </c>
      <c r="I167" s="101" t="s">
        <v>290</v>
      </c>
      <c r="J167" s="12" t="s">
        <v>4384</v>
      </c>
      <c r="K167" s="12" t="s">
        <v>447</v>
      </c>
      <c r="L167" s="12" t="s">
        <v>1834</v>
      </c>
      <c r="M167" s="102" t="str">
        <f t="shared" si="13"/>
        <v>VIDALES GARCIA CRISTOBAL</v>
      </c>
      <c r="N167" s="102" t="s">
        <v>6946</v>
      </c>
      <c r="O167" s="102" t="s">
        <v>4714</v>
      </c>
      <c r="P167" s="12" t="s">
        <v>1953</v>
      </c>
      <c r="Q167" s="100">
        <v>34600</v>
      </c>
      <c r="R167" s="77">
        <f t="shared" si="14"/>
        <v>23</v>
      </c>
      <c r="S167" s="77">
        <f t="shared" si="15"/>
        <v>9</v>
      </c>
      <c r="T167" s="77">
        <f t="shared" si="16"/>
        <v>1994</v>
      </c>
      <c r="U167" s="103">
        <f t="shared" ca="1" si="17"/>
        <v>32.073972602739723</v>
      </c>
      <c r="V167" s="13" t="s">
        <v>389</v>
      </c>
      <c r="W167" s="13" t="s">
        <v>2125</v>
      </c>
      <c r="X167" s="12" t="s">
        <v>1497</v>
      </c>
      <c r="Y167" s="12" t="s">
        <v>113</v>
      </c>
      <c r="Z167" s="12" t="s">
        <v>164</v>
      </c>
      <c r="AA167" s="12" t="s">
        <v>347</v>
      </c>
      <c r="AB167" s="12" t="s">
        <v>2297</v>
      </c>
      <c r="AC167" s="12" t="s">
        <v>313</v>
      </c>
      <c r="AD167" s="12" t="s">
        <v>314</v>
      </c>
      <c r="AE167" s="12">
        <v>90</v>
      </c>
      <c r="AF167" s="13" t="s">
        <v>2330</v>
      </c>
      <c r="AG167" s="12" t="s">
        <v>290</v>
      </c>
      <c r="AH167" s="104" t="s">
        <v>2343</v>
      </c>
      <c r="AI167" s="12" t="s">
        <v>317</v>
      </c>
      <c r="AJ167" s="12" t="s">
        <v>318</v>
      </c>
      <c r="AK167" s="12" t="s">
        <v>2744</v>
      </c>
      <c r="AL167" s="104" t="s">
        <v>3031</v>
      </c>
      <c r="AM167" s="12" t="s">
        <v>2502</v>
      </c>
      <c r="AN167" s="12" t="s">
        <v>401</v>
      </c>
      <c r="AO167" s="12" t="s">
        <v>398</v>
      </c>
      <c r="AP167" s="12"/>
      <c r="AQ167" s="12" t="s">
        <v>3285</v>
      </c>
      <c r="AR167" s="12">
        <v>126</v>
      </c>
      <c r="AS167" s="12" t="s">
        <v>328</v>
      </c>
      <c r="AT167" s="12" t="s">
        <v>3395</v>
      </c>
      <c r="AU167" s="12" t="s">
        <v>1224</v>
      </c>
      <c r="AV167" s="12">
        <v>88923</v>
      </c>
      <c r="AW167" s="12" t="s">
        <v>329</v>
      </c>
      <c r="AX167" s="12" t="s">
        <v>357</v>
      </c>
      <c r="AY167" s="12" t="s">
        <v>357</v>
      </c>
      <c r="AZ167" s="12" t="s">
        <v>484</v>
      </c>
      <c r="BA167" s="12"/>
      <c r="BB167" s="12"/>
      <c r="BC167" s="12"/>
      <c r="BD167" s="12" t="s">
        <v>2502</v>
      </c>
      <c r="BE167" s="12" t="s">
        <v>401</v>
      </c>
      <c r="BF167" s="12" t="s">
        <v>3696</v>
      </c>
      <c r="BG167" s="12" t="s">
        <v>685</v>
      </c>
      <c r="BH167" s="12" t="s">
        <v>334</v>
      </c>
      <c r="BI167" s="12" t="s">
        <v>3831</v>
      </c>
      <c r="BJ167" s="12" t="s">
        <v>3831</v>
      </c>
      <c r="BK167" s="12"/>
      <c r="BL167" s="105"/>
      <c r="BM167" s="12"/>
      <c r="BN167" s="12"/>
      <c r="BO167" s="105"/>
      <c r="BP167" s="12"/>
      <c r="BQ167" s="12"/>
      <c r="BR167" s="12"/>
      <c r="BS167" s="12"/>
      <c r="BT167" s="12"/>
      <c r="BU167" s="12"/>
      <c r="BV167" s="12"/>
      <c r="BW167" s="12"/>
      <c r="BX167" s="12"/>
      <c r="BY167" s="12"/>
      <c r="BZ167" s="12"/>
      <c r="CA167" s="12"/>
      <c r="CB167" s="12"/>
      <c r="CC167" s="12"/>
      <c r="CD167" s="78"/>
    </row>
    <row r="168" spans="1:82" s="116" customFormat="1" ht="13.9" customHeight="1" x14ac:dyDescent="0.2">
      <c r="A168" s="109">
        <v>501</v>
      </c>
      <c r="B168" s="109" t="s">
        <v>4139</v>
      </c>
      <c r="C168" s="110" t="s">
        <v>335</v>
      </c>
      <c r="D168" s="109" t="s">
        <v>105</v>
      </c>
      <c r="E168" s="111" t="s">
        <v>1681</v>
      </c>
      <c r="F168" s="112">
        <v>45170</v>
      </c>
      <c r="G168" s="112">
        <v>45170</v>
      </c>
      <c r="H168" s="113">
        <f t="shared" si="12"/>
        <v>45260</v>
      </c>
      <c r="I168" s="113" t="s">
        <v>291</v>
      </c>
      <c r="J168" s="109" t="s">
        <v>1350</v>
      </c>
      <c r="K168" s="109" t="s">
        <v>704</v>
      </c>
      <c r="L168" s="109" t="s">
        <v>1895</v>
      </c>
      <c r="M168" s="128" t="str">
        <f t="shared" si="13"/>
        <v>GAYTAN GONZALEZ DIANA IVONNE</v>
      </c>
      <c r="N168" s="128" t="s">
        <v>6947</v>
      </c>
      <c r="O168" s="128" t="s">
        <v>4783</v>
      </c>
      <c r="P168" s="109" t="s">
        <v>1953</v>
      </c>
      <c r="Q168" s="112">
        <v>32278</v>
      </c>
      <c r="R168" s="125">
        <f t="shared" si="14"/>
        <v>15</v>
      </c>
      <c r="S168" s="125">
        <f t="shared" si="15"/>
        <v>5</v>
      </c>
      <c r="T168" s="125">
        <f t="shared" si="16"/>
        <v>1988</v>
      </c>
      <c r="U168" s="142">
        <f t="shared" ca="1" si="17"/>
        <v>38.435616438356163</v>
      </c>
      <c r="V168" s="114" t="s">
        <v>308</v>
      </c>
      <c r="W168" s="114" t="s">
        <v>2194</v>
      </c>
      <c r="X168" s="109" t="s">
        <v>1497</v>
      </c>
      <c r="Y168" s="120" t="s">
        <v>222</v>
      </c>
      <c r="Z168" s="109" t="s">
        <v>227</v>
      </c>
      <c r="AA168" s="109" t="s">
        <v>857</v>
      </c>
      <c r="AB168" s="109" t="s">
        <v>858</v>
      </c>
      <c r="AC168" s="109" t="s">
        <v>313</v>
      </c>
      <c r="AD168" s="109" t="s">
        <v>314</v>
      </c>
      <c r="AE168" s="109">
        <v>90</v>
      </c>
      <c r="AF168" s="114" t="s">
        <v>859</v>
      </c>
      <c r="AG168" s="109" t="s">
        <v>291</v>
      </c>
      <c r="AH168" s="115" t="s">
        <v>2338</v>
      </c>
      <c r="AI168" s="109" t="s">
        <v>317</v>
      </c>
      <c r="AJ168" s="109" t="s">
        <v>318</v>
      </c>
      <c r="AK168" s="109" t="s">
        <v>2802</v>
      </c>
      <c r="AL168" s="115" t="s">
        <v>3098</v>
      </c>
      <c r="AM168" s="109" t="s">
        <v>2567</v>
      </c>
      <c r="AN168" s="109" t="s">
        <v>325</v>
      </c>
      <c r="AO168" s="109" t="s">
        <v>327</v>
      </c>
      <c r="AP168" s="109"/>
      <c r="AQ168" s="109" t="s">
        <v>3313</v>
      </c>
      <c r="AR168" s="109">
        <v>154</v>
      </c>
      <c r="AS168" s="109" t="s">
        <v>328</v>
      </c>
      <c r="AT168" s="109" t="s">
        <v>105</v>
      </c>
      <c r="AU168" s="109" t="s">
        <v>105</v>
      </c>
      <c r="AV168" s="109">
        <v>20174</v>
      </c>
      <c r="AW168" s="109" t="s">
        <v>357</v>
      </c>
      <c r="AX168" s="109" t="s">
        <v>357</v>
      </c>
      <c r="AY168" s="109" t="s">
        <v>330</v>
      </c>
      <c r="AZ168" s="109"/>
      <c r="BA168" s="109"/>
      <c r="BB168" s="109"/>
      <c r="BC168" s="109"/>
      <c r="BD168" s="109" t="s">
        <v>3545</v>
      </c>
      <c r="BE168" s="109" t="s">
        <v>439</v>
      </c>
      <c r="BF168" s="109" t="s">
        <v>3754</v>
      </c>
      <c r="BG168" s="109" t="s">
        <v>685</v>
      </c>
      <c r="BH168" s="109" t="s">
        <v>334</v>
      </c>
      <c r="BI168" s="109" t="s">
        <v>3831</v>
      </c>
      <c r="BJ168" s="109" t="s">
        <v>3888</v>
      </c>
      <c r="BK168" s="109" t="s">
        <v>571</v>
      </c>
      <c r="BL168" s="111" t="s">
        <v>3862</v>
      </c>
      <c r="BM168" s="109"/>
      <c r="BN168" s="109">
        <v>0</v>
      </c>
      <c r="BO168" s="111">
        <v>0</v>
      </c>
      <c r="BP168" s="109"/>
      <c r="BQ168" s="109">
        <v>0</v>
      </c>
      <c r="BR168" s="109">
        <v>0</v>
      </c>
      <c r="BS168" s="109"/>
      <c r="BT168" s="109">
        <v>0</v>
      </c>
      <c r="BU168" s="109">
        <v>0</v>
      </c>
      <c r="BV168" s="109"/>
      <c r="BW168" s="109">
        <v>0</v>
      </c>
      <c r="BX168" s="109">
        <v>0</v>
      </c>
      <c r="BY168" s="109"/>
      <c r="BZ168" s="109">
        <v>0</v>
      </c>
      <c r="CA168" s="109"/>
      <c r="CB168" s="109"/>
      <c r="CC168" s="109"/>
      <c r="CD168" s="110"/>
    </row>
    <row r="169" spans="1:82" ht="13.9" customHeight="1" x14ac:dyDescent="0.2">
      <c r="A169" s="12">
        <v>412</v>
      </c>
      <c r="B169" s="12" t="s">
        <v>4127</v>
      </c>
      <c r="C169" s="78" t="s">
        <v>335</v>
      </c>
      <c r="D169" s="107" t="s">
        <v>116</v>
      </c>
      <c r="E169" s="99" t="s">
        <v>6557</v>
      </c>
      <c r="F169" s="100">
        <v>45177</v>
      </c>
      <c r="G169" s="100">
        <v>45177</v>
      </c>
      <c r="H169" s="101">
        <f t="shared" si="12"/>
        <v>45267</v>
      </c>
      <c r="I169" s="101" t="s">
        <v>291</v>
      </c>
      <c r="J169" s="12" t="s">
        <v>793</v>
      </c>
      <c r="K169" s="12"/>
      <c r="L169" s="12" t="s">
        <v>1885</v>
      </c>
      <c r="M169" s="102" t="str">
        <f t="shared" si="13"/>
        <v>LOPEZ  JENNIFER MARISOL</v>
      </c>
      <c r="N169" s="102" t="s">
        <v>4547</v>
      </c>
      <c r="O169" s="102" t="s">
        <v>4771</v>
      </c>
      <c r="P169" s="12" t="s">
        <v>1954</v>
      </c>
      <c r="Q169" s="100">
        <v>36739</v>
      </c>
      <c r="R169" s="77">
        <f t="shared" si="14"/>
        <v>1</v>
      </c>
      <c r="S169" s="77">
        <f t="shared" si="15"/>
        <v>8</v>
      </c>
      <c r="T169" s="77">
        <f t="shared" si="16"/>
        <v>2000</v>
      </c>
      <c r="U169" s="103">
        <f t="shared" ca="1" si="17"/>
        <v>26.213698630136985</v>
      </c>
      <c r="V169" s="13" t="s">
        <v>452</v>
      </c>
      <c r="W169" s="13" t="s">
        <v>2182</v>
      </c>
      <c r="X169" s="12" t="s">
        <v>1497</v>
      </c>
      <c r="Y169" s="108" t="s">
        <v>218</v>
      </c>
      <c r="Z169" s="12" t="s">
        <v>124</v>
      </c>
      <c r="AA169" s="12" t="s">
        <v>2271</v>
      </c>
      <c r="AB169" s="12" t="s">
        <v>2307</v>
      </c>
      <c r="AC169" s="12" t="s">
        <v>313</v>
      </c>
      <c r="AD169" s="12" t="s">
        <v>314</v>
      </c>
      <c r="AE169" s="12">
        <v>90</v>
      </c>
      <c r="AF169" s="13" t="s">
        <v>350</v>
      </c>
      <c r="AG169" s="12" t="s">
        <v>290</v>
      </c>
      <c r="AH169" s="104" t="s">
        <v>351</v>
      </c>
      <c r="AI169" s="12" t="s">
        <v>317</v>
      </c>
      <c r="AJ169" s="12" t="s">
        <v>318</v>
      </c>
      <c r="AK169" s="12" t="s">
        <v>2790</v>
      </c>
      <c r="AL169" s="104" t="s">
        <v>3086</v>
      </c>
      <c r="AM169" s="12" t="s">
        <v>2555</v>
      </c>
      <c r="AN169" s="12" t="s">
        <v>328</v>
      </c>
      <c r="AO169" s="12" t="s">
        <v>398</v>
      </c>
      <c r="AP169" s="12"/>
      <c r="AQ169" s="12" t="s">
        <v>3309</v>
      </c>
      <c r="AR169" s="12" t="s">
        <v>3366</v>
      </c>
      <c r="AS169" s="12" t="s">
        <v>581</v>
      </c>
      <c r="AT169" s="12" t="s">
        <v>3384</v>
      </c>
      <c r="AU169" s="12" t="s">
        <v>3406</v>
      </c>
      <c r="AV169" s="12">
        <v>45320</v>
      </c>
      <c r="AW169" s="12">
        <v>0</v>
      </c>
      <c r="AX169" s="12">
        <v>0</v>
      </c>
      <c r="AY169" s="12">
        <v>0</v>
      </c>
      <c r="AZ169" s="12" t="s">
        <v>484</v>
      </c>
      <c r="BA169" s="12" t="s">
        <v>3445</v>
      </c>
      <c r="BB169" s="100">
        <v>44958</v>
      </c>
      <c r="BC169" s="12" t="s">
        <v>533</v>
      </c>
      <c r="BD169" s="12">
        <v>0</v>
      </c>
      <c r="BE169" s="12">
        <v>0</v>
      </c>
      <c r="BF169" s="12">
        <v>0</v>
      </c>
      <c r="BG169" s="12" t="s">
        <v>333</v>
      </c>
      <c r="BH169" s="12" t="s">
        <v>334</v>
      </c>
      <c r="BI169" s="12">
        <v>1</v>
      </c>
      <c r="BJ169" s="12"/>
      <c r="BK169" s="12"/>
      <c r="BL169" s="105"/>
      <c r="BM169" s="12"/>
      <c r="BN169" s="12"/>
      <c r="BO169" s="105"/>
      <c r="BP169" s="12"/>
      <c r="BQ169" s="12"/>
      <c r="BR169" s="12"/>
      <c r="BS169" s="12"/>
      <c r="BT169" s="12"/>
      <c r="BU169" s="12"/>
      <c r="BV169" s="12"/>
      <c r="BW169" s="12"/>
      <c r="BX169" s="12"/>
      <c r="BY169" s="12"/>
      <c r="BZ169" s="12"/>
      <c r="CA169" s="12"/>
      <c r="CB169" s="12"/>
      <c r="CC169" s="12"/>
      <c r="CD169" s="78"/>
    </row>
    <row r="170" spans="1:82" s="116" customFormat="1" ht="13.9" customHeight="1" x14ac:dyDescent="0.2">
      <c r="A170" s="109">
        <v>506</v>
      </c>
      <c r="B170" s="109" t="s">
        <v>4099</v>
      </c>
      <c r="C170" s="110" t="s">
        <v>335</v>
      </c>
      <c r="D170" s="111" t="s">
        <v>86</v>
      </c>
      <c r="E170" s="111" t="s">
        <v>6558</v>
      </c>
      <c r="F170" s="112">
        <v>45189</v>
      </c>
      <c r="G170" s="112">
        <v>45189</v>
      </c>
      <c r="H170" s="113">
        <f t="shared" si="12"/>
        <v>45279</v>
      </c>
      <c r="I170" s="113" t="s">
        <v>290</v>
      </c>
      <c r="J170" s="109" t="s">
        <v>793</v>
      </c>
      <c r="K170" s="109" t="s">
        <v>1280</v>
      </c>
      <c r="L170" s="109" t="s">
        <v>1819</v>
      </c>
      <c r="M170" s="128" t="str">
        <f t="shared" si="13"/>
        <v>LOPEZ RAMIREZ DAVID DEL REFUGIO</v>
      </c>
      <c r="N170" s="128" t="s">
        <v>6948</v>
      </c>
      <c r="O170" s="128" t="s">
        <v>4695</v>
      </c>
      <c r="P170" s="109" t="s">
        <v>1953</v>
      </c>
      <c r="Q170" s="112">
        <v>36019</v>
      </c>
      <c r="R170" s="125">
        <f t="shared" si="14"/>
        <v>12</v>
      </c>
      <c r="S170" s="125">
        <f t="shared" si="15"/>
        <v>8</v>
      </c>
      <c r="T170" s="125">
        <f t="shared" si="16"/>
        <v>1998</v>
      </c>
      <c r="U170" s="142">
        <f t="shared" ca="1" si="17"/>
        <v>28.186301369863013</v>
      </c>
      <c r="V170" s="114" t="s">
        <v>389</v>
      </c>
      <c r="W170" s="114" t="s">
        <v>2106</v>
      </c>
      <c r="X170" s="109" t="s">
        <v>1497</v>
      </c>
      <c r="Y170" s="109" t="s">
        <v>156</v>
      </c>
      <c r="Z170" s="109" t="s">
        <v>153</v>
      </c>
      <c r="AA170" s="109" t="s">
        <v>347</v>
      </c>
      <c r="AB170" s="109" t="s">
        <v>842</v>
      </c>
      <c r="AC170" s="109" t="s">
        <v>313</v>
      </c>
      <c r="AD170" s="109" t="s">
        <v>314</v>
      </c>
      <c r="AE170" s="109">
        <v>90</v>
      </c>
      <c r="AF170" s="114" t="s">
        <v>315</v>
      </c>
      <c r="AG170" s="109" t="s">
        <v>290</v>
      </c>
      <c r="AH170" s="115" t="s">
        <v>843</v>
      </c>
      <c r="AI170" s="109" t="s">
        <v>317</v>
      </c>
      <c r="AJ170" s="109" t="s">
        <v>318</v>
      </c>
      <c r="AK170" s="109" t="s">
        <v>2731</v>
      </c>
      <c r="AL170" s="115" t="s">
        <v>3012</v>
      </c>
      <c r="AM170" s="109" t="s">
        <v>2483</v>
      </c>
      <c r="AN170" s="109" t="s">
        <v>325</v>
      </c>
      <c r="AO170" s="109" t="s">
        <v>398</v>
      </c>
      <c r="AP170" s="109"/>
      <c r="AQ170" s="109">
        <v>0</v>
      </c>
      <c r="AR170" s="109">
        <v>0</v>
      </c>
      <c r="AS170" s="109">
        <v>0</v>
      </c>
      <c r="AT170" s="109">
        <v>0</v>
      </c>
      <c r="AU170" s="109">
        <v>0</v>
      </c>
      <c r="AV170" s="109">
        <v>0</v>
      </c>
      <c r="AW170" s="109" t="s">
        <v>357</v>
      </c>
      <c r="AX170" s="109" t="s">
        <v>329</v>
      </c>
      <c r="AY170" s="109" t="s">
        <v>357</v>
      </c>
      <c r="AZ170" s="109" t="s">
        <v>484</v>
      </c>
      <c r="BA170" s="109"/>
      <c r="BB170" s="109"/>
      <c r="BC170" s="109"/>
      <c r="BD170" s="109" t="s">
        <v>2483</v>
      </c>
      <c r="BE170" s="109" t="s">
        <v>325</v>
      </c>
      <c r="BF170" s="109" t="s">
        <v>3685</v>
      </c>
      <c r="BG170" s="109" t="s">
        <v>685</v>
      </c>
      <c r="BH170" s="109" t="s">
        <v>334</v>
      </c>
      <c r="BI170" s="109" t="s">
        <v>3831</v>
      </c>
      <c r="BJ170" s="109" t="s">
        <v>3831</v>
      </c>
      <c r="BK170" s="109"/>
      <c r="BL170" s="111"/>
      <c r="BM170" s="109"/>
      <c r="BN170" s="109"/>
      <c r="BO170" s="111"/>
      <c r="BP170" s="109"/>
      <c r="BQ170" s="109"/>
      <c r="BR170" s="109"/>
      <c r="BS170" s="109"/>
      <c r="BT170" s="109"/>
      <c r="BU170" s="109"/>
      <c r="BV170" s="109"/>
      <c r="BW170" s="109"/>
      <c r="BX170" s="109"/>
      <c r="BY170" s="109"/>
      <c r="BZ170" s="109"/>
      <c r="CA170" s="109"/>
      <c r="CB170" s="109"/>
      <c r="CC170" s="109"/>
      <c r="CD170" s="110"/>
    </row>
    <row r="171" spans="1:82" s="116" customFormat="1" ht="13.9" customHeight="1" x14ac:dyDescent="0.2">
      <c r="A171" s="109">
        <v>783</v>
      </c>
      <c r="B171" s="109" t="s">
        <v>3971</v>
      </c>
      <c r="C171" s="115" t="s">
        <v>299</v>
      </c>
      <c r="D171" s="111" t="s">
        <v>80</v>
      </c>
      <c r="E171" s="111" t="s">
        <v>1623</v>
      </c>
      <c r="F171" s="112">
        <v>45215</v>
      </c>
      <c r="G171" s="112">
        <v>45215</v>
      </c>
      <c r="H171" s="113">
        <f t="shared" si="12"/>
        <v>45305</v>
      </c>
      <c r="I171" s="113" t="s">
        <v>290</v>
      </c>
      <c r="J171" s="109" t="s">
        <v>1420</v>
      </c>
      <c r="K171" s="109" t="s">
        <v>628</v>
      </c>
      <c r="L171" s="109" t="s">
        <v>1708</v>
      </c>
      <c r="M171" s="128" t="str">
        <f t="shared" si="13"/>
        <v>BRAVO LIMON JOSE MISSAEL</v>
      </c>
      <c r="N171" s="128" t="s">
        <v>6949</v>
      </c>
      <c r="O171" s="128" t="s">
        <v>4557</v>
      </c>
      <c r="P171" s="109" t="s">
        <v>1953</v>
      </c>
      <c r="Q171" s="112">
        <v>35360</v>
      </c>
      <c r="R171" s="125">
        <f t="shared" si="14"/>
        <v>22</v>
      </c>
      <c r="S171" s="125">
        <f t="shared" si="15"/>
        <v>10</v>
      </c>
      <c r="T171" s="125">
        <f t="shared" si="16"/>
        <v>1996</v>
      </c>
      <c r="U171" s="142">
        <f t="shared" ca="1" si="17"/>
        <v>29.991780821917807</v>
      </c>
      <c r="V171" s="114" t="s">
        <v>342</v>
      </c>
      <c r="W171" s="114" t="s">
        <v>1967</v>
      </c>
      <c r="X171" s="109" t="s">
        <v>1497</v>
      </c>
      <c r="Y171" s="120" t="s">
        <v>77</v>
      </c>
      <c r="Z171" s="109" t="s">
        <v>73</v>
      </c>
      <c r="AA171" s="109" t="s">
        <v>311</v>
      </c>
      <c r="AB171" s="109" t="s">
        <v>312</v>
      </c>
      <c r="AC171" s="109" t="s">
        <v>313</v>
      </c>
      <c r="AD171" s="109" t="s">
        <v>314</v>
      </c>
      <c r="AE171" s="109">
        <v>90</v>
      </c>
      <c r="AF171" s="114" t="s">
        <v>315</v>
      </c>
      <c r="AG171" s="109" t="s">
        <v>290</v>
      </c>
      <c r="AH171" s="115" t="s">
        <v>1329</v>
      </c>
      <c r="AI171" s="109" t="s">
        <v>317</v>
      </c>
      <c r="AJ171" s="109" t="s">
        <v>318</v>
      </c>
      <c r="AK171" s="109" t="s">
        <v>2642</v>
      </c>
      <c r="AL171" s="115" t="s">
        <v>2875</v>
      </c>
      <c r="AM171" s="109" t="s">
        <v>2358</v>
      </c>
      <c r="AN171" s="109" t="s">
        <v>381</v>
      </c>
      <c r="AO171" s="109" t="s">
        <v>398</v>
      </c>
      <c r="AP171" s="109"/>
      <c r="AQ171" s="109" t="s">
        <v>880</v>
      </c>
      <c r="AR171" s="109">
        <v>12</v>
      </c>
      <c r="AS171" s="109" t="s">
        <v>581</v>
      </c>
      <c r="AT171" s="109" t="s">
        <v>483</v>
      </c>
      <c r="AU171" s="109" t="s">
        <v>483</v>
      </c>
      <c r="AV171" s="109">
        <v>78000</v>
      </c>
      <c r="AW171" s="109" t="s">
        <v>357</v>
      </c>
      <c r="AX171" s="109" t="s">
        <v>357</v>
      </c>
      <c r="AY171" s="109" t="s">
        <v>357</v>
      </c>
      <c r="AZ171" s="109"/>
      <c r="BA171" s="109"/>
      <c r="BB171" s="109"/>
      <c r="BC171" s="109"/>
      <c r="BD171" s="109" t="s">
        <v>2358</v>
      </c>
      <c r="BE171" s="109" t="s">
        <v>381</v>
      </c>
      <c r="BF171" s="109" t="s">
        <v>3590</v>
      </c>
      <c r="BG171" s="109" t="s">
        <v>488</v>
      </c>
      <c r="BH171" s="109" t="s">
        <v>334</v>
      </c>
      <c r="BI171" s="109" t="s">
        <v>3831</v>
      </c>
      <c r="BJ171" s="109" t="s">
        <v>3888</v>
      </c>
      <c r="BK171" s="109" t="s">
        <v>571</v>
      </c>
      <c r="BL171" s="111" t="s">
        <v>3923</v>
      </c>
      <c r="BM171" s="109"/>
      <c r="BN171" s="109">
        <v>0</v>
      </c>
      <c r="BO171" s="111">
        <v>0</v>
      </c>
      <c r="BP171" s="109"/>
      <c r="BQ171" s="109">
        <v>0</v>
      </c>
      <c r="BR171" s="109">
        <v>0</v>
      </c>
      <c r="BS171" s="109"/>
      <c r="BT171" s="109">
        <v>0</v>
      </c>
      <c r="BU171" s="109">
        <v>0</v>
      </c>
      <c r="BV171" s="109"/>
      <c r="BW171" s="109">
        <v>0</v>
      </c>
      <c r="BX171" s="109">
        <v>0</v>
      </c>
      <c r="BY171" s="109"/>
      <c r="BZ171" s="109">
        <v>0</v>
      </c>
      <c r="CA171" s="109"/>
      <c r="CB171" s="109"/>
      <c r="CC171" s="109"/>
      <c r="CD171" s="110"/>
    </row>
    <row r="172" spans="1:82" s="116" customFormat="1" ht="13.9" customHeight="1" x14ac:dyDescent="0.2">
      <c r="A172" s="109">
        <v>529</v>
      </c>
      <c r="B172" s="109" t="s">
        <v>3984</v>
      </c>
      <c r="C172" s="115" t="s">
        <v>564</v>
      </c>
      <c r="D172" s="109" t="s">
        <v>81</v>
      </c>
      <c r="E172" s="111" t="s">
        <v>1625</v>
      </c>
      <c r="F172" s="112">
        <v>45217</v>
      </c>
      <c r="G172" s="112">
        <v>45217</v>
      </c>
      <c r="H172" s="113">
        <f t="shared" si="12"/>
        <v>45307</v>
      </c>
      <c r="I172" s="113" t="s">
        <v>290</v>
      </c>
      <c r="J172" s="109" t="s">
        <v>4319</v>
      </c>
      <c r="K172" s="109" t="s">
        <v>4443</v>
      </c>
      <c r="L172" s="109" t="s">
        <v>1716</v>
      </c>
      <c r="M172" s="128" t="str">
        <f t="shared" si="13"/>
        <v>MEJIA FRANCO JOSE GUILLERMO</v>
      </c>
      <c r="N172" s="128" t="s">
        <v>6950</v>
      </c>
      <c r="O172" s="128" t="s">
        <v>4570</v>
      </c>
      <c r="P172" s="109" t="s">
        <v>1953</v>
      </c>
      <c r="Q172" s="112">
        <v>30740</v>
      </c>
      <c r="R172" s="125">
        <f t="shared" si="14"/>
        <v>28</v>
      </c>
      <c r="S172" s="125">
        <f t="shared" si="15"/>
        <v>2</v>
      </c>
      <c r="T172" s="125">
        <f t="shared" si="16"/>
        <v>1984</v>
      </c>
      <c r="U172" s="142">
        <f t="shared" ca="1" si="17"/>
        <v>42.649315068493152</v>
      </c>
      <c r="V172" s="114" t="s">
        <v>342</v>
      </c>
      <c r="W172" s="114" t="s">
        <v>1980</v>
      </c>
      <c r="X172" s="109" t="s">
        <v>1497</v>
      </c>
      <c r="Y172" s="109" t="s">
        <v>85</v>
      </c>
      <c r="Z172" s="109" t="s">
        <v>84</v>
      </c>
      <c r="AA172" s="109" t="s">
        <v>532</v>
      </c>
      <c r="AB172" s="109" t="s">
        <v>574</v>
      </c>
      <c r="AC172" s="109" t="s">
        <v>313</v>
      </c>
      <c r="AD172" s="109" t="s">
        <v>314</v>
      </c>
      <c r="AE172" s="109">
        <v>90</v>
      </c>
      <c r="AF172" s="114" t="s">
        <v>350</v>
      </c>
      <c r="AG172" s="109" t="s">
        <v>290</v>
      </c>
      <c r="AH172" s="115" t="s">
        <v>575</v>
      </c>
      <c r="AI172" s="109" t="s">
        <v>317</v>
      </c>
      <c r="AJ172" s="109" t="s">
        <v>318</v>
      </c>
      <c r="AK172" s="109" t="s">
        <v>2650</v>
      </c>
      <c r="AL172" s="115" t="s">
        <v>2887</v>
      </c>
      <c r="AM172" s="109" t="s">
        <v>2369</v>
      </c>
      <c r="AN172" s="109" t="s">
        <v>381</v>
      </c>
      <c r="AO172" s="109" t="s">
        <v>327</v>
      </c>
      <c r="AP172" s="109"/>
      <c r="AQ172" s="109" t="s">
        <v>3200</v>
      </c>
      <c r="AR172" s="109">
        <v>1</v>
      </c>
      <c r="AS172" s="109" t="s">
        <v>581</v>
      </c>
      <c r="AT172" s="109" t="s">
        <v>624</v>
      </c>
      <c r="AU172" s="109" t="s">
        <v>583</v>
      </c>
      <c r="AV172" s="109">
        <v>45680</v>
      </c>
      <c r="AW172" s="109" t="s">
        <v>329</v>
      </c>
      <c r="AX172" s="109" t="s">
        <v>357</v>
      </c>
      <c r="AY172" s="109" t="s">
        <v>357</v>
      </c>
      <c r="AZ172" s="109"/>
      <c r="BA172" s="109"/>
      <c r="BB172" s="109"/>
      <c r="BC172" s="109"/>
      <c r="BD172" s="109" t="s">
        <v>3462</v>
      </c>
      <c r="BE172" s="109" t="s">
        <v>361</v>
      </c>
      <c r="BF172" s="109" t="s">
        <v>3598</v>
      </c>
      <c r="BG172" s="109" t="s">
        <v>3816</v>
      </c>
      <c r="BH172" s="109" t="s">
        <v>334</v>
      </c>
      <c r="BI172" s="109" t="s">
        <v>3831</v>
      </c>
      <c r="BJ172" s="109" t="s">
        <v>3888</v>
      </c>
      <c r="BK172" s="109" t="s">
        <v>571</v>
      </c>
      <c r="BL172" s="111" t="s">
        <v>3917</v>
      </c>
      <c r="BM172" s="109"/>
      <c r="BN172" s="109">
        <v>0</v>
      </c>
      <c r="BO172" s="111">
        <v>0</v>
      </c>
      <c r="BP172" s="109"/>
      <c r="BQ172" s="109">
        <v>0</v>
      </c>
      <c r="BR172" s="109">
        <v>0</v>
      </c>
      <c r="BS172" s="109"/>
      <c r="BT172" s="109">
        <v>0</v>
      </c>
      <c r="BU172" s="109">
        <v>0</v>
      </c>
      <c r="BV172" s="109"/>
      <c r="BW172" s="109">
        <v>0</v>
      </c>
      <c r="BX172" s="109">
        <v>0</v>
      </c>
      <c r="BY172" s="109"/>
      <c r="BZ172" s="109">
        <v>0</v>
      </c>
      <c r="CA172" s="109"/>
      <c r="CB172" s="109"/>
      <c r="CC172" s="109"/>
      <c r="CD172" s="110"/>
    </row>
    <row r="173" spans="1:82" ht="13.9" customHeight="1" x14ac:dyDescent="0.2">
      <c r="A173" s="12">
        <v>790</v>
      </c>
      <c r="B173" s="12" t="s">
        <v>4245</v>
      </c>
      <c r="C173" s="104" t="s">
        <v>299</v>
      </c>
      <c r="D173" s="99" t="s">
        <v>80</v>
      </c>
      <c r="E173" s="99" t="s">
        <v>6559</v>
      </c>
      <c r="F173" s="100">
        <v>45223</v>
      </c>
      <c r="G173" s="100">
        <v>45223</v>
      </c>
      <c r="H173" s="101">
        <f t="shared" si="12"/>
        <v>45343</v>
      </c>
      <c r="I173" s="101" t="s">
        <v>291</v>
      </c>
      <c r="J173" s="12" t="s">
        <v>506</v>
      </c>
      <c r="K173" s="12" t="s">
        <v>4506</v>
      </c>
      <c r="L173" s="12" t="s">
        <v>1864</v>
      </c>
      <c r="M173" s="102" t="str">
        <f t="shared" si="13"/>
        <v>TAPIA CURIEL FELIPE</v>
      </c>
      <c r="N173" s="102" t="s">
        <v>6951</v>
      </c>
      <c r="O173" s="102" t="s">
        <v>4747</v>
      </c>
      <c r="P173" s="12" t="s">
        <v>1953</v>
      </c>
      <c r="Q173" s="100">
        <v>24114</v>
      </c>
      <c r="R173" s="77">
        <f t="shared" si="14"/>
        <v>7</v>
      </c>
      <c r="S173" s="77">
        <f t="shared" si="15"/>
        <v>1</v>
      </c>
      <c r="T173" s="77">
        <f t="shared" si="16"/>
        <v>1966</v>
      </c>
      <c r="U173" s="103">
        <f t="shared" ca="1" si="17"/>
        <v>60.802739726027397</v>
      </c>
      <c r="V173" s="13" t="s">
        <v>342</v>
      </c>
      <c r="W173" s="13" t="s">
        <v>2159</v>
      </c>
      <c r="X173" s="12" t="s">
        <v>1497</v>
      </c>
      <c r="Y173" s="119" t="s">
        <v>200</v>
      </c>
      <c r="Z173" s="12" t="s">
        <v>196</v>
      </c>
      <c r="AA173" s="12" t="s">
        <v>2273</v>
      </c>
      <c r="AB173" s="12" t="s">
        <v>2288</v>
      </c>
      <c r="AC173" s="12" t="s">
        <v>313</v>
      </c>
      <c r="AD173" s="12" t="s">
        <v>314</v>
      </c>
      <c r="AE173" s="12">
        <v>120</v>
      </c>
      <c r="AF173" s="13" t="s">
        <v>315</v>
      </c>
      <c r="AG173" s="12" t="s">
        <v>291</v>
      </c>
      <c r="AH173" s="104" t="s">
        <v>316</v>
      </c>
      <c r="AI173" s="12" t="s">
        <v>317</v>
      </c>
      <c r="AJ173" s="12" t="s">
        <v>318</v>
      </c>
      <c r="AK173" s="12" t="s">
        <v>2773</v>
      </c>
      <c r="AL173" s="104" t="s">
        <v>3065</v>
      </c>
      <c r="AM173" s="12" t="s">
        <v>2536</v>
      </c>
      <c r="AN173" s="12" t="s">
        <v>381</v>
      </c>
      <c r="AO173" s="12" t="s">
        <v>398</v>
      </c>
      <c r="AP173" s="12"/>
      <c r="AQ173" s="12" t="s">
        <v>3295</v>
      </c>
      <c r="AR173" s="12" t="s">
        <v>3363</v>
      </c>
      <c r="AS173" s="12" t="s">
        <v>581</v>
      </c>
      <c r="AT173" s="12" t="s">
        <v>482</v>
      </c>
      <c r="AU173" s="12" t="s">
        <v>483</v>
      </c>
      <c r="AV173" s="12">
        <v>78436</v>
      </c>
      <c r="AW173" s="12" t="s">
        <v>357</v>
      </c>
      <c r="AX173" s="12" t="s">
        <v>357</v>
      </c>
      <c r="AY173" s="12" t="s">
        <v>357</v>
      </c>
      <c r="AZ173" s="12"/>
      <c r="BA173" s="12"/>
      <c r="BB173" s="12"/>
      <c r="BC173" s="12"/>
      <c r="BD173" s="12" t="s">
        <v>2536</v>
      </c>
      <c r="BE173" s="12" t="s">
        <v>381</v>
      </c>
      <c r="BF173" s="12" t="s">
        <v>3727</v>
      </c>
      <c r="BG173" s="12" t="s">
        <v>488</v>
      </c>
      <c r="BH173" s="12" t="s">
        <v>334</v>
      </c>
      <c r="BI173" s="12" t="s">
        <v>3831</v>
      </c>
      <c r="BJ173" s="12" t="s">
        <v>3888</v>
      </c>
      <c r="BK173" s="12" t="s">
        <v>571</v>
      </c>
      <c r="BL173" s="105" t="s">
        <v>3929</v>
      </c>
      <c r="BM173" s="12"/>
      <c r="BN173" s="12" t="s">
        <v>3911</v>
      </c>
      <c r="BO173" s="105" t="s">
        <v>3943</v>
      </c>
      <c r="BP173" s="12"/>
      <c r="BQ173" s="12" t="s">
        <v>3911</v>
      </c>
      <c r="BR173" s="12" t="s">
        <v>3912</v>
      </c>
      <c r="BS173" s="12"/>
      <c r="BT173" s="12">
        <v>0</v>
      </c>
      <c r="BU173" s="12">
        <v>0</v>
      </c>
      <c r="BV173" s="12"/>
      <c r="BW173" s="12">
        <v>0</v>
      </c>
      <c r="BX173" s="12">
        <v>0</v>
      </c>
      <c r="BY173" s="12"/>
      <c r="BZ173" s="12">
        <v>0</v>
      </c>
      <c r="CA173" s="12"/>
      <c r="CB173" s="12"/>
      <c r="CC173" s="12"/>
      <c r="CD173" s="78"/>
    </row>
    <row r="174" spans="1:82" ht="13.9" customHeight="1" x14ac:dyDescent="0.2">
      <c r="A174" s="12">
        <v>791</v>
      </c>
      <c r="B174" s="12" t="s">
        <v>4021</v>
      </c>
      <c r="C174" s="104" t="s">
        <v>299</v>
      </c>
      <c r="D174" s="99" t="s">
        <v>80</v>
      </c>
      <c r="E174" s="99" t="s">
        <v>6560</v>
      </c>
      <c r="F174" s="100">
        <v>45224</v>
      </c>
      <c r="G174" s="100">
        <v>45224</v>
      </c>
      <c r="H174" s="101">
        <f t="shared" si="12"/>
        <v>45344</v>
      </c>
      <c r="I174" s="101" t="s">
        <v>291</v>
      </c>
      <c r="J174" s="12" t="s">
        <v>4349</v>
      </c>
      <c r="K174" s="12" t="s">
        <v>4361</v>
      </c>
      <c r="L174" s="12" t="s">
        <v>1772</v>
      </c>
      <c r="M174" s="102" t="str">
        <f t="shared" si="13"/>
        <v>GALAVIZ MENDOZA ALMA VALERIA</v>
      </c>
      <c r="N174" s="102" t="s">
        <v>6952</v>
      </c>
      <c r="O174" s="102" t="s">
        <v>4635</v>
      </c>
      <c r="P174" s="12" t="s">
        <v>1953</v>
      </c>
      <c r="Q174" s="100">
        <v>32901</v>
      </c>
      <c r="R174" s="77">
        <f t="shared" si="14"/>
        <v>28</v>
      </c>
      <c r="S174" s="77">
        <f t="shared" si="15"/>
        <v>1</v>
      </c>
      <c r="T174" s="77">
        <f t="shared" si="16"/>
        <v>1990</v>
      </c>
      <c r="U174" s="103">
        <f t="shared" ca="1" si="17"/>
        <v>36.728767123287675</v>
      </c>
      <c r="V174" s="13" t="s">
        <v>1450</v>
      </c>
      <c r="W174" s="13" t="s">
        <v>2047</v>
      </c>
      <c r="X174" s="12" t="s">
        <v>1497</v>
      </c>
      <c r="Y174" s="122" t="s">
        <v>200</v>
      </c>
      <c r="Z174" s="12" t="s">
        <v>196</v>
      </c>
      <c r="AA174" s="12" t="s">
        <v>2273</v>
      </c>
      <c r="AB174" s="12" t="s">
        <v>2288</v>
      </c>
      <c r="AC174" s="12" t="s">
        <v>313</v>
      </c>
      <c r="AD174" s="12" t="s">
        <v>314</v>
      </c>
      <c r="AE174" s="12">
        <v>120</v>
      </c>
      <c r="AF174" s="13" t="s">
        <v>315</v>
      </c>
      <c r="AG174" s="12" t="s">
        <v>291</v>
      </c>
      <c r="AH174" s="104" t="s">
        <v>316</v>
      </c>
      <c r="AI174" s="12" t="s">
        <v>317</v>
      </c>
      <c r="AJ174" s="12" t="s">
        <v>318</v>
      </c>
      <c r="AK174" s="12" t="s">
        <v>2693</v>
      </c>
      <c r="AL174" s="104" t="s">
        <v>2953</v>
      </c>
      <c r="AM174" s="12" t="s">
        <v>2434</v>
      </c>
      <c r="AN174" s="12" t="s">
        <v>325</v>
      </c>
      <c r="AO174" s="12" t="s">
        <v>398</v>
      </c>
      <c r="AP174" s="12"/>
      <c r="AQ174" s="12" t="s">
        <v>3245</v>
      </c>
      <c r="AR174" s="12">
        <v>260</v>
      </c>
      <c r="AS174" s="12" t="s">
        <v>3371</v>
      </c>
      <c r="AT174" s="12" t="s">
        <v>3383</v>
      </c>
      <c r="AU174" s="12" t="s">
        <v>1224</v>
      </c>
      <c r="AV174" s="12">
        <v>87000</v>
      </c>
      <c r="AW174" s="12" t="s">
        <v>357</v>
      </c>
      <c r="AX174" s="12" t="s">
        <v>357</v>
      </c>
      <c r="AY174" s="12" t="s">
        <v>357</v>
      </c>
      <c r="AZ174" s="12"/>
      <c r="BA174" s="12"/>
      <c r="BB174" s="12"/>
      <c r="BC174" s="12"/>
      <c r="BD174" s="12" t="s">
        <v>3480</v>
      </c>
      <c r="BE174" s="12" t="s">
        <v>3178</v>
      </c>
      <c r="BF174" s="12" t="s">
        <v>3641</v>
      </c>
      <c r="BG174" s="12" t="s">
        <v>333</v>
      </c>
      <c r="BH174" s="12" t="s">
        <v>334</v>
      </c>
      <c r="BI174" s="12" t="s">
        <v>3831</v>
      </c>
      <c r="BJ174" s="12" t="s">
        <v>3888</v>
      </c>
      <c r="BK174" s="12" t="s">
        <v>3911</v>
      </c>
      <c r="BL174" s="105" t="s">
        <v>3945</v>
      </c>
      <c r="BM174" s="12"/>
      <c r="BN174" s="12" t="s">
        <v>571</v>
      </c>
      <c r="BO174" s="105" t="s">
        <v>3923</v>
      </c>
      <c r="BP174" s="12"/>
      <c r="BQ174" s="12" t="s">
        <v>3911</v>
      </c>
      <c r="BR174" s="12" t="s">
        <v>3918</v>
      </c>
      <c r="BS174" s="12"/>
      <c r="BT174" s="12" t="s">
        <v>571</v>
      </c>
      <c r="BU174" s="12"/>
      <c r="BV174" s="12"/>
      <c r="BW174" s="12" t="s">
        <v>571</v>
      </c>
      <c r="BX174" s="12">
        <v>0</v>
      </c>
      <c r="BY174" s="12"/>
      <c r="BZ174" s="12"/>
      <c r="CA174" s="12"/>
      <c r="CB174" s="12"/>
      <c r="CC174" s="12"/>
      <c r="CD174" s="78"/>
    </row>
    <row r="175" spans="1:82" s="116" customFormat="1" ht="13.9" customHeight="1" x14ac:dyDescent="0.2">
      <c r="A175" s="109">
        <v>539</v>
      </c>
      <c r="B175" s="109" t="s">
        <v>4214</v>
      </c>
      <c r="C175" s="110" t="s">
        <v>363</v>
      </c>
      <c r="D175" s="109" t="s">
        <v>98</v>
      </c>
      <c r="E175" s="111" t="s">
        <v>6561</v>
      </c>
      <c r="F175" s="112">
        <v>45251</v>
      </c>
      <c r="G175" s="112">
        <v>45251</v>
      </c>
      <c r="H175" s="113">
        <f t="shared" si="12"/>
        <v>45341</v>
      </c>
      <c r="I175" s="113" t="s">
        <v>291</v>
      </c>
      <c r="J175" s="109" t="s">
        <v>4424</v>
      </c>
      <c r="K175" s="109" t="s">
        <v>4532</v>
      </c>
      <c r="L175" s="109" t="s">
        <v>1864</v>
      </c>
      <c r="M175" s="128" t="str">
        <f t="shared" si="13"/>
        <v>BRANCA PALENCIA FELIPE</v>
      </c>
      <c r="N175" s="128" t="s">
        <v>6953</v>
      </c>
      <c r="O175" s="128" t="s">
        <v>4826</v>
      </c>
      <c r="P175" s="109" t="s">
        <v>1953</v>
      </c>
      <c r="Q175" s="112">
        <v>25703</v>
      </c>
      <c r="R175" s="125">
        <f t="shared" si="14"/>
        <v>15</v>
      </c>
      <c r="S175" s="125">
        <f t="shared" si="15"/>
        <v>5</v>
      </c>
      <c r="T175" s="125">
        <f t="shared" si="16"/>
        <v>1970</v>
      </c>
      <c r="U175" s="142">
        <f t="shared" ca="1" si="17"/>
        <v>56.449315068493149</v>
      </c>
      <c r="V175" s="114" t="s">
        <v>342</v>
      </c>
      <c r="W175" s="114" t="s">
        <v>2237</v>
      </c>
      <c r="X175" s="109" t="s">
        <v>1497</v>
      </c>
      <c r="Y175" s="109" t="s">
        <v>217</v>
      </c>
      <c r="Z175" s="109" t="s">
        <v>255</v>
      </c>
      <c r="AA175" s="109" t="s">
        <v>636</v>
      </c>
      <c r="AB175" s="109" t="s">
        <v>2313</v>
      </c>
      <c r="AC175" s="109" t="s">
        <v>313</v>
      </c>
      <c r="AD175" s="109" t="s">
        <v>314</v>
      </c>
      <c r="AE175" s="109">
        <v>90</v>
      </c>
      <c r="AF175" s="114" t="s">
        <v>597</v>
      </c>
      <c r="AG175" s="109" t="s">
        <v>290</v>
      </c>
      <c r="AH175" s="115" t="s">
        <v>598</v>
      </c>
      <c r="AI175" s="109" t="s">
        <v>317</v>
      </c>
      <c r="AJ175" s="109" t="s">
        <v>318</v>
      </c>
      <c r="AK175" s="109" t="s">
        <v>2838</v>
      </c>
      <c r="AL175" s="115" t="s">
        <v>3141</v>
      </c>
      <c r="AM175" s="109" t="s">
        <v>2609</v>
      </c>
      <c r="AN175" s="109" t="s">
        <v>381</v>
      </c>
      <c r="AO175" s="109" t="s">
        <v>398</v>
      </c>
      <c r="AP175" s="109"/>
      <c r="AQ175" s="109" t="s">
        <v>3335</v>
      </c>
      <c r="AR175" s="109">
        <v>2714</v>
      </c>
      <c r="AS175" s="109" t="s">
        <v>328</v>
      </c>
      <c r="AT175" s="109" t="s">
        <v>116</v>
      </c>
      <c r="AU175" s="109" t="s">
        <v>583</v>
      </c>
      <c r="AV175" s="109">
        <v>44940</v>
      </c>
      <c r="AW175" s="109" t="s">
        <v>329</v>
      </c>
      <c r="AX175" s="109" t="s">
        <v>357</v>
      </c>
      <c r="AY175" s="109" t="s">
        <v>329</v>
      </c>
      <c r="AZ175" s="109"/>
      <c r="BA175" s="109"/>
      <c r="BB175" s="109"/>
      <c r="BC175" s="109"/>
      <c r="BD175" s="109" t="s">
        <v>2609</v>
      </c>
      <c r="BE175" s="109" t="s">
        <v>381</v>
      </c>
      <c r="BF175" s="109" t="s">
        <v>3789</v>
      </c>
      <c r="BG175" s="109" t="s">
        <v>333</v>
      </c>
      <c r="BH175" s="109" t="s">
        <v>334</v>
      </c>
      <c r="BI175" s="109" t="s">
        <v>3831</v>
      </c>
      <c r="BJ175" s="109" t="s">
        <v>3888</v>
      </c>
      <c r="BK175" s="109" t="s">
        <v>3911</v>
      </c>
      <c r="BL175" s="111" t="s">
        <v>3945</v>
      </c>
      <c r="BM175" s="109"/>
      <c r="BN175" s="109" t="s">
        <v>571</v>
      </c>
      <c r="BO175" s="111" t="s">
        <v>3913</v>
      </c>
      <c r="BP175" s="109"/>
      <c r="BQ175" s="109">
        <v>0</v>
      </c>
      <c r="BR175" s="109">
        <v>0</v>
      </c>
      <c r="BS175" s="109"/>
      <c r="BT175" s="109">
        <v>0</v>
      </c>
      <c r="BU175" s="109">
        <v>0</v>
      </c>
      <c r="BV175" s="109"/>
      <c r="BW175" s="109">
        <v>0</v>
      </c>
      <c r="BX175" s="109">
        <v>0</v>
      </c>
      <c r="BY175" s="109"/>
      <c r="BZ175" s="109">
        <v>0</v>
      </c>
      <c r="CA175" s="109"/>
      <c r="CB175" s="109"/>
      <c r="CC175" s="109"/>
      <c r="CD175" s="110"/>
    </row>
    <row r="176" spans="1:82" s="116" customFormat="1" ht="13.9" customHeight="1" x14ac:dyDescent="0.2">
      <c r="A176" s="109">
        <v>540</v>
      </c>
      <c r="B176" s="109" t="s">
        <v>4165</v>
      </c>
      <c r="C176" s="110" t="s">
        <v>335</v>
      </c>
      <c r="D176" s="109" t="s">
        <v>140</v>
      </c>
      <c r="E176" s="111" t="s">
        <v>6754</v>
      </c>
      <c r="F176" s="112">
        <v>45251</v>
      </c>
      <c r="G176" s="112">
        <v>45251</v>
      </c>
      <c r="H176" s="113">
        <f t="shared" si="12"/>
        <v>45341</v>
      </c>
      <c r="I176" s="113" t="s">
        <v>291</v>
      </c>
      <c r="J176" s="109" t="s">
        <v>365</v>
      </c>
      <c r="K176" s="109" t="s">
        <v>4363</v>
      </c>
      <c r="L176" s="109" t="s">
        <v>1913</v>
      </c>
      <c r="M176" s="128" t="str">
        <f t="shared" si="13"/>
        <v>RODRIGUEZ  OLVERA GABRIELA</v>
      </c>
      <c r="N176" s="128" t="s">
        <v>7166</v>
      </c>
      <c r="O176" s="128" t="s">
        <v>4811</v>
      </c>
      <c r="P176" s="109" t="s">
        <v>1953</v>
      </c>
      <c r="Q176" s="112">
        <v>31872</v>
      </c>
      <c r="R176" s="125">
        <f t="shared" si="14"/>
        <v>5</v>
      </c>
      <c r="S176" s="125">
        <f t="shared" si="15"/>
        <v>4</v>
      </c>
      <c r="T176" s="125">
        <f t="shared" si="16"/>
        <v>1987</v>
      </c>
      <c r="U176" s="142">
        <f t="shared" ca="1" si="17"/>
        <v>39.547945205479451</v>
      </c>
      <c r="V176" s="114" t="s">
        <v>452</v>
      </c>
      <c r="W176" s="114" t="s">
        <v>2221</v>
      </c>
      <c r="X176" s="109" t="s">
        <v>1497</v>
      </c>
      <c r="Y176" s="120" t="s">
        <v>235</v>
      </c>
      <c r="Z176" s="109" t="s">
        <v>238</v>
      </c>
      <c r="AA176" s="109" t="s">
        <v>636</v>
      </c>
      <c r="AB176" s="109" t="s">
        <v>2311</v>
      </c>
      <c r="AC176" s="109" t="s">
        <v>313</v>
      </c>
      <c r="AD176" s="109" t="s">
        <v>314</v>
      </c>
      <c r="AE176" s="109">
        <v>90</v>
      </c>
      <c r="AF176" s="114" t="s">
        <v>140</v>
      </c>
      <c r="AG176" s="109" t="s">
        <v>291</v>
      </c>
      <c r="AH176" s="115" t="s">
        <v>2345</v>
      </c>
      <c r="AI176" s="109" t="s">
        <v>317</v>
      </c>
      <c r="AJ176" s="109" t="s">
        <v>318</v>
      </c>
      <c r="AK176" s="109" t="s">
        <v>2824</v>
      </c>
      <c r="AL176" s="115" t="s">
        <v>3125</v>
      </c>
      <c r="AM176" s="109" t="s">
        <v>2594</v>
      </c>
      <c r="AN176" s="109" t="s">
        <v>478</v>
      </c>
      <c r="AO176" s="109" t="s">
        <v>398</v>
      </c>
      <c r="AP176" s="109"/>
      <c r="AQ176" s="109" t="s">
        <v>3327</v>
      </c>
      <c r="AR176" s="109">
        <v>53</v>
      </c>
      <c r="AS176" s="109" t="s">
        <v>328</v>
      </c>
      <c r="AT176" s="109" t="s">
        <v>1014</v>
      </c>
      <c r="AU176" s="109" t="s">
        <v>140</v>
      </c>
      <c r="AV176" s="109">
        <v>76900</v>
      </c>
      <c r="AW176" s="109" t="s">
        <v>357</v>
      </c>
      <c r="AX176" s="109" t="s">
        <v>357</v>
      </c>
      <c r="AY176" s="109" t="s">
        <v>357</v>
      </c>
      <c r="AZ176" s="109" t="s">
        <v>484</v>
      </c>
      <c r="BA176" s="109">
        <v>0</v>
      </c>
      <c r="BB176" s="109"/>
      <c r="BC176" s="109"/>
      <c r="BD176" s="109" t="s">
        <v>2594</v>
      </c>
      <c r="BE176" s="109" t="s">
        <v>478</v>
      </c>
      <c r="BF176" s="109" t="s">
        <v>3777</v>
      </c>
      <c r="BG176" s="109" t="s">
        <v>488</v>
      </c>
      <c r="BH176" s="109" t="s">
        <v>334</v>
      </c>
      <c r="BI176" s="109" t="s">
        <v>3831</v>
      </c>
      <c r="BJ176" s="109"/>
      <c r="BK176" s="109"/>
      <c r="BL176" s="111"/>
      <c r="BM176" s="109"/>
      <c r="BN176" s="109"/>
      <c r="BO176" s="111"/>
      <c r="BP176" s="109"/>
      <c r="BQ176" s="109"/>
      <c r="BR176" s="109"/>
      <c r="BS176" s="109"/>
      <c r="BT176" s="109"/>
      <c r="BU176" s="109"/>
      <c r="BV176" s="109"/>
      <c r="BW176" s="109"/>
      <c r="BX176" s="109"/>
      <c r="BY176" s="109"/>
      <c r="BZ176" s="109"/>
      <c r="CA176" s="109"/>
      <c r="CB176" s="109"/>
      <c r="CC176" s="109"/>
      <c r="CD176" s="110"/>
    </row>
    <row r="177" spans="1:82" s="116" customFormat="1" ht="13.9" customHeight="1" x14ac:dyDescent="0.2">
      <c r="A177" s="109" t="s">
        <v>6067</v>
      </c>
      <c r="B177" s="109" t="s">
        <v>4022</v>
      </c>
      <c r="C177" s="115" t="s">
        <v>299</v>
      </c>
      <c r="D177" s="111" t="s">
        <v>80</v>
      </c>
      <c r="E177" s="111" t="s">
        <v>6562</v>
      </c>
      <c r="F177" s="112">
        <v>45257</v>
      </c>
      <c r="G177" s="112">
        <v>45257</v>
      </c>
      <c r="H177" s="113">
        <f t="shared" si="12"/>
        <v>45347</v>
      </c>
      <c r="I177" s="113" t="s">
        <v>291</v>
      </c>
      <c r="J177" s="109" t="s">
        <v>4354</v>
      </c>
      <c r="K177" s="109" t="s">
        <v>4477</v>
      </c>
      <c r="L177" s="109" t="s">
        <v>1779</v>
      </c>
      <c r="M177" s="128" t="str">
        <f t="shared" si="13"/>
        <v>MARCIAL CASADOS GUILLERMO OBED</v>
      </c>
      <c r="N177" s="128" t="s">
        <v>6954</v>
      </c>
      <c r="O177" s="128" t="s">
        <v>4644</v>
      </c>
      <c r="P177" s="109" t="s">
        <v>1953</v>
      </c>
      <c r="Q177" s="112">
        <v>33258</v>
      </c>
      <c r="R177" s="125">
        <f t="shared" si="14"/>
        <v>20</v>
      </c>
      <c r="S177" s="125">
        <f t="shared" si="15"/>
        <v>1</v>
      </c>
      <c r="T177" s="125">
        <f t="shared" si="16"/>
        <v>1991</v>
      </c>
      <c r="U177" s="142">
        <f t="shared" ca="1" si="17"/>
        <v>35.750684931506846</v>
      </c>
      <c r="V177" s="114" t="s">
        <v>452</v>
      </c>
      <c r="W177" s="114" t="s">
        <v>2056</v>
      </c>
      <c r="X177" s="109" t="s">
        <v>1497</v>
      </c>
      <c r="Y177" s="109" t="s">
        <v>201</v>
      </c>
      <c r="Z177" s="109" t="s">
        <v>196</v>
      </c>
      <c r="AA177" s="109" t="s">
        <v>636</v>
      </c>
      <c r="AB177" s="109" t="s">
        <v>2280</v>
      </c>
      <c r="AC177" s="109" t="s">
        <v>313</v>
      </c>
      <c r="AD177" s="109" t="s">
        <v>314</v>
      </c>
      <c r="AE177" s="109">
        <v>90</v>
      </c>
      <c r="AF177" s="114" t="s">
        <v>315</v>
      </c>
      <c r="AG177" s="109" t="s">
        <v>291</v>
      </c>
      <c r="AH177" s="115" t="s">
        <v>316</v>
      </c>
      <c r="AI177" s="109" t="s">
        <v>317</v>
      </c>
      <c r="AJ177" s="109" t="s">
        <v>318</v>
      </c>
      <c r="AK177" s="109" t="s">
        <v>2701</v>
      </c>
      <c r="AL177" s="115" t="s">
        <v>2962</v>
      </c>
      <c r="AM177" s="109" t="s">
        <v>2438</v>
      </c>
      <c r="AN177" s="109" t="s">
        <v>461</v>
      </c>
      <c r="AO177" s="109" t="s">
        <v>327</v>
      </c>
      <c r="AP177" s="109"/>
      <c r="AQ177" s="109" t="s">
        <v>3249</v>
      </c>
      <c r="AR177" s="109">
        <v>104</v>
      </c>
      <c r="AS177" s="109" t="s">
        <v>328</v>
      </c>
      <c r="AT177" s="109" t="s">
        <v>3385</v>
      </c>
      <c r="AU177" s="109" t="s">
        <v>1224</v>
      </c>
      <c r="AV177" s="109">
        <v>89150</v>
      </c>
      <c r="AW177" s="109" t="s">
        <v>357</v>
      </c>
      <c r="AX177" s="109" t="s">
        <v>357</v>
      </c>
      <c r="AY177" s="109" t="s">
        <v>357</v>
      </c>
      <c r="AZ177" s="109"/>
      <c r="BA177" s="109"/>
      <c r="BB177" s="109"/>
      <c r="BC177" s="109"/>
      <c r="BD177" s="109" t="s">
        <v>2438</v>
      </c>
      <c r="BE177" s="109" t="s">
        <v>461</v>
      </c>
      <c r="BF177" s="109" t="s">
        <v>3649</v>
      </c>
      <c r="BG177" s="109" t="s">
        <v>333</v>
      </c>
      <c r="BH177" s="109" t="s">
        <v>334</v>
      </c>
      <c r="BI177" s="109" t="s">
        <v>3831</v>
      </c>
      <c r="BJ177" s="109" t="s">
        <v>3888</v>
      </c>
      <c r="BK177" s="109" t="s">
        <v>571</v>
      </c>
      <c r="BL177" s="111" t="s">
        <v>3862</v>
      </c>
      <c r="BM177" s="109"/>
      <c r="BN177" s="109"/>
      <c r="BO177" s="111"/>
      <c r="BP177" s="109"/>
      <c r="BQ177" s="109"/>
      <c r="BR177" s="109"/>
      <c r="BS177" s="109"/>
      <c r="BT177" s="109"/>
      <c r="BU177" s="109"/>
      <c r="BV177" s="109"/>
      <c r="BW177" s="109"/>
      <c r="BX177" s="109"/>
      <c r="BY177" s="109"/>
      <c r="BZ177" s="109"/>
      <c r="CA177" s="109"/>
      <c r="CB177" s="109"/>
      <c r="CC177" s="109"/>
      <c r="CD177" s="110"/>
    </row>
    <row r="178" spans="1:82" ht="13.9" customHeight="1" x14ac:dyDescent="0.2">
      <c r="A178" s="12">
        <v>546</v>
      </c>
      <c r="B178" s="12" t="s">
        <v>4092</v>
      </c>
      <c r="C178" s="78" t="s">
        <v>335</v>
      </c>
      <c r="D178" s="107" t="s">
        <v>228</v>
      </c>
      <c r="E178" s="99" t="s">
        <v>6563</v>
      </c>
      <c r="F178" s="100">
        <v>45260</v>
      </c>
      <c r="G178" s="100">
        <v>45260</v>
      </c>
      <c r="H178" s="101">
        <f t="shared" si="12"/>
        <v>45350</v>
      </c>
      <c r="I178" s="101" t="s">
        <v>290</v>
      </c>
      <c r="J178" s="12" t="s">
        <v>4370</v>
      </c>
      <c r="K178" s="12" t="s">
        <v>4490</v>
      </c>
      <c r="L178" s="12" t="s">
        <v>1811</v>
      </c>
      <c r="M178" s="102" t="str">
        <f t="shared" si="13"/>
        <v>MEDELLIN PADRON JORGE MIGUEL</v>
      </c>
      <c r="N178" s="102" t="s">
        <v>6955</v>
      </c>
      <c r="O178" s="102" t="s">
        <v>4686</v>
      </c>
      <c r="P178" s="12" t="s">
        <v>1953</v>
      </c>
      <c r="Q178" s="100">
        <v>30989</v>
      </c>
      <c r="R178" s="77">
        <f t="shared" si="14"/>
        <v>3</v>
      </c>
      <c r="S178" s="77">
        <f t="shared" si="15"/>
        <v>11</v>
      </c>
      <c r="T178" s="77">
        <f t="shared" si="16"/>
        <v>1984</v>
      </c>
      <c r="U178" s="103">
        <f t="shared" ca="1" si="17"/>
        <v>41.967123287671235</v>
      </c>
      <c r="V178" s="13" t="s">
        <v>389</v>
      </c>
      <c r="W178" s="13" t="s">
        <v>2097</v>
      </c>
      <c r="X178" s="12" t="s">
        <v>1497</v>
      </c>
      <c r="Y178" s="121" t="s">
        <v>117</v>
      </c>
      <c r="Z178" s="12" t="s">
        <v>149</v>
      </c>
      <c r="AA178" s="12" t="s">
        <v>347</v>
      </c>
      <c r="AB178" s="12" t="s">
        <v>2293</v>
      </c>
      <c r="AC178" s="12" t="s">
        <v>313</v>
      </c>
      <c r="AD178" s="12" t="s">
        <v>314</v>
      </c>
      <c r="AE178" s="12">
        <v>90</v>
      </c>
      <c r="AF178" s="13" t="s">
        <v>949</v>
      </c>
      <c r="AG178" s="12" t="s">
        <v>291</v>
      </c>
      <c r="AH178" s="104" t="s">
        <v>950</v>
      </c>
      <c r="AI178" s="12" t="s">
        <v>317</v>
      </c>
      <c r="AJ178" s="12" t="s">
        <v>318</v>
      </c>
      <c r="AK178" s="12" t="s">
        <v>2727</v>
      </c>
      <c r="AL178" s="104" t="s">
        <v>3003</v>
      </c>
      <c r="AM178" s="12" t="s">
        <v>2479</v>
      </c>
      <c r="AN178" s="12" t="s">
        <v>401</v>
      </c>
      <c r="AO178" s="12" t="s">
        <v>398</v>
      </c>
      <c r="AP178" s="12"/>
      <c r="AQ178" s="12" t="s">
        <v>1571</v>
      </c>
      <c r="AR178" s="12">
        <v>601</v>
      </c>
      <c r="AS178" s="12" t="s">
        <v>328</v>
      </c>
      <c r="AT178" s="12" t="s">
        <v>145</v>
      </c>
      <c r="AU178" s="12" t="s">
        <v>483</v>
      </c>
      <c r="AV178" s="12">
        <v>79610</v>
      </c>
      <c r="AW178" s="12" t="s">
        <v>357</v>
      </c>
      <c r="AX178" s="12" t="s">
        <v>357</v>
      </c>
      <c r="AY178" s="12" t="s">
        <v>329</v>
      </c>
      <c r="AZ178" s="12"/>
      <c r="BA178" s="12"/>
      <c r="BB178" s="12"/>
      <c r="BC178" s="12"/>
      <c r="BD178" s="12" t="s">
        <v>2479</v>
      </c>
      <c r="BE178" s="12" t="s">
        <v>401</v>
      </c>
      <c r="BF178" s="12" t="s">
        <v>3676</v>
      </c>
      <c r="BG178" s="12">
        <v>0</v>
      </c>
      <c r="BH178" s="12" t="s">
        <v>334</v>
      </c>
      <c r="BI178" s="12" t="s">
        <v>3831</v>
      </c>
      <c r="BJ178" s="12" t="s">
        <v>3888</v>
      </c>
      <c r="BK178" s="12" t="s">
        <v>3911</v>
      </c>
      <c r="BL178" s="105" t="s">
        <v>3930</v>
      </c>
      <c r="BM178" s="12"/>
      <c r="BN178" s="12" t="s">
        <v>3911</v>
      </c>
      <c r="BO178" s="105" t="s">
        <v>3921</v>
      </c>
      <c r="BP178" s="12"/>
      <c r="BQ178" s="12">
        <v>0</v>
      </c>
      <c r="BR178" s="12">
        <v>0</v>
      </c>
      <c r="BS178" s="12"/>
      <c r="BT178" s="12">
        <v>0</v>
      </c>
      <c r="BU178" s="12">
        <v>0</v>
      </c>
      <c r="BV178" s="12"/>
      <c r="BW178" s="12">
        <v>0</v>
      </c>
      <c r="BX178" s="12">
        <v>0</v>
      </c>
      <c r="BY178" s="12"/>
      <c r="BZ178" s="12">
        <v>0</v>
      </c>
      <c r="CA178" s="12"/>
      <c r="CB178" s="12"/>
      <c r="CC178" s="12"/>
      <c r="CD178" s="78"/>
    </row>
    <row r="179" spans="1:82" ht="13.9" customHeight="1" x14ac:dyDescent="0.2">
      <c r="A179" s="12">
        <v>549</v>
      </c>
      <c r="B179" s="12" t="s">
        <v>4060</v>
      </c>
      <c r="C179" s="78" t="s">
        <v>335</v>
      </c>
      <c r="D179" s="99" t="s">
        <v>127</v>
      </c>
      <c r="E179" s="99" t="s">
        <v>6564</v>
      </c>
      <c r="F179" s="100">
        <v>45271</v>
      </c>
      <c r="G179" s="100">
        <v>45271</v>
      </c>
      <c r="H179" s="101">
        <f t="shared" si="12"/>
        <v>45361</v>
      </c>
      <c r="I179" s="101" t="s">
        <v>290</v>
      </c>
      <c r="J179" s="12" t="s">
        <v>4357</v>
      </c>
      <c r="K179" s="12" t="s">
        <v>1079</v>
      </c>
      <c r="L179" s="12" t="s">
        <v>1784</v>
      </c>
      <c r="M179" s="102" t="str">
        <f t="shared" si="13"/>
        <v>MOLINA CASTILLO JUAN JOSE</v>
      </c>
      <c r="N179" s="102" t="s">
        <v>6956</v>
      </c>
      <c r="O179" s="102" t="s">
        <v>4649</v>
      </c>
      <c r="P179" s="12" t="s">
        <v>1953</v>
      </c>
      <c r="Q179" s="100">
        <v>37647</v>
      </c>
      <c r="R179" s="77">
        <f t="shared" si="14"/>
        <v>26</v>
      </c>
      <c r="S179" s="77">
        <f t="shared" si="15"/>
        <v>1</v>
      </c>
      <c r="T179" s="77">
        <f t="shared" si="16"/>
        <v>2003</v>
      </c>
      <c r="U179" s="103">
        <f t="shared" ca="1" si="17"/>
        <v>23.726027397260275</v>
      </c>
      <c r="V179" s="13" t="s">
        <v>452</v>
      </c>
      <c r="W179" s="13" t="s">
        <v>2061</v>
      </c>
      <c r="X179" s="12" t="s">
        <v>1497</v>
      </c>
      <c r="Y179" s="12" t="s">
        <v>114</v>
      </c>
      <c r="Z179" s="12" t="s">
        <v>130</v>
      </c>
      <c r="AA179" s="12" t="s">
        <v>347</v>
      </c>
      <c r="AB179" s="12" t="s">
        <v>670</v>
      </c>
      <c r="AC179" s="12" t="s">
        <v>313</v>
      </c>
      <c r="AD179" s="12" t="s">
        <v>314</v>
      </c>
      <c r="AE179" s="12">
        <v>90</v>
      </c>
      <c r="AF179" s="13" t="s">
        <v>413</v>
      </c>
      <c r="AG179" s="12" t="s">
        <v>290</v>
      </c>
      <c r="AH179" s="104" t="s">
        <v>2339</v>
      </c>
      <c r="AI179" s="12" t="s">
        <v>317</v>
      </c>
      <c r="AJ179" s="12" t="s">
        <v>318</v>
      </c>
      <c r="AK179" s="12" t="s">
        <v>2706</v>
      </c>
      <c r="AL179" s="104" t="s">
        <v>2967</v>
      </c>
      <c r="AM179" s="12" t="s">
        <v>2443</v>
      </c>
      <c r="AN179" s="12" t="s">
        <v>478</v>
      </c>
      <c r="AO179" s="12" t="s">
        <v>398</v>
      </c>
      <c r="AP179" s="12"/>
      <c r="AQ179" s="12" t="s">
        <v>3252</v>
      </c>
      <c r="AR179" s="12" t="s">
        <v>3357</v>
      </c>
      <c r="AS179" s="12" t="s">
        <v>328</v>
      </c>
      <c r="AT179" s="12" t="s">
        <v>3386</v>
      </c>
      <c r="AU179" s="12" t="s">
        <v>483</v>
      </c>
      <c r="AV179" s="12">
        <v>78520</v>
      </c>
      <c r="AW179" s="12" t="s">
        <v>357</v>
      </c>
      <c r="AX179" s="12" t="s">
        <v>357</v>
      </c>
      <c r="AY179" s="12" t="s">
        <v>357</v>
      </c>
      <c r="AZ179" s="12"/>
      <c r="BA179" s="12"/>
      <c r="BB179" s="12"/>
      <c r="BC179" s="12"/>
      <c r="BD179" s="12" t="s">
        <v>2443</v>
      </c>
      <c r="BE179" s="12" t="s">
        <v>478</v>
      </c>
      <c r="BF179" s="12" t="s">
        <v>3654</v>
      </c>
      <c r="BG179" s="12" t="s">
        <v>685</v>
      </c>
      <c r="BH179" s="12" t="s">
        <v>334</v>
      </c>
      <c r="BI179" s="12" t="s">
        <v>3831</v>
      </c>
      <c r="BJ179" s="12" t="s">
        <v>3831</v>
      </c>
      <c r="BK179" s="12"/>
      <c r="BL179" s="105"/>
      <c r="BM179" s="12"/>
      <c r="BN179" s="12"/>
      <c r="BO179" s="105"/>
      <c r="BP179" s="12"/>
      <c r="BQ179" s="12"/>
      <c r="BR179" s="12"/>
      <c r="BS179" s="12"/>
      <c r="BT179" s="12"/>
      <c r="BU179" s="12"/>
      <c r="BV179" s="12"/>
      <c r="BW179" s="12"/>
      <c r="BX179" s="12"/>
      <c r="BY179" s="12"/>
      <c r="BZ179" s="12"/>
      <c r="CA179" s="12"/>
      <c r="CB179" s="12"/>
      <c r="CC179" s="12"/>
      <c r="CD179" s="78"/>
    </row>
    <row r="180" spans="1:82" ht="13.9" customHeight="1" x14ac:dyDescent="0.2">
      <c r="A180" s="107">
        <v>551</v>
      </c>
      <c r="B180" s="107" t="s">
        <v>3985</v>
      </c>
      <c r="C180" s="104" t="s">
        <v>564</v>
      </c>
      <c r="D180" s="107" t="s">
        <v>81</v>
      </c>
      <c r="E180" s="99" t="s">
        <v>1626</v>
      </c>
      <c r="F180" s="100">
        <v>45271</v>
      </c>
      <c r="G180" s="100">
        <v>45271</v>
      </c>
      <c r="H180" s="101">
        <f t="shared" si="12"/>
        <v>45391</v>
      </c>
      <c r="I180" s="101" t="s">
        <v>290</v>
      </c>
      <c r="J180" s="12" t="s">
        <v>590</v>
      </c>
      <c r="K180" s="12" t="s">
        <v>4444</v>
      </c>
      <c r="L180" s="12" t="s">
        <v>1717</v>
      </c>
      <c r="M180" s="102" t="str">
        <f t="shared" si="13"/>
        <v>PEREZ PANTOJA JULIO CESAR</v>
      </c>
      <c r="N180" s="102" t="s">
        <v>6957</v>
      </c>
      <c r="O180" s="102" t="s">
        <v>4571</v>
      </c>
      <c r="P180" s="12" t="s">
        <v>1953</v>
      </c>
      <c r="Q180" s="100">
        <v>36379</v>
      </c>
      <c r="R180" s="77">
        <f t="shared" si="14"/>
        <v>7</v>
      </c>
      <c r="S180" s="77">
        <f t="shared" si="15"/>
        <v>8</v>
      </c>
      <c r="T180" s="77">
        <f t="shared" si="16"/>
        <v>1999</v>
      </c>
      <c r="U180" s="103">
        <f t="shared" ca="1" si="17"/>
        <v>27.2</v>
      </c>
      <c r="V180" s="13" t="s">
        <v>452</v>
      </c>
      <c r="W180" s="13" t="s">
        <v>1981</v>
      </c>
      <c r="X180" s="12" t="s">
        <v>1497</v>
      </c>
      <c r="Y180" s="12" t="s">
        <v>297</v>
      </c>
      <c r="Z180" s="12" t="s">
        <v>84</v>
      </c>
      <c r="AA180" s="12" t="s">
        <v>532</v>
      </c>
      <c r="AB180" s="12" t="s">
        <v>574</v>
      </c>
      <c r="AC180" s="12" t="s">
        <v>313</v>
      </c>
      <c r="AD180" s="12" t="s">
        <v>314</v>
      </c>
      <c r="AE180" s="12">
        <v>120</v>
      </c>
      <c r="AF180" s="13" t="s">
        <v>350</v>
      </c>
      <c r="AG180" s="12" t="s">
        <v>290</v>
      </c>
      <c r="AH180" s="104" t="s">
        <v>575</v>
      </c>
      <c r="AI180" s="12" t="s">
        <v>317</v>
      </c>
      <c r="AJ180" s="12" t="s">
        <v>318</v>
      </c>
      <c r="AK180" s="12" t="s">
        <v>2651</v>
      </c>
      <c r="AL180" s="104" t="s">
        <v>2888</v>
      </c>
      <c r="AM180" s="12" t="s">
        <v>2370</v>
      </c>
      <c r="AN180" s="12" t="s">
        <v>478</v>
      </c>
      <c r="AO180" s="12" t="s">
        <v>398</v>
      </c>
      <c r="AP180" s="12"/>
      <c r="AQ180" s="12" t="s">
        <v>3201</v>
      </c>
      <c r="AR180" s="12" t="s">
        <v>983</v>
      </c>
      <c r="AS180" s="12">
        <v>20</v>
      </c>
      <c r="AT180" s="12" t="s">
        <v>624</v>
      </c>
      <c r="AU180" s="12" t="s">
        <v>583</v>
      </c>
      <c r="AV180" s="12">
        <v>45696</v>
      </c>
      <c r="AW180" s="12" t="s">
        <v>357</v>
      </c>
      <c r="AX180" s="12" t="s">
        <v>329</v>
      </c>
      <c r="AY180" s="12" t="s">
        <v>357</v>
      </c>
      <c r="AZ180" s="12"/>
      <c r="BA180" s="12"/>
      <c r="BB180" s="12"/>
      <c r="BC180" s="12"/>
      <c r="BD180" s="12" t="s">
        <v>2370</v>
      </c>
      <c r="BE180" s="12" t="s">
        <v>478</v>
      </c>
      <c r="BF180" s="12" t="s">
        <v>3599</v>
      </c>
      <c r="BG180" s="12" t="s">
        <v>333</v>
      </c>
      <c r="BH180" s="12" t="s">
        <v>334</v>
      </c>
      <c r="BI180" s="12" t="s">
        <v>3831</v>
      </c>
      <c r="BJ180" s="12" t="s">
        <v>3888</v>
      </c>
      <c r="BK180" s="12" t="s">
        <v>571</v>
      </c>
      <c r="BL180" s="105" t="s">
        <v>3924</v>
      </c>
      <c r="BM180" s="12"/>
      <c r="BN180" s="12" t="s">
        <v>571</v>
      </c>
      <c r="BO180" s="105" t="s">
        <v>3862</v>
      </c>
      <c r="BP180" s="12"/>
      <c r="BQ180" s="12">
        <v>0</v>
      </c>
      <c r="BR180" s="12">
        <v>0</v>
      </c>
      <c r="BS180" s="12"/>
      <c r="BT180" s="12">
        <v>0</v>
      </c>
      <c r="BU180" s="12">
        <v>0</v>
      </c>
      <c r="BV180" s="12"/>
      <c r="BW180" s="12">
        <v>0</v>
      </c>
      <c r="BX180" s="12">
        <v>0</v>
      </c>
      <c r="BY180" s="12"/>
      <c r="BZ180" s="12">
        <v>0</v>
      </c>
      <c r="CA180" s="12"/>
      <c r="CB180" s="12"/>
      <c r="CC180" s="12"/>
      <c r="CD180" s="78"/>
    </row>
    <row r="181" spans="1:82" ht="13.9" customHeight="1" x14ac:dyDescent="0.2">
      <c r="A181" s="12">
        <v>746</v>
      </c>
      <c r="B181" s="12" t="s">
        <v>4243</v>
      </c>
      <c r="C181" s="104" t="s">
        <v>299</v>
      </c>
      <c r="D181" s="99" t="s">
        <v>80</v>
      </c>
      <c r="E181" s="99" t="s">
        <v>1669</v>
      </c>
      <c r="F181" s="100">
        <v>45276</v>
      </c>
      <c r="G181" s="100">
        <v>45276</v>
      </c>
      <c r="H181" s="101">
        <f t="shared" si="12"/>
        <v>45306</v>
      </c>
      <c r="I181" s="101" t="s">
        <v>291</v>
      </c>
      <c r="J181" s="12" t="s">
        <v>793</v>
      </c>
      <c r="K181" s="12" t="s">
        <v>4464</v>
      </c>
      <c r="L181" s="12" t="s">
        <v>1863</v>
      </c>
      <c r="M181" s="102" t="str">
        <f t="shared" si="13"/>
        <v>LOPEZ CASTAÑEDA GRISELDA ABIGAIL</v>
      </c>
      <c r="N181" s="102" t="s">
        <v>6958</v>
      </c>
      <c r="O181" s="102" t="s">
        <v>4745</v>
      </c>
      <c r="P181" s="12" t="s">
        <v>1953</v>
      </c>
      <c r="Q181" s="100">
        <v>31431</v>
      </c>
      <c r="R181" s="77">
        <f t="shared" si="14"/>
        <v>19</v>
      </c>
      <c r="S181" s="77">
        <f t="shared" si="15"/>
        <v>1</v>
      </c>
      <c r="T181" s="77">
        <f t="shared" si="16"/>
        <v>1986</v>
      </c>
      <c r="U181" s="103">
        <f t="shared" ca="1" si="17"/>
        <v>40.756164383561647</v>
      </c>
      <c r="V181" s="13" t="s">
        <v>1450</v>
      </c>
      <c r="W181" s="13" t="s">
        <v>2157</v>
      </c>
      <c r="X181" s="12" t="s">
        <v>1497</v>
      </c>
      <c r="Y181" s="12" t="s">
        <v>198</v>
      </c>
      <c r="Z181" s="12" t="s">
        <v>170</v>
      </c>
      <c r="AA181" s="12" t="s">
        <v>636</v>
      </c>
      <c r="AB181" s="12" t="s">
        <v>2282</v>
      </c>
      <c r="AC181" s="12" t="s">
        <v>313</v>
      </c>
      <c r="AD181" s="12" t="s">
        <v>314</v>
      </c>
      <c r="AE181" s="12">
        <v>30</v>
      </c>
      <c r="AF181" s="13" t="s">
        <v>315</v>
      </c>
      <c r="AG181" s="12" t="s">
        <v>291</v>
      </c>
      <c r="AH181" s="104" t="s">
        <v>316</v>
      </c>
      <c r="AI181" s="12" t="s">
        <v>317</v>
      </c>
      <c r="AJ181" s="12" t="s">
        <v>318</v>
      </c>
      <c r="AK181" s="12" t="s">
        <v>2771</v>
      </c>
      <c r="AL181" s="104" t="s">
        <v>3063</v>
      </c>
      <c r="AM181" s="12" t="s">
        <v>2534</v>
      </c>
      <c r="AN181" s="12" t="s">
        <v>3178</v>
      </c>
      <c r="AO181" s="12" t="s">
        <v>398</v>
      </c>
      <c r="AP181" s="12"/>
      <c r="AQ181" s="12" t="s">
        <v>3293</v>
      </c>
      <c r="AR181" s="12" t="s">
        <v>3362</v>
      </c>
      <c r="AS181" s="12" t="s">
        <v>3373</v>
      </c>
      <c r="AT181" s="12" t="s">
        <v>482</v>
      </c>
      <c r="AU181" s="12" t="s">
        <v>483</v>
      </c>
      <c r="AV181" s="12">
        <v>78434</v>
      </c>
      <c r="AW181" s="12">
        <v>0</v>
      </c>
      <c r="AX181" s="12">
        <v>0</v>
      </c>
      <c r="AY181" s="12">
        <v>0</v>
      </c>
      <c r="AZ181" s="12" t="s">
        <v>484</v>
      </c>
      <c r="BA181" s="12">
        <v>0</v>
      </c>
      <c r="BB181" s="12"/>
      <c r="BC181" s="12"/>
      <c r="BD181" s="12" t="s">
        <v>2534</v>
      </c>
      <c r="BE181" s="12" t="s">
        <v>3178</v>
      </c>
      <c r="BF181" s="12" t="s">
        <v>3725</v>
      </c>
      <c r="BG181" s="12" t="s">
        <v>333</v>
      </c>
      <c r="BH181" s="12" t="s">
        <v>334</v>
      </c>
      <c r="BI181" s="12">
        <v>1</v>
      </c>
      <c r="BJ181" s="12" t="s">
        <v>3885</v>
      </c>
      <c r="BK181" s="12" t="s">
        <v>3911</v>
      </c>
      <c r="BL181" s="105">
        <v>0</v>
      </c>
      <c r="BM181" s="12"/>
      <c r="BN181" s="12">
        <v>0</v>
      </c>
      <c r="BO181" s="105">
        <v>0</v>
      </c>
      <c r="BP181" s="12"/>
      <c r="BQ181" s="12">
        <v>0</v>
      </c>
      <c r="BR181" s="12">
        <v>0</v>
      </c>
      <c r="BS181" s="12"/>
      <c r="BT181" s="12">
        <v>0</v>
      </c>
      <c r="BU181" s="12">
        <v>0</v>
      </c>
      <c r="BV181" s="12"/>
      <c r="BW181" s="12">
        <v>0</v>
      </c>
      <c r="BX181" s="12">
        <v>0</v>
      </c>
      <c r="BY181" s="12"/>
      <c r="BZ181" s="12">
        <v>0</v>
      </c>
      <c r="CA181" s="12"/>
      <c r="CB181" s="12"/>
      <c r="CC181" s="12"/>
      <c r="CD181" s="78"/>
    </row>
    <row r="182" spans="1:82" ht="13.9" customHeight="1" x14ac:dyDescent="0.2">
      <c r="A182" s="107">
        <v>555</v>
      </c>
      <c r="B182" s="107" t="s">
        <v>4209</v>
      </c>
      <c r="C182" s="78" t="s">
        <v>363</v>
      </c>
      <c r="D182" s="107" t="s">
        <v>86</v>
      </c>
      <c r="E182" s="99" t="s">
        <v>6565</v>
      </c>
      <c r="F182" s="100">
        <v>45278</v>
      </c>
      <c r="G182" s="100">
        <v>45278</v>
      </c>
      <c r="H182" s="101">
        <f t="shared" si="12"/>
        <v>45368</v>
      </c>
      <c r="I182" s="101" t="s">
        <v>291</v>
      </c>
      <c r="J182" s="12" t="s">
        <v>366</v>
      </c>
      <c r="K182" s="12" t="s">
        <v>793</v>
      </c>
      <c r="L182" s="12" t="s">
        <v>1921</v>
      </c>
      <c r="M182" s="102" t="str">
        <f t="shared" si="13"/>
        <v>HERNANDEZ LOPEZ BEATRIZ ADRIANA</v>
      </c>
      <c r="N182" s="102" t="s">
        <v>6959</v>
      </c>
      <c r="O182" s="102" t="s">
        <v>4822</v>
      </c>
      <c r="P182" s="12" t="s">
        <v>1953</v>
      </c>
      <c r="Q182" s="100">
        <v>36392</v>
      </c>
      <c r="R182" s="77">
        <f t="shared" si="14"/>
        <v>20</v>
      </c>
      <c r="S182" s="77">
        <f t="shared" si="15"/>
        <v>8</v>
      </c>
      <c r="T182" s="77">
        <f t="shared" si="16"/>
        <v>1999</v>
      </c>
      <c r="U182" s="103">
        <f t="shared" ca="1" si="17"/>
        <v>27.164383561643834</v>
      </c>
      <c r="V182" s="13" t="s">
        <v>308</v>
      </c>
      <c r="W182" s="13" t="s">
        <v>2232</v>
      </c>
      <c r="X182" s="12" t="s">
        <v>1497</v>
      </c>
      <c r="Y182" s="108" t="s">
        <v>248</v>
      </c>
      <c r="Z182" s="12" t="s">
        <v>93</v>
      </c>
      <c r="AA182" s="12" t="s">
        <v>636</v>
      </c>
      <c r="AB182" s="12" t="s">
        <v>1428</v>
      </c>
      <c r="AC182" s="12" t="s">
        <v>313</v>
      </c>
      <c r="AD182" s="12" t="s">
        <v>314</v>
      </c>
      <c r="AE182" s="12">
        <v>90</v>
      </c>
      <c r="AF182" s="13" t="s">
        <v>315</v>
      </c>
      <c r="AG182" s="12" t="s">
        <v>290</v>
      </c>
      <c r="AH182" s="104" t="s">
        <v>473</v>
      </c>
      <c r="AI182" s="12" t="s">
        <v>317</v>
      </c>
      <c r="AJ182" s="12" t="s">
        <v>318</v>
      </c>
      <c r="AK182" s="12" t="s">
        <v>2834</v>
      </c>
      <c r="AL182" s="104" t="s">
        <v>3136</v>
      </c>
      <c r="AM182" s="12" t="s">
        <v>2605</v>
      </c>
      <c r="AN182" s="12" t="s">
        <v>622</v>
      </c>
      <c r="AO182" s="12" t="s">
        <v>327</v>
      </c>
      <c r="AP182" s="12"/>
      <c r="AQ182" s="12" t="s">
        <v>3332</v>
      </c>
      <c r="AR182" s="12">
        <v>101</v>
      </c>
      <c r="AS182" s="12" t="s">
        <v>328</v>
      </c>
      <c r="AT182" s="12" t="s">
        <v>483</v>
      </c>
      <c r="AU182" s="12" t="s">
        <v>483</v>
      </c>
      <c r="AV182" s="12">
        <v>78100</v>
      </c>
      <c r="AW182" s="12" t="s">
        <v>357</v>
      </c>
      <c r="AX182" s="12" t="s">
        <v>357</v>
      </c>
      <c r="AY182" s="12" t="s">
        <v>357</v>
      </c>
      <c r="AZ182" s="12"/>
      <c r="BA182" s="12"/>
      <c r="BB182" s="12"/>
      <c r="BC182" s="12"/>
      <c r="BD182" s="12" t="s">
        <v>3561</v>
      </c>
      <c r="BE182" s="12" t="s">
        <v>325</v>
      </c>
      <c r="BF182" s="12" t="s">
        <v>3785</v>
      </c>
      <c r="BG182" s="12" t="s">
        <v>685</v>
      </c>
      <c r="BH182" s="12" t="s">
        <v>334</v>
      </c>
      <c r="BI182" s="12" t="s">
        <v>3831</v>
      </c>
      <c r="BJ182" s="12"/>
      <c r="BK182" s="12"/>
      <c r="BL182" s="105"/>
      <c r="BM182" s="12"/>
      <c r="BN182" s="12"/>
      <c r="BO182" s="105"/>
      <c r="BP182" s="12"/>
      <c r="BQ182" s="12"/>
      <c r="BR182" s="12"/>
      <c r="BS182" s="12"/>
      <c r="BT182" s="12"/>
      <c r="BU182" s="12"/>
      <c r="BV182" s="12"/>
      <c r="BW182" s="12"/>
      <c r="BX182" s="12"/>
      <c r="BY182" s="12"/>
      <c r="BZ182" s="12"/>
      <c r="CA182" s="12"/>
      <c r="CB182" s="12"/>
      <c r="CC182" s="12"/>
      <c r="CD182" s="78"/>
    </row>
    <row r="183" spans="1:82" ht="13.9" customHeight="1" x14ac:dyDescent="0.2">
      <c r="A183" s="12">
        <v>823</v>
      </c>
      <c r="B183" s="12" t="s">
        <v>4023</v>
      </c>
      <c r="C183" s="104" t="s">
        <v>299</v>
      </c>
      <c r="D183" s="99" t="s">
        <v>80</v>
      </c>
      <c r="E183" s="99" t="s">
        <v>6566</v>
      </c>
      <c r="F183" s="100">
        <v>45294</v>
      </c>
      <c r="G183" s="100">
        <v>45294</v>
      </c>
      <c r="H183" s="101">
        <f t="shared" si="12"/>
        <v>45384</v>
      </c>
      <c r="I183" s="101" t="s">
        <v>291</v>
      </c>
      <c r="J183" s="12" t="s">
        <v>4338</v>
      </c>
      <c r="K183" s="12" t="s">
        <v>673</v>
      </c>
      <c r="L183" s="12" t="s">
        <v>1752</v>
      </c>
      <c r="M183" s="102" t="str">
        <f t="shared" si="13"/>
        <v>CERON SANTANDER CARLOS</v>
      </c>
      <c r="N183" s="102" t="s">
        <v>6960</v>
      </c>
      <c r="O183" s="102" t="s">
        <v>4611</v>
      </c>
      <c r="P183" s="12" t="s">
        <v>1953</v>
      </c>
      <c r="Q183" s="100">
        <v>30254</v>
      </c>
      <c r="R183" s="77">
        <f t="shared" si="14"/>
        <v>30</v>
      </c>
      <c r="S183" s="77">
        <f t="shared" si="15"/>
        <v>10</v>
      </c>
      <c r="T183" s="77">
        <f t="shared" si="16"/>
        <v>1982</v>
      </c>
      <c r="U183" s="103">
        <f t="shared" ca="1" si="17"/>
        <v>43.980821917808221</v>
      </c>
      <c r="V183" s="13" t="s">
        <v>342</v>
      </c>
      <c r="W183" s="13" t="s">
        <v>2022</v>
      </c>
      <c r="X183" s="12" t="s">
        <v>1497</v>
      </c>
      <c r="Y183" s="12" t="s">
        <v>202</v>
      </c>
      <c r="Z183" s="12" t="s">
        <v>170</v>
      </c>
      <c r="AA183" s="12" t="s">
        <v>636</v>
      </c>
      <c r="AB183" s="12" t="s">
        <v>2282</v>
      </c>
      <c r="AC183" s="12" t="s">
        <v>313</v>
      </c>
      <c r="AD183" s="12" t="s">
        <v>314</v>
      </c>
      <c r="AE183" s="12">
        <v>90</v>
      </c>
      <c r="AF183" s="13" t="s">
        <v>315</v>
      </c>
      <c r="AG183" s="12" t="s">
        <v>291</v>
      </c>
      <c r="AH183" s="104" t="s">
        <v>316</v>
      </c>
      <c r="AI183" s="12" t="s">
        <v>317</v>
      </c>
      <c r="AJ183" s="12" t="s">
        <v>318</v>
      </c>
      <c r="AK183" s="12" t="s">
        <v>2675</v>
      </c>
      <c r="AL183" s="104" t="s">
        <v>2928</v>
      </c>
      <c r="AM183" s="12" t="s">
        <v>2410</v>
      </c>
      <c r="AN183" s="12" t="s">
        <v>381</v>
      </c>
      <c r="AO183" s="12" t="s">
        <v>327</v>
      </c>
      <c r="AP183" s="12"/>
      <c r="AQ183" s="12" t="s">
        <v>3228</v>
      </c>
      <c r="AR183" s="12">
        <v>446</v>
      </c>
      <c r="AS183" s="12">
        <v>1</v>
      </c>
      <c r="AT183" s="12" t="s">
        <v>3380</v>
      </c>
      <c r="AU183" s="12" t="s">
        <v>3402</v>
      </c>
      <c r="AV183" s="12">
        <v>93320</v>
      </c>
      <c r="AW183" s="12" t="s">
        <v>357</v>
      </c>
      <c r="AX183" s="12" t="s">
        <v>357</v>
      </c>
      <c r="AY183" s="12" t="s">
        <v>357</v>
      </c>
      <c r="AZ183" s="12"/>
      <c r="BA183" s="12"/>
      <c r="BB183" s="12"/>
      <c r="BC183" s="12"/>
      <c r="BD183" s="12" t="s">
        <v>3474</v>
      </c>
      <c r="BE183" s="12" t="s">
        <v>381</v>
      </c>
      <c r="BF183" s="12" t="s">
        <v>3623</v>
      </c>
      <c r="BG183" s="12" t="s">
        <v>488</v>
      </c>
      <c r="BH183" s="12" t="s">
        <v>334</v>
      </c>
      <c r="BI183" s="12" t="s">
        <v>3831</v>
      </c>
      <c r="BJ183" s="12" t="s">
        <v>3888</v>
      </c>
      <c r="BK183" s="12" t="s">
        <v>3911</v>
      </c>
      <c r="BL183" s="105" t="s">
        <v>3933</v>
      </c>
      <c r="BM183" s="12"/>
      <c r="BN183" s="12" t="s">
        <v>3911</v>
      </c>
      <c r="BO183" s="105" t="s">
        <v>3917</v>
      </c>
      <c r="BP183" s="12"/>
      <c r="BQ183" s="12" t="s">
        <v>571</v>
      </c>
      <c r="BR183" s="12" t="s">
        <v>3941</v>
      </c>
      <c r="BS183" s="12"/>
      <c r="BT183" s="12">
        <v>0</v>
      </c>
      <c r="BU183" s="12">
        <v>0</v>
      </c>
      <c r="BV183" s="12"/>
      <c r="BW183" s="12">
        <v>0</v>
      </c>
      <c r="BX183" s="12">
        <v>0</v>
      </c>
      <c r="BY183" s="12"/>
      <c r="BZ183" s="12">
        <v>0</v>
      </c>
      <c r="CA183" s="12"/>
      <c r="CB183" s="12"/>
      <c r="CC183" s="12"/>
      <c r="CD183" s="78"/>
    </row>
    <row r="184" spans="1:82" s="116" customFormat="1" ht="13.9" customHeight="1" x14ac:dyDescent="0.2">
      <c r="A184" s="12">
        <v>561</v>
      </c>
      <c r="B184" s="12" t="s">
        <v>7260</v>
      </c>
      <c r="C184" s="78" t="s">
        <v>299</v>
      </c>
      <c r="D184" s="99" t="s">
        <v>80</v>
      </c>
      <c r="E184" s="99" t="s">
        <v>6567</v>
      </c>
      <c r="F184" s="100">
        <v>45295</v>
      </c>
      <c r="G184" s="100">
        <v>45295</v>
      </c>
      <c r="H184" s="101">
        <f t="shared" si="12"/>
        <v>45385</v>
      </c>
      <c r="I184" s="101" t="s">
        <v>291</v>
      </c>
      <c r="J184" s="12" t="s">
        <v>704</v>
      </c>
      <c r="K184" s="12" t="s">
        <v>1147</v>
      </c>
      <c r="L184" s="12" t="s">
        <v>1740</v>
      </c>
      <c r="M184" s="102" t="str">
        <f t="shared" si="13"/>
        <v>GONZALEZ HERRERA ISIDRO</v>
      </c>
      <c r="N184" s="102" t="s">
        <v>6961</v>
      </c>
      <c r="O184" s="102" t="s">
        <v>4809</v>
      </c>
      <c r="P184" s="12" t="s">
        <v>1953</v>
      </c>
      <c r="Q184" s="100">
        <v>24242</v>
      </c>
      <c r="R184" s="77">
        <f t="shared" si="14"/>
        <v>15</v>
      </c>
      <c r="S184" s="77">
        <f t="shared" si="15"/>
        <v>5</v>
      </c>
      <c r="T184" s="77">
        <f t="shared" si="16"/>
        <v>1966</v>
      </c>
      <c r="U184" s="103">
        <f t="shared" ca="1" si="17"/>
        <v>60.452054794520549</v>
      </c>
      <c r="V184" s="13" t="s">
        <v>342</v>
      </c>
      <c r="W184" s="13" t="s">
        <v>2219</v>
      </c>
      <c r="X184" s="12" t="s">
        <v>1497</v>
      </c>
      <c r="Y184" s="108" t="s">
        <v>216</v>
      </c>
      <c r="Z184" s="12" t="s">
        <v>237</v>
      </c>
      <c r="AA184" s="12" t="s">
        <v>432</v>
      </c>
      <c r="AB184" s="12" t="s">
        <v>2301</v>
      </c>
      <c r="AC184" s="12" t="s">
        <v>313</v>
      </c>
      <c r="AD184" s="12" t="s">
        <v>314</v>
      </c>
      <c r="AE184" s="12">
        <v>90</v>
      </c>
      <c r="AF184" s="13" t="s">
        <v>315</v>
      </c>
      <c r="AG184" s="12" t="s">
        <v>291</v>
      </c>
      <c r="AH184" s="104" t="s">
        <v>316</v>
      </c>
      <c r="AI184" s="12" t="s">
        <v>317</v>
      </c>
      <c r="AJ184" s="12" t="s">
        <v>318</v>
      </c>
      <c r="AK184" s="12" t="s">
        <v>2822</v>
      </c>
      <c r="AL184" s="104" t="s">
        <v>3123</v>
      </c>
      <c r="AM184" s="12" t="s">
        <v>2592</v>
      </c>
      <c r="AN184" s="12" t="s">
        <v>381</v>
      </c>
      <c r="AO184" s="12" t="s">
        <v>398</v>
      </c>
      <c r="AP184" s="12"/>
      <c r="AQ184" s="12" t="s">
        <v>3325</v>
      </c>
      <c r="AR184" s="12">
        <v>345</v>
      </c>
      <c r="AS184" s="12" t="s">
        <v>3374</v>
      </c>
      <c r="AT184" s="12" t="s">
        <v>848</v>
      </c>
      <c r="AU184" s="12" t="s">
        <v>681</v>
      </c>
      <c r="AV184" s="12">
        <v>11560</v>
      </c>
      <c r="AW184" s="12" t="s">
        <v>357</v>
      </c>
      <c r="AX184" s="12">
        <v>0</v>
      </c>
      <c r="AY184" s="12">
        <v>0</v>
      </c>
      <c r="AZ184" s="12"/>
      <c r="BA184" s="12"/>
      <c r="BB184" s="12"/>
      <c r="BC184" s="12"/>
      <c r="BD184" s="12" t="s">
        <v>2592</v>
      </c>
      <c r="BE184" s="12" t="s">
        <v>381</v>
      </c>
      <c r="BF184" s="12" t="s">
        <v>3775</v>
      </c>
      <c r="BG184" s="12" t="s">
        <v>333</v>
      </c>
      <c r="BH184" s="12" t="s">
        <v>334</v>
      </c>
      <c r="BI184" s="12">
        <v>2</v>
      </c>
      <c r="BJ184" s="12" t="s">
        <v>3903</v>
      </c>
      <c r="BK184" s="12" t="s">
        <v>3888</v>
      </c>
      <c r="BL184" s="105">
        <v>30</v>
      </c>
      <c r="BM184" s="12"/>
      <c r="BN184" s="12">
        <v>0</v>
      </c>
      <c r="BO184" s="105">
        <v>28</v>
      </c>
      <c r="BP184" s="12"/>
      <c r="BQ184" s="12"/>
      <c r="BR184" s="12"/>
      <c r="BS184" s="12"/>
      <c r="BT184" s="12"/>
      <c r="BU184" s="12"/>
      <c r="BV184" s="12"/>
      <c r="BW184" s="12"/>
      <c r="BX184" s="12"/>
      <c r="BY184" s="12"/>
      <c r="BZ184" s="12"/>
      <c r="CA184" s="12"/>
      <c r="CB184" s="12"/>
      <c r="CC184" s="12"/>
      <c r="CD184" s="110"/>
    </row>
    <row r="185" spans="1:82" ht="13.9" customHeight="1" x14ac:dyDescent="0.2">
      <c r="A185" s="107">
        <v>157</v>
      </c>
      <c r="B185" s="107" t="s">
        <v>4212</v>
      </c>
      <c r="C185" s="78" t="s">
        <v>363</v>
      </c>
      <c r="D185" s="12" t="s">
        <v>7242</v>
      </c>
      <c r="E185" s="99" t="s">
        <v>6568</v>
      </c>
      <c r="F185" s="100">
        <v>45307</v>
      </c>
      <c r="G185" s="117">
        <v>44396</v>
      </c>
      <c r="H185" s="101">
        <f t="shared" si="12"/>
        <v>44486</v>
      </c>
      <c r="I185" s="101" t="s">
        <v>291</v>
      </c>
      <c r="J185" s="12" t="s">
        <v>1576</v>
      </c>
      <c r="K185" s="12" t="s">
        <v>1765</v>
      </c>
      <c r="L185" s="12" t="s">
        <v>1703</v>
      </c>
      <c r="M185" s="102" t="str">
        <f t="shared" si="13"/>
        <v>CAMPOS REGINO JOSE LUIS</v>
      </c>
      <c r="N185" s="102" t="s">
        <v>6962</v>
      </c>
      <c r="O185" s="102" t="s">
        <v>4824</v>
      </c>
      <c r="P185" s="12" t="s">
        <v>1953</v>
      </c>
      <c r="Q185" s="100">
        <v>31053</v>
      </c>
      <c r="R185" s="77">
        <f t="shared" si="14"/>
        <v>6</v>
      </c>
      <c r="S185" s="77">
        <f t="shared" si="15"/>
        <v>1</v>
      </c>
      <c r="T185" s="77">
        <f t="shared" si="16"/>
        <v>1985</v>
      </c>
      <c r="U185" s="103">
        <f t="shared" ca="1" si="17"/>
        <v>41.791780821917811</v>
      </c>
      <c r="V185" s="13" t="s">
        <v>389</v>
      </c>
      <c r="W185" s="13" t="s">
        <v>2235</v>
      </c>
      <c r="X185" s="12" t="s">
        <v>1497</v>
      </c>
      <c r="Y185" s="108" t="s">
        <v>254</v>
      </c>
      <c r="Z185" s="12" t="s">
        <v>253</v>
      </c>
      <c r="AA185" s="12" t="s">
        <v>392</v>
      </c>
      <c r="AB185" s="12" t="s">
        <v>374</v>
      </c>
      <c r="AC185" s="12" t="s">
        <v>313</v>
      </c>
      <c r="AD185" s="12" t="s">
        <v>314</v>
      </c>
      <c r="AE185" s="12">
        <v>90</v>
      </c>
      <c r="AF185" s="13" t="s">
        <v>375</v>
      </c>
      <c r="AG185" s="12" t="s">
        <v>290</v>
      </c>
      <c r="AH185" s="104" t="s">
        <v>2349</v>
      </c>
      <c r="AI185" s="12" t="s">
        <v>317</v>
      </c>
      <c r="AJ185" s="12" t="s">
        <v>318</v>
      </c>
      <c r="AK185" s="12" t="s">
        <v>2836</v>
      </c>
      <c r="AL185" s="104" t="s">
        <v>3139</v>
      </c>
      <c r="AM185" s="12">
        <v>0</v>
      </c>
      <c r="AN185" s="12">
        <v>0</v>
      </c>
      <c r="AO185" s="12" t="s">
        <v>398</v>
      </c>
      <c r="AP185" s="12"/>
      <c r="AQ185" s="12">
        <v>0</v>
      </c>
      <c r="AR185" s="12">
        <v>0</v>
      </c>
      <c r="AS185" s="12">
        <v>0</v>
      </c>
      <c r="AT185" s="12">
        <v>0</v>
      </c>
      <c r="AU185" s="12">
        <v>0</v>
      </c>
      <c r="AV185" s="12">
        <v>0</v>
      </c>
      <c r="AW185" s="12" t="s">
        <v>328</v>
      </c>
      <c r="AX185" s="12" t="s">
        <v>357</v>
      </c>
      <c r="AY185" s="12" t="s">
        <v>330</v>
      </c>
      <c r="AZ185" s="12"/>
      <c r="BA185" s="12"/>
      <c r="BB185" s="12"/>
      <c r="BC185" s="12"/>
      <c r="BD185" s="12" t="s">
        <v>3564</v>
      </c>
      <c r="BE185" s="12" t="s">
        <v>401</v>
      </c>
      <c r="BF185" s="12" t="s">
        <v>3787</v>
      </c>
      <c r="BG185" s="12" t="s">
        <v>362</v>
      </c>
      <c r="BH185" s="12" t="s">
        <v>362</v>
      </c>
      <c r="BI185" s="12" t="s">
        <v>362</v>
      </c>
      <c r="BJ185" s="12" t="s">
        <v>3888</v>
      </c>
      <c r="BK185" s="12" t="s">
        <v>3911</v>
      </c>
      <c r="BL185" s="105">
        <v>0</v>
      </c>
      <c r="BM185" s="12"/>
      <c r="BN185" s="12">
        <v>0</v>
      </c>
      <c r="BO185" s="105">
        <v>0</v>
      </c>
      <c r="BP185" s="12"/>
      <c r="BQ185" s="12">
        <v>0</v>
      </c>
      <c r="BR185" s="12">
        <v>0</v>
      </c>
      <c r="BS185" s="12"/>
      <c r="BT185" s="12">
        <v>0</v>
      </c>
      <c r="BU185" s="12">
        <v>0</v>
      </c>
      <c r="BV185" s="12"/>
      <c r="BW185" s="12">
        <v>0</v>
      </c>
      <c r="BX185" s="12">
        <v>0</v>
      </c>
      <c r="BY185" s="12"/>
      <c r="BZ185" s="12">
        <v>0</v>
      </c>
      <c r="CA185" s="12"/>
      <c r="CB185" s="12"/>
      <c r="CC185" s="12"/>
      <c r="CD185" s="78"/>
    </row>
    <row r="186" spans="1:82" ht="13.9" customHeight="1" x14ac:dyDescent="0.2">
      <c r="A186" s="12" t="s">
        <v>6068</v>
      </c>
      <c r="B186" s="12" t="s">
        <v>4024</v>
      </c>
      <c r="C186" s="104" t="s">
        <v>299</v>
      </c>
      <c r="D186" s="99" t="s">
        <v>80</v>
      </c>
      <c r="E186" s="99" t="s">
        <v>6569</v>
      </c>
      <c r="F186" s="100">
        <v>45307</v>
      </c>
      <c r="G186" s="100">
        <v>45307</v>
      </c>
      <c r="H186" s="101">
        <f t="shared" si="12"/>
        <v>45397</v>
      </c>
      <c r="I186" s="101" t="s">
        <v>291</v>
      </c>
      <c r="J186" s="12" t="s">
        <v>4396</v>
      </c>
      <c r="K186" s="12" t="s">
        <v>4438</v>
      </c>
      <c r="L186" s="12" t="s">
        <v>1865</v>
      </c>
      <c r="M186" s="102" t="str">
        <f t="shared" si="13"/>
        <v>GAMBOA MIRANDA FABIOLA ALEJANDRA</v>
      </c>
      <c r="N186" s="102" t="s">
        <v>6963</v>
      </c>
      <c r="O186" s="102" t="s">
        <v>4748</v>
      </c>
      <c r="P186" s="12" t="s">
        <v>1953</v>
      </c>
      <c r="Q186" s="100">
        <v>30782</v>
      </c>
      <c r="R186" s="77">
        <f t="shared" si="14"/>
        <v>10</v>
      </c>
      <c r="S186" s="77">
        <f t="shared" si="15"/>
        <v>4</v>
      </c>
      <c r="T186" s="77">
        <f t="shared" si="16"/>
        <v>1984</v>
      </c>
      <c r="U186" s="103">
        <f t="shared" ca="1" si="17"/>
        <v>42.534246575342465</v>
      </c>
      <c r="V186" s="13" t="s">
        <v>308</v>
      </c>
      <c r="W186" s="13" t="s">
        <v>2160</v>
      </c>
      <c r="X186" s="12" t="s">
        <v>1497</v>
      </c>
      <c r="Y186" s="12" t="s">
        <v>203</v>
      </c>
      <c r="Z186" s="12" t="s">
        <v>170</v>
      </c>
      <c r="AA186" s="12" t="s">
        <v>636</v>
      </c>
      <c r="AB186" s="12" t="s">
        <v>2282</v>
      </c>
      <c r="AC186" s="12" t="s">
        <v>313</v>
      </c>
      <c r="AD186" s="12" t="s">
        <v>314</v>
      </c>
      <c r="AE186" s="12">
        <v>90</v>
      </c>
      <c r="AF186" s="13" t="s">
        <v>315</v>
      </c>
      <c r="AG186" s="12" t="s">
        <v>291</v>
      </c>
      <c r="AH186" s="104" t="s">
        <v>316</v>
      </c>
      <c r="AI186" s="12" t="s">
        <v>317</v>
      </c>
      <c r="AJ186" s="12" t="s">
        <v>318</v>
      </c>
      <c r="AK186" s="12" t="s">
        <v>2774</v>
      </c>
      <c r="AL186" s="104" t="s">
        <v>3066</v>
      </c>
      <c r="AM186" s="12" t="s">
        <v>2537</v>
      </c>
      <c r="AN186" s="12" t="s">
        <v>1531</v>
      </c>
      <c r="AO186" s="12" t="s">
        <v>327</v>
      </c>
      <c r="AP186" s="12"/>
      <c r="AQ186" s="12" t="s">
        <v>3296</v>
      </c>
      <c r="AR186" s="12">
        <v>916</v>
      </c>
      <c r="AS186" s="12" t="s">
        <v>983</v>
      </c>
      <c r="AT186" s="12" t="s">
        <v>482</v>
      </c>
      <c r="AU186" s="12" t="s">
        <v>483</v>
      </c>
      <c r="AV186" s="12">
        <v>78436</v>
      </c>
      <c r="AW186" s="12" t="s">
        <v>357</v>
      </c>
      <c r="AX186" s="12" t="s">
        <v>357</v>
      </c>
      <c r="AY186" s="12" t="s">
        <v>357</v>
      </c>
      <c r="AZ186" s="12"/>
      <c r="BA186" s="12"/>
      <c r="BB186" s="12"/>
      <c r="BC186" s="12"/>
      <c r="BD186" s="12" t="s">
        <v>3529</v>
      </c>
      <c r="BE186" s="12" t="s">
        <v>325</v>
      </c>
      <c r="BF186" s="12" t="s">
        <v>3728</v>
      </c>
      <c r="BG186" s="12" t="s">
        <v>1349</v>
      </c>
      <c r="BH186" s="12" t="s">
        <v>334</v>
      </c>
      <c r="BI186" s="12" t="s">
        <v>3831</v>
      </c>
      <c r="BJ186" s="12" t="s">
        <v>3888</v>
      </c>
      <c r="BK186" s="12" t="s">
        <v>571</v>
      </c>
      <c r="BL186" s="105" t="s">
        <v>3915</v>
      </c>
      <c r="BM186" s="12"/>
      <c r="BN186" s="12">
        <v>0</v>
      </c>
      <c r="BO186" s="105">
        <v>0</v>
      </c>
      <c r="BP186" s="12"/>
      <c r="BQ186" s="12">
        <v>0</v>
      </c>
      <c r="BR186" s="12">
        <v>0</v>
      </c>
      <c r="BS186" s="12"/>
      <c r="BT186" s="12">
        <v>0</v>
      </c>
      <c r="BU186" s="12">
        <v>0</v>
      </c>
      <c r="BV186" s="12"/>
      <c r="BW186" s="12">
        <v>0</v>
      </c>
      <c r="BX186" s="12">
        <v>0</v>
      </c>
      <c r="BY186" s="12"/>
      <c r="BZ186" s="12">
        <v>0</v>
      </c>
      <c r="CA186" s="12"/>
      <c r="CB186" s="12"/>
      <c r="CC186" s="12"/>
      <c r="CD186" s="78"/>
    </row>
    <row r="187" spans="1:82" s="116" customFormat="1" ht="13.9" customHeight="1" x14ac:dyDescent="0.2">
      <c r="A187" s="109">
        <v>836</v>
      </c>
      <c r="B187" s="109" t="s">
        <v>4025</v>
      </c>
      <c r="C187" s="115" t="s">
        <v>299</v>
      </c>
      <c r="D187" s="111" t="s">
        <v>80</v>
      </c>
      <c r="E187" s="111" t="s">
        <v>1639</v>
      </c>
      <c r="F187" s="112">
        <v>45307</v>
      </c>
      <c r="G187" s="112">
        <v>45307</v>
      </c>
      <c r="H187" s="113">
        <f t="shared" si="12"/>
        <v>45397</v>
      </c>
      <c r="I187" s="113" t="s">
        <v>291</v>
      </c>
      <c r="J187" s="109" t="s">
        <v>489</v>
      </c>
      <c r="K187" s="109" t="s">
        <v>507</v>
      </c>
      <c r="L187" s="109" t="s">
        <v>1750</v>
      </c>
      <c r="M187" s="128" t="str">
        <f t="shared" si="13"/>
        <v>ACOSTA MARTINEZ VALERIA GUADALUPE</v>
      </c>
      <c r="N187" s="128" t="s">
        <v>6964</v>
      </c>
      <c r="O187" s="128" t="s">
        <v>4609</v>
      </c>
      <c r="P187" s="109" t="s">
        <v>1953</v>
      </c>
      <c r="Q187" s="112">
        <v>37438</v>
      </c>
      <c r="R187" s="125">
        <f t="shared" si="14"/>
        <v>1</v>
      </c>
      <c r="S187" s="125">
        <f t="shared" si="15"/>
        <v>7</v>
      </c>
      <c r="T187" s="125">
        <f t="shared" si="16"/>
        <v>2002</v>
      </c>
      <c r="U187" s="142">
        <f t="shared" ca="1" si="17"/>
        <v>24.298630136986301</v>
      </c>
      <c r="V187" s="114" t="s">
        <v>308</v>
      </c>
      <c r="W187" s="114" t="s">
        <v>2020</v>
      </c>
      <c r="X187" s="109" t="s">
        <v>1497</v>
      </c>
      <c r="Y187" s="109" t="s">
        <v>204</v>
      </c>
      <c r="Z187" s="109" t="s">
        <v>170</v>
      </c>
      <c r="AA187" s="109" t="s">
        <v>636</v>
      </c>
      <c r="AB187" s="109" t="s">
        <v>1368</v>
      </c>
      <c r="AC187" s="109" t="s">
        <v>313</v>
      </c>
      <c r="AD187" s="109" t="s">
        <v>314</v>
      </c>
      <c r="AE187" s="109">
        <v>90</v>
      </c>
      <c r="AF187" s="114" t="s">
        <v>315</v>
      </c>
      <c r="AG187" s="109" t="s">
        <v>291</v>
      </c>
      <c r="AH187" s="115" t="s">
        <v>316</v>
      </c>
      <c r="AI187" s="109" t="s">
        <v>317</v>
      </c>
      <c r="AJ187" s="109" t="s">
        <v>318</v>
      </c>
      <c r="AK187" s="109" t="s">
        <v>2674</v>
      </c>
      <c r="AL187" s="115" t="s">
        <v>2927</v>
      </c>
      <c r="AM187" s="109" t="s">
        <v>2408</v>
      </c>
      <c r="AN187" s="109" t="s">
        <v>325</v>
      </c>
      <c r="AO187" s="109" t="s">
        <v>398</v>
      </c>
      <c r="AP187" s="109"/>
      <c r="AQ187" s="109" t="s">
        <v>3226</v>
      </c>
      <c r="AR187" s="109">
        <v>103</v>
      </c>
      <c r="AS187" s="109" t="s">
        <v>328</v>
      </c>
      <c r="AT187" s="109" t="s">
        <v>482</v>
      </c>
      <c r="AU187" s="109" t="s">
        <v>483</v>
      </c>
      <c r="AV187" s="109">
        <v>78430</v>
      </c>
      <c r="AW187" s="109" t="s">
        <v>357</v>
      </c>
      <c r="AX187" s="109" t="s">
        <v>357</v>
      </c>
      <c r="AY187" s="109" t="s">
        <v>357</v>
      </c>
      <c r="AZ187" s="109"/>
      <c r="BA187" s="109"/>
      <c r="BB187" s="109"/>
      <c r="BC187" s="109"/>
      <c r="BD187" s="109" t="s">
        <v>3473</v>
      </c>
      <c r="BE187" s="109" t="s">
        <v>622</v>
      </c>
      <c r="BF187" s="109" t="s">
        <v>3622</v>
      </c>
      <c r="BG187" s="109" t="s">
        <v>333</v>
      </c>
      <c r="BH187" s="109" t="s">
        <v>334</v>
      </c>
      <c r="BI187" s="109" t="s">
        <v>3831</v>
      </c>
      <c r="BJ187" s="109" t="s">
        <v>3831</v>
      </c>
      <c r="BK187" s="109"/>
      <c r="BL187" s="111"/>
      <c r="BM187" s="109"/>
      <c r="BN187" s="109"/>
      <c r="BO187" s="111"/>
      <c r="BP187" s="109"/>
      <c r="BQ187" s="109"/>
      <c r="BR187" s="109"/>
      <c r="BS187" s="109"/>
      <c r="BT187" s="109"/>
      <c r="BU187" s="109"/>
      <c r="BV187" s="109"/>
      <c r="BW187" s="109"/>
      <c r="BX187" s="109"/>
      <c r="BY187" s="109"/>
      <c r="BZ187" s="109"/>
      <c r="CA187" s="109"/>
      <c r="CB187" s="109"/>
      <c r="CC187" s="109"/>
      <c r="CD187" s="110"/>
    </row>
    <row r="188" spans="1:82" s="116" customFormat="1" ht="13.9" customHeight="1" x14ac:dyDescent="0.2">
      <c r="A188" s="109">
        <v>793</v>
      </c>
      <c r="B188" s="109" t="s">
        <v>4123</v>
      </c>
      <c r="C188" s="110" t="s">
        <v>335</v>
      </c>
      <c r="D188" s="111" t="s">
        <v>161</v>
      </c>
      <c r="E188" s="111" t="s">
        <v>6755</v>
      </c>
      <c r="F188" s="112">
        <v>45311</v>
      </c>
      <c r="G188" s="112">
        <v>45677</v>
      </c>
      <c r="H188" s="113">
        <f t="shared" si="12"/>
        <v>45767</v>
      </c>
      <c r="I188" s="113" t="s">
        <v>290</v>
      </c>
      <c r="J188" s="109" t="s">
        <v>4383</v>
      </c>
      <c r="K188" s="109" t="s">
        <v>384</v>
      </c>
      <c r="L188" s="109" t="s">
        <v>1839</v>
      </c>
      <c r="M188" s="128" t="str">
        <f t="shared" si="13"/>
        <v>MARTINEZ  SANCHEZ OSCAR</v>
      </c>
      <c r="N188" s="128" t="s">
        <v>7167</v>
      </c>
      <c r="O188" s="128" t="s">
        <v>4719</v>
      </c>
      <c r="P188" s="109" t="s">
        <v>1953</v>
      </c>
      <c r="Q188" s="112">
        <v>37066</v>
      </c>
      <c r="R188" s="125">
        <f t="shared" si="14"/>
        <v>24</v>
      </c>
      <c r="S188" s="125">
        <f t="shared" si="15"/>
        <v>6</v>
      </c>
      <c r="T188" s="125">
        <f t="shared" si="16"/>
        <v>2001</v>
      </c>
      <c r="U188" s="142">
        <f t="shared" ca="1" si="17"/>
        <v>25.317808219178083</v>
      </c>
      <c r="V188" s="114" t="s">
        <v>389</v>
      </c>
      <c r="W188" s="114" t="s">
        <v>2130</v>
      </c>
      <c r="X188" s="109" t="s">
        <v>530</v>
      </c>
      <c r="Y188" s="109" t="s">
        <v>169</v>
      </c>
      <c r="Z188" s="109" t="s">
        <v>164</v>
      </c>
      <c r="AA188" s="109" t="s">
        <v>347</v>
      </c>
      <c r="AB188" s="109" t="s">
        <v>2297</v>
      </c>
      <c r="AC188" s="109" t="s">
        <v>313</v>
      </c>
      <c r="AD188" s="109" t="s">
        <v>314</v>
      </c>
      <c r="AE188" s="109">
        <v>90</v>
      </c>
      <c r="AF188" s="114" t="s">
        <v>2330</v>
      </c>
      <c r="AG188" s="109" t="s">
        <v>290</v>
      </c>
      <c r="AH188" s="115" t="s">
        <v>2343</v>
      </c>
      <c r="AI188" s="109" t="s">
        <v>317</v>
      </c>
      <c r="AJ188" s="109" t="s">
        <v>318</v>
      </c>
      <c r="AK188" s="109">
        <v>4811460318</v>
      </c>
      <c r="AL188" s="115" t="s">
        <v>3036</v>
      </c>
      <c r="AM188" s="109" t="s">
        <v>2507</v>
      </c>
      <c r="AN188" s="109" t="s">
        <v>401</v>
      </c>
      <c r="AO188" s="109" t="s">
        <v>398</v>
      </c>
      <c r="AP188" s="109"/>
      <c r="AQ188" s="109" t="s">
        <v>3288</v>
      </c>
      <c r="AR188" s="109">
        <v>167</v>
      </c>
      <c r="AS188" s="109">
        <v>0</v>
      </c>
      <c r="AT188" s="109" t="s">
        <v>3376</v>
      </c>
      <c r="AU188" s="109" t="s">
        <v>483</v>
      </c>
      <c r="AV188" s="109">
        <v>79060</v>
      </c>
      <c r="AW188" s="109">
        <v>794</v>
      </c>
      <c r="AX188" s="109">
        <v>0</v>
      </c>
      <c r="AY188" s="109" t="s">
        <v>329</v>
      </c>
      <c r="AZ188" s="109"/>
      <c r="BA188" s="109"/>
      <c r="BB188" s="109"/>
      <c r="BC188" s="109"/>
      <c r="BD188" s="109" t="s">
        <v>2507</v>
      </c>
      <c r="BE188" s="109" t="s">
        <v>401</v>
      </c>
      <c r="BF188" s="109">
        <v>4811540805</v>
      </c>
      <c r="BG188" s="109" t="s">
        <v>685</v>
      </c>
      <c r="BH188" s="109" t="s">
        <v>334</v>
      </c>
      <c r="BI188" s="109" t="s">
        <v>3831</v>
      </c>
      <c r="BJ188" s="109" t="s">
        <v>3831</v>
      </c>
      <c r="BK188" s="109"/>
      <c r="BL188" s="111"/>
      <c r="BM188" s="109"/>
      <c r="BN188" s="109"/>
      <c r="BO188" s="111"/>
      <c r="BP188" s="109"/>
      <c r="BQ188" s="109"/>
      <c r="BR188" s="109"/>
      <c r="BS188" s="109"/>
      <c r="BT188" s="109"/>
      <c r="BU188" s="109"/>
      <c r="BV188" s="109"/>
      <c r="BW188" s="109"/>
      <c r="BX188" s="109"/>
      <c r="BY188" s="109"/>
      <c r="BZ188" s="109"/>
      <c r="CA188" s="109"/>
      <c r="CB188" s="109"/>
      <c r="CC188" s="109"/>
      <c r="CD188" s="110"/>
    </row>
    <row r="189" spans="1:82" ht="13.9" customHeight="1" x14ac:dyDescent="0.2">
      <c r="A189" s="107">
        <v>585</v>
      </c>
      <c r="B189" s="107" t="s">
        <v>3986</v>
      </c>
      <c r="C189" s="104" t="s">
        <v>564</v>
      </c>
      <c r="D189" s="107" t="s">
        <v>81</v>
      </c>
      <c r="E189" s="99" t="s">
        <v>1627</v>
      </c>
      <c r="F189" s="100">
        <v>45323</v>
      </c>
      <c r="G189" s="100">
        <v>45323</v>
      </c>
      <c r="H189" s="101">
        <f t="shared" si="12"/>
        <v>45413</v>
      </c>
      <c r="I189" s="101" t="s">
        <v>290</v>
      </c>
      <c r="J189" s="12" t="s">
        <v>447</v>
      </c>
      <c r="K189" s="12" t="s">
        <v>4445</v>
      </c>
      <c r="L189" s="12" t="s">
        <v>426</v>
      </c>
      <c r="M189" s="102" t="str">
        <f t="shared" si="13"/>
        <v>GARCIA BACILIO FERNANDO</v>
      </c>
      <c r="N189" s="102" t="s">
        <v>6965</v>
      </c>
      <c r="O189" s="102" t="s">
        <v>4572</v>
      </c>
      <c r="P189" s="12" t="s">
        <v>1953</v>
      </c>
      <c r="Q189" s="100">
        <v>34949</v>
      </c>
      <c r="R189" s="77">
        <f t="shared" si="14"/>
        <v>7</v>
      </c>
      <c r="S189" s="77">
        <f t="shared" si="15"/>
        <v>9</v>
      </c>
      <c r="T189" s="77">
        <f t="shared" si="16"/>
        <v>1995</v>
      </c>
      <c r="U189" s="103">
        <f t="shared" ca="1" si="17"/>
        <v>31.117808219178084</v>
      </c>
      <c r="V189" s="13" t="s">
        <v>452</v>
      </c>
      <c r="W189" s="13" t="s">
        <v>1982</v>
      </c>
      <c r="X189" s="12" t="s">
        <v>1497</v>
      </c>
      <c r="Y189" s="12" t="s">
        <v>297</v>
      </c>
      <c r="Z189" s="12" t="s">
        <v>84</v>
      </c>
      <c r="AA189" s="12" t="s">
        <v>532</v>
      </c>
      <c r="AB189" s="12" t="s">
        <v>574</v>
      </c>
      <c r="AC189" s="12" t="s">
        <v>313</v>
      </c>
      <c r="AD189" s="12" t="s">
        <v>314</v>
      </c>
      <c r="AE189" s="12">
        <v>90</v>
      </c>
      <c r="AF189" s="13" t="s">
        <v>350</v>
      </c>
      <c r="AG189" s="12" t="s">
        <v>290</v>
      </c>
      <c r="AH189" s="104" t="s">
        <v>575</v>
      </c>
      <c r="AI189" s="12" t="s">
        <v>317</v>
      </c>
      <c r="AJ189" s="12" t="s">
        <v>318</v>
      </c>
      <c r="AK189" s="12" t="s">
        <v>2652</v>
      </c>
      <c r="AL189" s="104" t="s">
        <v>2889</v>
      </c>
      <c r="AM189" s="12" t="s">
        <v>2371</v>
      </c>
      <c r="AN189" s="12" t="s">
        <v>560</v>
      </c>
      <c r="AO189" s="12" t="s">
        <v>398</v>
      </c>
      <c r="AP189" s="12"/>
      <c r="AQ189" s="12" t="s">
        <v>362</v>
      </c>
      <c r="AR189" s="12" t="s">
        <v>362</v>
      </c>
      <c r="AS189" s="12" t="s">
        <v>362</v>
      </c>
      <c r="AT189" s="12" t="s">
        <v>116</v>
      </c>
      <c r="AU189" s="12" t="s">
        <v>583</v>
      </c>
      <c r="AV189" s="12">
        <v>44750</v>
      </c>
      <c r="AW189" s="12" t="s">
        <v>357</v>
      </c>
      <c r="AX189" s="12" t="s">
        <v>357</v>
      </c>
      <c r="AY189" s="12" t="s">
        <v>357</v>
      </c>
      <c r="AZ189" s="12"/>
      <c r="BA189" s="12"/>
      <c r="BB189" s="12"/>
      <c r="BC189" s="12"/>
      <c r="BD189" s="12" t="s">
        <v>2371</v>
      </c>
      <c r="BE189" s="12" t="s">
        <v>560</v>
      </c>
      <c r="BF189" s="12" t="s">
        <v>3600</v>
      </c>
      <c r="BG189" s="12" t="s">
        <v>444</v>
      </c>
      <c r="BH189" s="12" t="s">
        <v>334</v>
      </c>
      <c r="BI189" s="12" t="s">
        <v>3831</v>
      </c>
      <c r="BJ189" s="12" t="s">
        <v>3888</v>
      </c>
      <c r="BK189" s="12" t="s">
        <v>3911</v>
      </c>
      <c r="BL189" s="105" t="s">
        <v>3923</v>
      </c>
      <c r="BM189" s="12"/>
      <c r="BN189" s="12" t="s">
        <v>571</v>
      </c>
      <c r="BO189" s="105" t="s">
        <v>3922</v>
      </c>
      <c r="BP189" s="12"/>
      <c r="BQ189" s="12" t="s">
        <v>571</v>
      </c>
      <c r="BR189" s="12" t="s">
        <v>3919</v>
      </c>
      <c r="BS189" s="12"/>
      <c r="BT189" s="12">
        <v>0</v>
      </c>
      <c r="BU189" s="12">
        <v>0</v>
      </c>
      <c r="BV189" s="12"/>
      <c r="BW189" s="12">
        <v>0</v>
      </c>
      <c r="BX189" s="12">
        <v>0</v>
      </c>
      <c r="BY189" s="12"/>
      <c r="BZ189" s="12">
        <v>0</v>
      </c>
      <c r="CA189" s="12"/>
      <c r="CB189" s="12"/>
      <c r="CC189" s="12"/>
      <c r="CD189" s="78"/>
    </row>
    <row r="190" spans="1:82" ht="13.9" customHeight="1" x14ac:dyDescent="0.2">
      <c r="A190" s="12">
        <v>590</v>
      </c>
      <c r="B190" s="12" t="s">
        <v>4187</v>
      </c>
      <c r="C190" s="106" t="s">
        <v>1390</v>
      </c>
      <c r="D190" s="107" t="s">
        <v>281</v>
      </c>
      <c r="E190" s="99" t="s">
        <v>1701</v>
      </c>
      <c r="F190" s="100">
        <v>45328</v>
      </c>
      <c r="G190" s="100">
        <v>45328</v>
      </c>
      <c r="H190" s="101">
        <f t="shared" si="12"/>
        <v>45418</v>
      </c>
      <c r="I190" s="101" t="s">
        <v>291</v>
      </c>
      <c r="J190" s="12" t="s">
        <v>704</v>
      </c>
      <c r="K190" s="12" t="s">
        <v>4317</v>
      </c>
      <c r="L190" s="12" t="s">
        <v>1944</v>
      </c>
      <c r="M190" s="102" t="str">
        <f t="shared" si="13"/>
        <v>GONZALEZ DIAZ ESTHER</v>
      </c>
      <c r="N190" s="102" t="s">
        <v>6966</v>
      </c>
      <c r="O190" s="102" t="s">
        <v>4851</v>
      </c>
      <c r="P190" s="12" t="s">
        <v>1953</v>
      </c>
      <c r="Q190" s="100">
        <v>36183</v>
      </c>
      <c r="R190" s="77">
        <f t="shared" si="14"/>
        <v>23</v>
      </c>
      <c r="S190" s="77">
        <f t="shared" si="15"/>
        <v>1</v>
      </c>
      <c r="T190" s="77">
        <f t="shared" si="16"/>
        <v>1999</v>
      </c>
      <c r="U190" s="103">
        <f t="shared" ca="1" si="17"/>
        <v>27.736986301369864</v>
      </c>
      <c r="V190" s="13" t="s">
        <v>308</v>
      </c>
      <c r="W190" s="13" t="s">
        <v>2262</v>
      </c>
      <c r="X190" s="12" t="s">
        <v>1497</v>
      </c>
      <c r="Y190" s="108" t="s">
        <v>274</v>
      </c>
      <c r="Z190" s="12" t="s">
        <v>263</v>
      </c>
      <c r="AA190" s="12" t="s">
        <v>636</v>
      </c>
      <c r="AB190" s="12" t="s">
        <v>2315</v>
      </c>
      <c r="AC190" s="12" t="s">
        <v>313</v>
      </c>
      <c r="AD190" s="12" t="s">
        <v>314</v>
      </c>
      <c r="AE190" s="12">
        <v>90</v>
      </c>
      <c r="AF190" s="13" t="s">
        <v>375</v>
      </c>
      <c r="AG190" s="12" t="s">
        <v>291</v>
      </c>
      <c r="AH190" s="104" t="s">
        <v>1398</v>
      </c>
      <c r="AI190" s="12" t="s">
        <v>317</v>
      </c>
      <c r="AJ190" s="12" t="s">
        <v>318</v>
      </c>
      <c r="AK190" s="12" t="s">
        <v>2860</v>
      </c>
      <c r="AL190" s="104" t="s">
        <v>3166</v>
      </c>
      <c r="AM190" s="12" t="s">
        <v>2623</v>
      </c>
      <c r="AN190" s="12" t="s">
        <v>325</v>
      </c>
      <c r="AO190" s="12" t="s">
        <v>398</v>
      </c>
      <c r="AP190" s="12"/>
      <c r="AQ190" s="12" t="s">
        <v>3343</v>
      </c>
      <c r="AR190" s="12">
        <v>119</v>
      </c>
      <c r="AS190" s="12" t="s">
        <v>362</v>
      </c>
      <c r="AT190" s="12" t="s">
        <v>482</v>
      </c>
      <c r="AU190" s="12" t="s">
        <v>483</v>
      </c>
      <c r="AV190" s="12" t="s">
        <v>3414</v>
      </c>
      <c r="AW190" s="12" t="s">
        <v>357</v>
      </c>
      <c r="AX190" s="12">
        <v>0</v>
      </c>
      <c r="AY190" s="12" t="s">
        <v>357</v>
      </c>
      <c r="AZ190" s="12"/>
      <c r="BA190" s="12"/>
      <c r="BB190" s="12"/>
      <c r="BC190" s="12"/>
      <c r="BD190" s="12" t="s">
        <v>2623</v>
      </c>
      <c r="BE190" s="12" t="s">
        <v>325</v>
      </c>
      <c r="BF190" s="12" t="s">
        <v>3809</v>
      </c>
      <c r="BG190" s="12" t="s">
        <v>333</v>
      </c>
      <c r="BH190" s="12" t="s">
        <v>334</v>
      </c>
      <c r="BI190" s="12" t="s">
        <v>3831</v>
      </c>
      <c r="BJ190" s="12" t="s">
        <v>3831</v>
      </c>
      <c r="BK190" s="12"/>
      <c r="BL190" s="105"/>
      <c r="BM190" s="12"/>
      <c r="BN190" s="12"/>
      <c r="BO190" s="105"/>
      <c r="BP190" s="12"/>
      <c r="BQ190" s="12"/>
      <c r="BR190" s="12"/>
      <c r="BS190" s="12"/>
      <c r="BT190" s="12"/>
      <c r="BU190" s="12"/>
      <c r="BV190" s="12"/>
      <c r="BW190" s="12"/>
      <c r="BX190" s="12"/>
      <c r="BY190" s="12"/>
      <c r="BZ190" s="12"/>
      <c r="CA190" s="12"/>
      <c r="CB190" s="12"/>
      <c r="CC190" s="12"/>
      <c r="CD190" s="78"/>
    </row>
    <row r="191" spans="1:82" ht="13.9" customHeight="1" x14ac:dyDescent="0.2">
      <c r="A191" s="107">
        <v>598</v>
      </c>
      <c r="B191" s="107" t="s">
        <v>7254</v>
      </c>
      <c r="C191" s="78" t="s">
        <v>363</v>
      </c>
      <c r="D191" s="107" t="s">
        <v>86</v>
      </c>
      <c r="E191" s="99" t="s">
        <v>1638</v>
      </c>
      <c r="F191" s="100">
        <v>45328</v>
      </c>
      <c r="G191" s="117">
        <v>45328</v>
      </c>
      <c r="H191" s="101">
        <f t="shared" si="12"/>
        <v>45418</v>
      </c>
      <c r="I191" s="101" t="s">
        <v>290</v>
      </c>
      <c r="J191" s="12" t="s">
        <v>1079</v>
      </c>
      <c r="K191" s="12" t="s">
        <v>4426</v>
      </c>
      <c r="L191" s="12" t="s">
        <v>1745</v>
      </c>
      <c r="M191" s="102" t="str">
        <f t="shared" si="13"/>
        <v>CASTILLO MIRELES JAVIER DARIO</v>
      </c>
      <c r="N191" s="102" t="s">
        <v>6967</v>
      </c>
      <c r="O191" s="102" t="s">
        <v>4604</v>
      </c>
      <c r="P191" s="12" t="s">
        <v>1953</v>
      </c>
      <c r="Q191" s="100">
        <v>33957</v>
      </c>
      <c r="R191" s="77">
        <f t="shared" si="14"/>
        <v>19</v>
      </c>
      <c r="S191" s="77">
        <f t="shared" si="15"/>
        <v>12</v>
      </c>
      <c r="T191" s="77">
        <f t="shared" si="16"/>
        <v>1992</v>
      </c>
      <c r="U191" s="103">
        <f t="shared" ca="1" si="17"/>
        <v>33.835616438356162</v>
      </c>
      <c r="V191" s="13" t="s">
        <v>342</v>
      </c>
      <c r="W191" s="13" t="s">
        <v>2015</v>
      </c>
      <c r="X191" s="12" t="s">
        <v>1497</v>
      </c>
      <c r="Y191" s="108" t="s">
        <v>89</v>
      </c>
      <c r="Z191" s="12" t="s">
        <v>90</v>
      </c>
      <c r="AA191" s="12" t="s">
        <v>392</v>
      </c>
      <c r="AB191" s="12" t="s">
        <v>374</v>
      </c>
      <c r="AC191" s="12" t="s">
        <v>313</v>
      </c>
      <c r="AD191" s="12" t="s">
        <v>314</v>
      </c>
      <c r="AE191" s="12">
        <v>90</v>
      </c>
      <c r="AF191" s="13" t="s">
        <v>375</v>
      </c>
      <c r="AG191" s="12" t="s">
        <v>290</v>
      </c>
      <c r="AH191" s="104" t="s">
        <v>473</v>
      </c>
      <c r="AI191" s="12" t="s">
        <v>317</v>
      </c>
      <c r="AJ191" s="12" t="s">
        <v>318</v>
      </c>
      <c r="AK191" s="12" t="s">
        <v>2670</v>
      </c>
      <c r="AL191" s="104" t="s">
        <v>2922</v>
      </c>
      <c r="AM191" s="12" t="s">
        <v>2403</v>
      </c>
      <c r="AN191" s="12" t="s">
        <v>622</v>
      </c>
      <c r="AO191" s="12" t="s">
        <v>398</v>
      </c>
      <c r="AP191" s="12"/>
      <c r="AQ191" s="12" t="s">
        <v>3222</v>
      </c>
      <c r="AR191" s="12">
        <v>629</v>
      </c>
      <c r="AS191" s="12" t="s">
        <v>362</v>
      </c>
      <c r="AT191" s="12" t="s">
        <v>483</v>
      </c>
      <c r="AU191" s="12" t="s">
        <v>483</v>
      </c>
      <c r="AV191" s="12">
        <v>78380</v>
      </c>
      <c r="AW191" s="12" t="s">
        <v>357</v>
      </c>
      <c r="AX191" s="12" t="s">
        <v>357</v>
      </c>
      <c r="AY191" s="12" t="s">
        <v>357</v>
      </c>
      <c r="AZ191" s="12"/>
      <c r="BA191" s="12"/>
      <c r="BB191" s="12"/>
      <c r="BC191" s="12"/>
      <c r="BD191" s="12" t="s">
        <v>3472</v>
      </c>
      <c r="BE191" s="12" t="s">
        <v>560</v>
      </c>
      <c r="BF191" s="12" t="s">
        <v>3618</v>
      </c>
      <c r="BG191" s="12" t="s">
        <v>333</v>
      </c>
      <c r="BH191" s="12" t="s">
        <v>334</v>
      </c>
      <c r="BI191" s="12" t="s">
        <v>3831</v>
      </c>
      <c r="BJ191" s="12" t="s">
        <v>3888</v>
      </c>
      <c r="BK191" s="12" t="s">
        <v>571</v>
      </c>
      <c r="BL191" s="105" t="s">
        <v>3921</v>
      </c>
      <c r="BM191" s="12"/>
      <c r="BN191" s="12" t="s">
        <v>3911</v>
      </c>
      <c r="BO191" s="105" t="s">
        <v>3918</v>
      </c>
      <c r="BP191" s="12"/>
      <c r="BQ191" s="12">
        <v>0</v>
      </c>
      <c r="BR191" s="12">
        <v>0</v>
      </c>
      <c r="BS191" s="12"/>
      <c r="BT191" s="12">
        <v>0</v>
      </c>
      <c r="BU191" s="12">
        <v>0</v>
      </c>
      <c r="BV191" s="12"/>
      <c r="BW191" s="12">
        <v>0</v>
      </c>
      <c r="BX191" s="12">
        <v>0</v>
      </c>
      <c r="BY191" s="12"/>
      <c r="BZ191" s="12">
        <v>0</v>
      </c>
      <c r="CA191" s="12"/>
      <c r="CB191" s="12"/>
      <c r="CC191" s="12"/>
      <c r="CD191" s="78"/>
    </row>
    <row r="192" spans="1:82" ht="13.9" customHeight="1" x14ac:dyDescent="0.2">
      <c r="A192" s="107">
        <v>596</v>
      </c>
      <c r="B192" s="107" t="s">
        <v>7261</v>
      </c>
      <c r="C192" s="78" t="s">
        <v>299</v>
      </c>
      <c r="D192" s="99" t="s">
        <v>80</v>
      </c>
      <c r="E192" s="99" t="s">
        <v>6570</v>
      </c>
      <c r="F192" s="100">
        <v>45331</v>
      </c>
      <c r="G192" s="100">
        <v>45331</v>
      </c>
      <c r="H192" s="101">
        <f t="shared" si="12"/>
        <v>45421</v>
      </c>
      <c r="I192" s="101" t="s">
        <v>291</v>
      </c>
      <c r="J192" s="12" t="s">
        <v>6472</v>
      </c>
      <c r="K192" s="12" t="s">
        <v>1420</v>
      </c>
      <c r="L192" s="12" t="s">
        <v>1718</v>
      </c>
      <c r="M192" s="102" t="str">
        <f t="shared" si="13"/>
        <v>VILLARREAL BRAVO LUIS ADRIAN</v>
      </c>
      <c r="N192" s="102" t="s">
        <v>4542</v>
      </c>
      <c r="O192" s="102" t="s">
        <v>4573</v>
      </c>
      <c r="P192" s="12" t="s">
        <v>1953</v>
      </c>
      <c r="Q192" s="100">
        <v>34283</v>
      </c>
      <c r="R192" s="77">
        <f t="shared" si="14"/>
        <v>10</v>
      </c>
      <c r="S192" s="77">
        <f t="shared" si="15"/>
        <v>11</v>
      </c>
      <c r="T192" s="77">
        <f t="shared" si="16"/>
        <v>1993</v>
      </c>
      <c r="U192" s="103">
        <f t="shared" ca="1" si="17"/>
        <v>32.942465753424656</v>
      </c>
      <c r="V192" s="13" t="s">
        <v>452</v>
      </c>
      <c r="W192" s="13" t="s">
        <v>1983</v>
      </c>
      <c r="X192" s="12" t="s">
        <v>1497</v>
      </c>
      <c r="Y192" s="12" t="s">
        <v>297</v>
      </c>
      <c r="Z192" s="12" t="s">
        <v>84</v>
      </c>
      <c r="AA192" s="12" t="s">
        <v>636</v>
      </c>
      <c r="AB192" s="12" t="s">
        <v>2279</v>
      </c>
      <c r="AC192" s="12" t="s">
        <v>313</v>
      </c>
      <c r="AD192" s="12" t="s">
        <v>314</v>
      </c>
      <c r="AE192" s="12">
        <v>90</v>
      </c>
      <c r="AF192" s="13" t="s">
        <v>315</v>
      </c>
      <c r="AG192" s="12" t="s">
        <v>291</v>
      </c>
      <c r="AH192" s="104" t="s">
        <v>316</v>
      </c>
      <c r="AI192" s="12" t="s">
        <v>317</v>
      </c>
      <c r="AJ192" s="12" t="s">
        <v>318</v>
      </c>
      <c r="AK192" s="12" t="s">
        <v>2653</v>
      </c>
      <c r="AL192" s="104" t="s">
        <v>2890</v>
      </c>
      <c r="AM192" s="12" t="s">
        <v>2372</v>
      </c>
      <c r="AN192" s="12" t="s">
        <v>478</v>
      </c>
      <c r="AO192" s="12" t="s">
        <v>398</v>
      </c>
      <c r="AP192" s="12"/>
      <c r="AQ192" s="12" t="s">
        <v>3202</v>
      </c>
      <c r="AR192" s="12">
        <v>125</v>
      </c>
      <c r="AS192" s="12" t="s">
        <v>880</v>
      </c>
      <c r="AT192" s="12" t="s">
        <v>483</v>
      </c>
      <c r="AU192" s="12" t="s">
        <v>483</v>
      </c>
      <c r="AV192" s="12">
        <v>78136</v>
      </c>
      <c r="AW192" s="12" t="s">
        <v>357</v>
      </c>
      <c r="AX192" s="12">
        <v>0</v>
      </c>
      <c r="AY192" s="12">
        <v>0</v>
      </c>
      <c r="AZ192" s="12"/>
      <c r="BA192" s="12"/>
      <c r="BB192" s="12"/>
      <c r="BC192" s="12"/>
      <c r="BD192" s="12" t="s">
        <v>3463</v>
      </c>
      <c r="BE192" s="12" t="s">
        <v>439</v>
      </c>
      <c r="BF192" s="12" t="s">
        <v>3601</v>
      </c>
      <c r="BG192" s="12" t="s">
        <v>685</v>
      </c>
      <c r="BH192" s="12" t="s">
        <v>334</v>
      </c>
      <c r="BI192" s="12">
        <v>2</v>
      </c>
      <c r="BJ192" s="12" t="s">
        <v>3836</v>
      </c>
      <c r="BK192" s="12" t="s">
        <v>3911</v>
      </c>
      <c r="BL192" s="105">
        <v>0</v>
      </c>
      <c r="BM192" s="12"/>
      <c r="BN192" s="12">
        <v>0</v>
      </c>
      <c r="BO192" s="105">
        <v>0</v>
      </c>
      <c r="BP192" s="12"/>
      <c r="BQ192" s="12">
        <v>0</v>
      </c>
      <c r="BR192" s="12">
        <v>0</v>
      </c>
      <c r="BS192" s="12"/>
      <c r="BT192" s="12">
        <v>0</v>
      </c>
      <c r="BU192" s="12">
        <v>0</v>
      </c>
      <c r="BV192" s="12"/>
      <c r="BW192" s="12">
        <v>0</v>
      </c>
      <c r="BX192" s="12">
        <v>0</v>
      </c>
      <c r="BY192" s="12"/>
      <c r="BZ192" s="12">
        <v>0</v>
      </c>
      <c r="CA192" s="12"/>
      <c r="CB192" s="12"/>
      <c r="CC192" s="12"/>
      <c r="CD192" s="78"/>
    </row>
    <row r="193" spans="1:82" ht="13.9" customHeight="1" x14ac:dyDescent="0.2">
      <c r="A193" s="107">
        <v>599</v>
      </c>
      <c r="B193" s="107" t="s">
        <v>3987</v>
      </c>
      <c r="C193" s="104" t="s">
        <v>564</v>
      </c>
      <c r="D193" s="107" t="s">
        <v>81</v>
      </c>
      <c r="E193" s="99" t="s">
        <v>6571</v>
      </c>
      <c r="F193" s="100">
        <v>45334</v>
      </c>
      <c r="G193" s="100">
        <v>45334</v>
      </c>
      <c r="H193" s="101">
        <f t="shared" si="12"/>
        <v>45424</v>
      </c>
      <c r="I193" s="101" t="s">
        <v>290</v>
      </c>
      <c r="J193" s="12" t="s">
        <v>4320</v>
      </c>
      <c r="K193" s="12" t="s">
        <v>4446</v>
      </c>
      <c r="L193" s="12" t="s">
        <v>1719</v>
      </c>
      <c r="M193" s="102" t="str">
        <f t="shared" si="13"/>
        <v>OBISPO ANGELA HUMBERTO</v>
      </c>
      <c r="N193" s="102" t="s">
        <v>6968</v>
      </c>
      <c r="O193" s="102" t="s">
        <v>4574</v>
      </c>
      <c r="P193" s="12" t="s">
        <v>1953</v>
      </c>
      <c r="Q193" s="100">
        <v>35130</v>
      </c>
      <c r="R193" s="77">
        <f t="shared" si="14"/>
        <v>6</v>
      </c>
      <c r="S193" s="77">
        <f t="shared" si="15"/>
        <v>3</v>
      </c>
      <c r="T193" s="77">
        <f t="shared" si="16"/>
        <v>1996</v>
      </c>
      <c r="U193" s="103">
        <f t="shared" ca="1" si="17"/>
        <v>30.621917808219177</v>
      </c>
      <c r="V193" s="13" t="s">
        <v>342</v>
      </c>
      <c r="W193" s="13" t="s">
        <v>1984</v>
      </c>
      <c r="X193" s="12" t="s">
        <v>1497</v>
      </c>
      <c r="Y193" s="12" t="s">
        <v>297</v>
      </c>
      <c r="Z193" s="12" t="s">
        <v>84</v>
      </c>
      <c r="AA193" s="12" t="s">
        <v>532</v>
      </c>
      <c r="AB193" s="12" t="s">
        <v>574</v>
      </c>
      <c r="AC193" s="12" t="s">
        <v>313</v>
      </c>
      <c r="AD193" s="12" t="s">
        <v>314</v>
      </c>
      <c r="AE193" s="12">
        <v>90</v>
      </c>
      <c r="AF193" s="13" t="s">
        <v>350</v>
      </c>
      <c r="AG193" s="12" t="s">
        <v>290</v>
      </c>
      <c r="AH193" s="104" t="s">
        <v>575</v>
      </c>
      <c r="AI193" s="12" t="s">
        <v>317</v>
      </c>
      <c r="AJ193" s="12" t="s">
        <v>318</v>
      </c>
      <c r="AK193" s="12" t="s">
        <v>2654</v>
      </c>
      <c r="AL193" s="104" t="s">
        <v>2891</v>
      </c>
      <c r="AM193" s="12" t="s">
        <v>2373</v>
      </c>
      <c r="AN193" s="12" t="s">
        <v>560</v>
      </c>
      <c r="AO193" s="12" t="s">
        <v>398</v>
      </c>
      <c r="AP193" s="12"/>
      <c r="AQ193" s="12" t="s">
        <v>3203</v>
      </c>
      <c r="AR193" s="12" t="s">
        <v>880</v>
      </c>
      <c r="AS193" s="12" t="s">
        <v>362</v>
      </c>
      <c r="AT193" s="12" t="s">
        <v>3376</v>
      </c>
      <c r="AU193" s="12" t="s">
        <v>483</v>
      </c>
      <c r="AV193" s="12">
        <v>79285</v>
      </c>
      <c r="AW193" s="12" t="s">
        <v>357</v>
      </c>
      <c r="AX193" s="12" t="s">
        <v>357</v>
      </c>
      <c r="AY193" s="12" t="s">
        <v>357</v>
      </c>
      <c r="AZ193" s="12"/>
      <c r="BA193" s="12"/>
      <c r="BB193" s="12"/>
      <c r="BC193" s="12"/>
      <c r="BD193" s="12" t="s">
        <v>2373</v>
      </c>
      <c r="BE193" s="12" t="s">
        <v>381</v>
      </c>
      <c r="BF193" s="12" t="s">
        <v>3602</v>
      </c>
      <c r="BG193" s="12" t="s">
        <v>333</v>
      </c>
      <c r="BH193" s="12" t="s">
        <v>334</v>
      </c>
      <c r="BI193" s="12" t="s">
        <v>3831</v>
      </c>
      <c r="BJ193" s="12" t="s">
        <v>3888</v>
      </c>
      <c r="BK193" s="12" t="s">
        <v>571</v>
      </c>
      <c r="BL193" s="105" t="s">
        <v>3862</v>
      </c>
      <c r="BM193" s="12"/>
      <c r="BN193" s="12">
        <v>0</v>
      </c>
      <c r="BO193" s="105">
        <v>0</v>
      </c>
      <c r="BP193" s="12"/>
      <c r="BQ193" s="12">
        <v>0</v>
      </c>
      <c r="BR193" s="12">
        <v>0</v>
      </c>
      <c r="BS193" s="12"/>
      <c r="BT193" s="12">
        <v>0</v>
      </c>
      <c r="BU193" s="12">
        <v>0</v>
      </c>
      <c r="BV193" s="12"/>
      <c r="BW193" s="12">
        <v>0</v>
      </c>
      <c r="BX193" s="12">
        <v>0</v>
      </c>
      <c r="BY193" s="12"/>
      <c r="BZ193" s="12">
        <v>0</v>
      </c>
      <c r="CA193" s="12"/>
      <c r="CB193" s="12"/>
      <c r="CC193" s="12"/>
      <c r="CD193" s="78"/>
    </row>
    <row r="194" spans="1:82" ht="13.9" customHeight="1" x14ac:dyDescent="0.2">
      <c r="A194" s="107">
        <v>602</v>
      </c>
      <c r="B194" s="107" t="s">
        <v>3988</v>
      </c>
      <c r="C194" s="104" t="s">
        <v>564</v>
      </c>
      <c r="D194" s="107" t="s">
        <v>81</v>
      </c>
      <c r="E194" s="99" t="s">
        <v>6572</v>
      </c>
      <c r="F194" s="100">
        <v>45337</v>
      </c>
      <c r="G194" s="100">
        <v>45337</v>
      </c>
      <c r="H194" s="101">
        <f t="shared" ref="H194:H257" si="18">+G194+AE194</f>
        <v>45457</v>
      </c>
      <c r="I194" s="101" t="s">
        <v>290</v>
      </c>
      <c r="J194" s="12" t="s">
        <v>4321</v>
      </c>
      <c r="K194" s="12" t="s">
        <v>4403</v>
      </c>
      <c r="L194" s="12" t="s">
        <v>338</v>
      </c>
      <c r="M194" s="102" t="str">
        <f t="shared" ref="M194:M257" si="19">_xlfn.CONCAT(J194," ",K194," ",L194)</f>
        <v>VALLE CORTEZ JUAN CARLOS</v>
      </c>
      <c r="N194" s="102" t="s">
        <v>6969</v>
      </c>
      <c r="O194" s="102" t="s">
        <v>4575</v>
      </c>
      <c r="P194" s="12" t="s">
        <v>1953</v>
      </c>
      <c r="Q194" s="100">
        <v>25891</v>
      </c>
      <c r="R194" s="77">
        <f t="shared" si="14"/>
        <v>19</v>
      </c>
      <c r="S194" s="77">
        <f t="shared" si="15"/>
        <v>11</v>
      </c>
      <c r="T194" s="77">
        <f t="shared" si="16"/>
        <v>1970</v>
      </c>
      <c r="U194" s="103">
        <f t="shared" ca="1" si="17"/>
        <v>55.934246575342463</v>
      </c>
      <c r="V194" s="13" t="s">
        <v>342</v>
      </c>
      <c r="W194" s="13" t="s">
        <v>1985</v>
      </c>
      <c r="X194" s="12" t="s">
        <v>1497</v>
      </c>
      <c r="Y194" s="12" t="s">
        <v>85</v>
      </c>
      <c r="Z194" s="12" t="s">
        <v>84</v>
      </c>
      <c r="AA194" s="12" t="s">
        <v>532</v>
      </c>
      <c r="AB194" s="12" t="s">
        <v>574</v>
      </c>
      <c r="AC194" s="12" t="s">
        <v>313</v>
      </c>
      <c r="AD194" s="12" t="s">
        <v>314</v>
      </c>
      <c r="AE194" s="12">
        <v>120</v>
      </c>
      <c r="AF194" s="13" t="s">
        <v>350</v>
      </c>
      <c r="AG194" s="12" t="s">
        <v>290</v>
      </c>
      <c r="AH194" s="104" t="s">
        <v>575</v>
      </c>
      <c r="AI194" s="12" t="s">
        <v>317</v>
      </c>
      <c r="AJ194" s="12" t="s">
        <v>318</v>
      </c>
      <c r="AK194" s="12" t="s">
        <v>2655</v>
      </c>
      <c r="AL194" s="104" t="s">
        <v>2892</v>
      </c>
      <c r="AM194" s="12" t="s">
        <v>2374</v>
      </c>
      <c r="AN194" s="12" t="s">
        <v>381</v>
      </c>
      <c r="AO194" s="12" t="s">
        <v>398</v>
      </c>
      <c r="AP194" s="12"/>
      <c r="AQ194" s="12" t="s">
        <v>3204</v>
      </c>
      <c r="AR194" s="12">
        <v>1705</v>
      </c>
      <c r="AS194" s="12" t="s">
        <v>362</v>
      </c>
      <c r="AT194" s="12" t="s">
        <v>3377</v>
      </c>
      <c r="AU194" s="12" t="s">
        <v>3401</v>
      </c>
      <c r="AV194" s="12">
        <v>85000</v>
      </c>
      <c r="AW194" s="12" t="s">
        <v>357</v>
      </c>
      <c r="AX194" s="12" t="s">
        <v>357</v>
      </c>
      <c r="AY194" s="12" t="s">
        <v>357</v>
      </c>
      <c r="AZ194" s="12"/>
      <c r="BA194" s="12"/>
      <c r="BB194" s="12"/>
      <c r="BC194" s="12"/>
      <c r="BD194" s="12" t="s">
        <v>2374</v>
      </c>
      <c r="BE194" s="12" t="s">
        <v>560</v>
      </c>
      <c r="BF194" s="12" t="s">
        <v>3603</v>
      </c>
      <c r="BG194" s="12" t="s">
        <v>333</v>
      </c>
      <c r="BH194" s="12" t="s">
        <v>334</v>
      </c>
      <c r="BI194" s="12" t="s">
        <v>3831</v>
      </c>
      <c r="BJ194" s="12" t="s">
        <v>3888</v>
      </c>
      <c r="BK194" s="12" t="s">
        <v>3911</v>
      </c>
      <c r="BL194" s="105" t="s">
        <v>3915</v>
      </c>
      <c r="BM194" s="12"/>
      <c r="BN194" s="12" t="s">
        <v>571</v>
      </c>
      <c r="BO194" s="105" t="s">
        <v>3925</v>
      </c>
      <c r="BP194" s="12"/>
      <c r="BQ194" s="12">
        <v>0</v>
      </c>
      <c r="BR194" s="12">
        <v>0</v>
      </c>
      <c r="BS194" s="12"/>
      <c r="BT194" s="12">
        <v>0</v>
      </c>
      <c r="BU194" s="12">
        <v>0</v>
      </c>
      <c r="BV194" s="12"/>
      <c r="BW194" s="12">
        <v>0</v>
      </c>
      <c r="BX194" s="12">
        <v>0</v>
      </c>
      <c r="BY194" s="12"/>
      <c r="BZ194" s="12">
        <v>0</v>
      </c>
      <c r="CA194" s="12"/>
      <c r="CB194" s="12"/>
      <c r="CC194" s="12"/>
      <c r="CD194" s="78"/>
    </row>
    <row r="195" spans="1:82" ht="13.9" customHeight="1" x14ac:dyDescent="0.2">
      <c r="A195" s="12">
        <v>105</v>
      </c>
      <c r="B195" s="12" t="s">
        <v>4044</v>
      </c>
      <c r="C195" s="78" t="s">
        <v>335</v>
      </c>
      <c r="D195" s="99" t="s">
        <v>116</v>
      </c>
      <c r="E195" s="99" t="s">
        <v>6573</v>
      </c>
      <c r="F195" s="100">
        <v>45338</v>
      </c>
      <c r="G195" s="100">
        <v>37903</v>
      </c>
      <c r="H195" s="101">
        <f t="shared" si="18"/>
        <v>37993</v>
      </c>
      <c r="I195" s="101" t="s">
        <v>290</v>
      </c>
      <c r="J195" s="12" t="s">
        <v>366</v>
      </c>
      <c r="K195" s="12" t="s">
        <v>302</v>
      </c>
      <c r="L195" s="12" t="s">
        <v>1773</v>
      </c>
      <c r="M195" s="102" t="str">
        <f t="shared" si="19"/>
        <v>HERNANDEZ GALVAN ARTURO CONRADO</v>
      </c>
      <c r="N195" s="102" t="s">
        <v>6970</v>
      </c>
      <c r="O195" s="102" t="s">
        <v>4636</v>
      </c>
      <c r="P195" s="12" t="s">
        <v>1953</v>
      </c>
      <c r="Q195" s="100">
        <v>22976</v>
      </c>
      <c r="R195" s="77">
        <f t="shared" ref="R195:R258" si="20">DAY(Q195)</f>
        <v>26</v>
      </c>
      <c r="S195" s="77">
        <f t="shared" ref="S195:S258" si="21">MONTH(Q195)</f>
        <v>11</v>
      </c>
      <c r="T195" s="77">
        <f t="shared" ref="T195:T258" si="22">YEAR(Q195)</f>
        <v>1962</v>
      </c>
      <c r="U195" s="103">
        <f t="shared" ref="U195:U258" ca="1" si="23">(+TODAY()-Q195)/365</f>
        <v>63.920547945205477</v>
      </c>
      <c r="V195" s="13" t="s">
        <v>342</v>
      </c>
      <c r="W195" s="13" t="s">
        <v>2048</v>
      </c>
      <c r="X195" s="12" t="s">
        <v>1497</v>
      </c>
      <c r="Y195" s="12" t="s">
        <v>117</v>
      </c>
      <c r="Z195" s="12" t="s">
        <v>118</v>
      </c>
      <c r="AA195" s="12" t="s">
        <v>347</v>
      </c>
      <c r="AB195" s="12" t="s">
        <v>348</v>
      </c>
      <c r="AC195" s="12" t="s">
        <v>313</v>
      </c>
      <c r="AD195" s="12" t="s">
        <v>349</v>
      </c>
      <c r="AE195" s="12">
        <v>90</v>
      </c>
      <c r="AF195" s="13" t="s">
        <v>350</v>
      </c>
      <c r="AG195" s="12" t="s">
        <v>290</v>
      </c>
      <c r="AH195" s="104" t="s">
        <v>351</v>
      </c>
      <c r="AI195" s="12" t="s">
        <v>317</v>
      </c>
      <c r="AJ195" s="12" t="s">
        <v>318</v>
      </c>
      <c r="AK195" s="12" t="s">
        <v>2694</v>
      </c>
      <c r="AL195" s="104" t="s">
        <v>2954</v>
      </c>
      <c r="AM195" s="12">
        <v>0</v>
      </c>
      <c r="AN195" s="12">
        <v>0</v>
      </c>
      <c r="AO195" s="12" t="s">
        <v>398</v>
      </c>
      <c r="AP195" s="12"/>
      <c r="AQ195" s="12">
        <v>0</v>
      </c>
      <c r="AR195" s="12">
        <v>0</v>
      </c>
      <c r="AS195" s="12">
        <v>0</v>
      </c>
      <c r="AT195" s="12">
        <v>0</v>
      </c>
      <c r="AU195" s="12">
        <v>0</v>
      </c>
      <c r="AV195" s="12">
        <v>0</v>
      </c>
      <c r="AW195" s="12">
        <v>0</v>
      </c>
      <c r="AX195" s="12" t="s">
        <v>357</v>
      </c>
      <c r="AY195" s="12" t="s">
        <v>330</v>
      </c>
      <c r="AZ195" s="12"/>
      <c r="BA195" s="12"/>
      <c r="BB195" s="12"/>
      <c r="BC195" s="12"/>
      <c r="BD195" s="12" t="s">
        <v>3481</v>
      </c>
      <c r="BE195" s="12" t="s">
        <v>381</v>
      </c>
      <c r="BF195" s="12" t="s">
        <v>3642</v>
      </c>
      <c r="BG195" s="12" t="s">
        <v>362</v>
      </c>
      <c r="BH195" s="12" t="s">
        <v>362</v>
      </c>
      <c r="BI195" s="12" t="s">
        <v>3831</v>
      </c>
      <c r="BJ195" s="12" t="s">
        <v>3888</v>
      </c>
      <c r="BK195" s="12" t="s">
        <v>3911</v>
      </c>
      <c r="BL195" s="105">
        <v>40</v>
      </c>
      <c r="BM195" s="12"/>
      <c r="BN195" s="12" t="s">
        <v>3911</v>
      </c>
      <c r="BO195" s="105">
        <v>38</v>
      </c>
      <c r="BP195" s="12"/>
      <c r="BQ195" s="12" t="s">
        <v>571</v>
      </c>
      <c r="BR195" s="12">
        <v>36</v>
      </c>
      <c r="BS195" s="12"/>
      <c r="BT195" s="12" t="s">
        <v>3911</v>
      </c>
      <c r="BU195" s="12"/>
      <c r="BV195" s="12"/>
      <c r="BW195" s="12" t="s">
        <v>3911</v>
      </c>
      <c r="BX195" s="12">
        <v>0</v>
      </c>
      <c r="BY195" s="12"/>
      <c r="BZ195" s="12">
        <v>0</v>
      </c>
      <c r="CA195" s="12"/>
      <c r="CB195" s="12"/>
      <c r="CC195" s="12"/>
      <c r="CD195" s="78"/>
    </row>
    <row r="196" spans="1:82" ht="13.9" customHeight="1" x14ac:dyDescent="0.2">
      <c r="A196" s="12">
        <v>106</v>
      </c>
      <c r="B196" s="12" t="s">
        <v>4059</v>
      </c>
      <c r="C196" s="78" t="s">
        <v>335</v>
      </c>
      <c r="D196" s="99" t="s">
        <v>116</v>
      </c>
      <c r="E196" s="99" t="s">
        <v>6574</v>
      </c>
      <c r="F196" s="100">
        <v>45338</v>
      </c>
      <c r="G196" s="100">
        <v>37953</v>
      </c>
      <c r="H196" s="101">
        <f t="shared" si="18"/>
        <v>38043</v>
      </c>
      <c r="I196" s="101" t="s">
        <v>290</v>
      </c>
      <c r="J196" s="12" t="s">
        <v>4350</v>
      </c>
      <c r="K196" s="12" t="s">
        <v>590</v>
      </c>
      <c r="L196" s="12" t="s">
        <v>1774</v>
      </c>
      <c r="M196" s="102" t="str">
        <f t="shared" si="19"/>
        <v>REYNOSO PEREZ IGNACIO</v>
      </c>
      <c r="N196" s="102" t="s">
        <v>6971</v>
      </c>
      <c r="O196" s="102" t="s">
        <v>4637</v>
      </c>
      <c r="P196" s="12" t="s">
        <v>1953</v>
      </c>
      <c r="Q196" s="100">
        <v>27929</v>
      </c>
      <c r="R196" s="77">
        <f t="shared" si="20"/>
        <v>18</v>
      </c>
      <c r="S196" s="77">
        <f t="shared" si="21"/>
        <v>6</v>
      </c>
      <c r="T196" s="77">
        <f t="shared" si="22"/>
        <v>1976</v>
      </c>
      <c r="U196" s="103">
        <f t="shared" ca="1" si="23"/>
        <v>50.350684931506848</v>
      </c>
      <c r="V196" s="13" t="s">
        <v>342</v>
      </c>
      <c r="W196" s="13" t="s">
        <v>2049</v>
      </c>
      <c r="X196" s="12" t="s">
        <v>1497</v>
      </c>
      <c r="Y196" s="12" t="s">
        <v>119</v>
      </c>
      <c r="Z196" s="12" t="s">
        <v>120</v>
      </c>
      <c r="AA196" s="12" t="s">
        <v>2271</v>
      </c>
      <c r="AB196" s="12" t="s">
        <v>533</v>
      </c>
      <c r="AC196" s="12" t="s">
        <v>313</v>
      </c>
      <c r="AD196" s="12" t="s">
        <v>349</v>
      </c>
      <c r="AE196" s="12">
        <v>90</v>
      </c>
      <c r="AF196" s="13" t="s">
        <v>350</v>
      </c>
      <c r="AG196" s="12" t="s">
        <v>290</v>
      </c>
      <c r="AH196" s="104" t="s">
        <v>351</v>
      </c>
      <c r="AI196" s="12" t="s">
        <v>317</v>
      </c>
      <c r="AJ196" s="12" t="s">
        <v>318</v>
      </c>
      <c r="AK196" s="12" t="s">
        <v>2695</v>
      </c>
      <c r="AL196" s="104" t="s">
        <v>2955</v>
      </c>
      <c r="AM196" s="12">
        <v>0</v>
      </c>
      <c r="AN196" s="12">
        <v>0</v>
      </c>
      <c r="AO196" s="12" t="s">
        <v>398</v>
      </c>
      <c r="AP196" s="12"/>
      <c r="AQ196" s="12">
        <v>0</v>
      </c>
      <c r="AR196" s="12">
        <v>0</v>
      </c>
      <c r="AS196" s="12">
        <v>0</v>
      </c>
      <c r="AT196" s="12">
        <v>0</v>
      </c>
      <c r="AU196" s="12">
        <v>0</v>
      </c>
      <c r="AV196" s="12">
        <v>0</v>
      </c>
      <c r="AW196" s="12">
        <v>0</v>
      </c>
      <c r="AX196" s="12" t="s">
        <v>357</v>
      </c>
      <c r="AY196" s="12" t="s">
        <v>330</v>
      </c>
      <c r="AZ196" s="12"/>
      <c r="BA196" s="12"/>
      <c r="BB196" s="12"/>
      <c r="BC196" s="12"/>
      <c r="BD196" s="12" t="s">
        <v>3482</v>
      </c>
      <c r="BE196" s="12" t="s">
        <v>381</v>
      </c>
      <c r="BF196" s="12" t="s">
        <v>3643</v>
      </c>
      <c r="BG196" s="12" t="s">
        <v>333</v>
      </c>
      <c r="BH196" s="12" t="s">
        <v>362</v>
      </c>
      <c r="BI196" s="12" t="s">
        <v>3831</v>
      </c>
      <c r="BJ196" s="12" t="s">
        <v>3888</v>
      </c>
      <c r="BK196" s="12" t="s">
        <v>3911</v>
      </c>
      <c r="BL196" s="105">
        <v>22</v>
      </c>
      <c r="BM196" s="12"/>
      <c r="BN196" s="12" t="s">
        <v>571</v>
      </c>
      <c r="BO196" s="105">
        <v>20</v>
      </c>
      <c r="BP196" s="12"/>
      <c r="BQ196" s="12" t="s">
        <v>3911</v>
      </c>
      <c r="BR196" s="12">
        <v>15</v>
      </c>
      <c r="BS196" s="12"/>
      <c r="BT196" s="12">
        <v>0</v>
      </c>
      <c r="BU196" s="12">
        <v>0</v>
      </c>
      <c r="BV196" s="12"/>
      <c r="BW196" s="12">
        <v>0</v>
      </c>
      <c r="BX196" s="12">
        <v>0</v>
      </c>
      <c r="BY196" s="12"/>
      <c r="BZ196" s="12">
        <v>0</v>
      </c>
      <c r="CA196" s="12"/>
      <c r="CB196" s="12"/>
      <c r="CC196" s="12"/>
      <c r="CD196" s="78"/>
    </row>
    <row r="197" spans="1:82" s="116" customFormat="1" ht="13.9" customHeight="1" x14ac:dyDescent="0.2">
      <c r="A197" s="12">
        <v>145</v>
      </c>
      <c r="B197" s="12" t="s">
        <v>4045</v>
      </c>
      <c r="C197" s="78" t="s">
        <v>335</v>
      </c>
      <c r="D197" s="99" t="s">
        <v>116</v>
      </c>
      <c r="E197" s="99" t="s">
        <v>6575</v>
      </c>
      <c r="F197" s="100">
        <v>45338</v>
      </c>
      <c r="G197" s="100">
        <v>42461</v>
      </c>
      <c r="H197" s="101">
        <f t="shared" si="18"/>
        <v>42551</v>
      </c>
      <c r="I197" s="101" t="s">
        <v>290</v>
      </c>
      <c r="J197" s="12" t="s">
        <v>4351</v>
      </c>
      <c r="K197" s="12" t="s">
        <v>4319</v>
      </c>
      <c r="L197" s="12" t="s">
        <v>1746</v>
      </c>
      <c r="M197" s="102" t="str">
        <f t="shared" si="19"/>
        <v>MALDONADO MEJIA JUAN MANUEL</v>
      </c>
      <c r="N197" s="102" t="s">
        <v>6972</v>
      </c>
      <c r="O197" s="102" t="s">
        <v>4638</v>
      </c>
      <c r="P197" s="12" t="s">
        <v>1953</v>
      </c>
      <c r="Q197" s="100">
        <v>31877</v>
      </c>
      <c r="R197" s="77">
        <f t="shared" si="20"/>
        <v>10</v>
      </c>
      <c r="S197" s="77">
        <f t="shared" si="21"/>
        <v>4</v>
      </c>
      <c r="T197" s="77">
        <f t="shared" si="22"/>
        <v>1987</v>
      </c>
      <c r="U197" s="103">
        <f t="shared" ca="1" si="23"/>
        <v>39.534246575342465</v>
      </c>
      <c r="V197" s="13" t="s">
        <v>1955</v>
      </c>
      <c r="W197" s="13" t="s">
        <v>2050</v>
      </c>
      <c r="X197" s="12" t="s">
        <v>1497</v>
      </c>
      <c r="Y197" s="107" t="s">
        <v>121</v>
      </c>
      <c r="Z197" s="12" t="s">
        <v>120</v>
      </c>
      <c r="AA197" s="12" t="s">
        <v>2271</v>
      </c>
      <c r="AB197" s="12" t="s">
        <v>348</v>
      </c>
      <c r="AC197" s="12" t="s">
        <v>313</v>
      </c>
      <c r="AD197" s="12" t="s">
        <v>349</v>
      </c>
      <c r="AE197" s="12">
        <v>90</v>
      </c>
      <c r="AF197" s="13" t="s">
        <v>350</v>
      </c>
      <c r="AG197" s="12" t="s">
        <v>290</v>
      </c>
      <c r="AH197" s="104" t="s">
        <v>351</v>
      </c>
      <c r="AI197" s="12" t="s">
        <v>317</v>
      </c>
      <c r="AJ197" s="12" t="s">
        <v>318</v>
      </c>
      <c r="AK197" s="12" t="s">
        <v>2696</v>
      </c>
      <c r="AL197" s="104" t="s">
        <v>2956</v>
      </c>
      <c r="AM197" s="12">
        <v>0</v>
      </c>
      <c r="AN197" s="12">
        <v>0</v>
      </c>
      <c r="AO197" s="12" t="s">
        <v>398</v>
      </c>
      <c r="AP197" s="12"/>
      <c r="AQ197" s="12">
        <v>0</v>
      </c>
      <c r="AR197" s="12">
        <v>0</v>
      </c>
      <c r="AS197" s="12">
        <v>0</v>
      </c>
      <c r="AT197" s="12">
        <v>0</v>
      </c>
      <c r="AU197" s="12">
        <v>0</v>
      </c>
      <c r="AV197" s="12">
        <v>0</v>
      </c>
      <c r="AW197" s="12">
        <v>0</v>
      </c>
      <c r="AX197" s="12" t="s">
        <v>357</v>
      </c>
      <c r="AY197" s="12" t="s">
        <v>330</v>
      </c>
      <c r="AZ197" s="12"/>
      <c r="BA197" s="12"/>
      <c r="BB197" s="12"/>
      <c r="BC197" s="12"/>
      <c r="BD197" s="12" t="s">
        <v>3483</v>
      </c>
      <c r="BE197" s="12" t="s">
        <v>622</v>
      </c>
      <c r="BF197" s="12" t="s">
        <v>3644</v>
      </c>
      <c r="BG197" s="12" t="s">
        <v>488</v>
      </c>
      <c r="BH197" s="12" t="s">
        <v>362</v>
      </c>
      <c r="BI197" s="12" t="s">
        <v>3831</v>
      </c>
      <c r="BJ197" s="12" t="s">
        <v>3831</v>
      </c>
      <c r="BK197" s="12"/>
      <c r="BL197" s="105"/>
      <c r="BM197" s="12"/>
      <c r="BN197" s="12"/>
      <c r="BO197" s="105"/>
      <c r="BP197" s="12"/>
      <c r="BQ197" s="12"/>
      <c r="BR197" s="12"/>
      <c r="BS197" s="12"/>
      <c r="BT197" s="12"/>
      <c r="BU197" s="12"/>
      <c r="BV197" s="12"/>
      <c r="BW197" s="12"/>
      <c r="BX197" s="12"/>
      <c r="BY197" s="12"/>
      <c r="BZ197" s="12"/>
      <c r="CA197" s="12"/>
      <c r="CB197" s="12"/>
      <c r="CC197" s="12"/>
      <c r="CD197" s="110"/>
    </row>
    <row r="198" spans="1:82" ht="13.9" customHeight="1" x14ac:dyDescent="0.2">
      <c r="A198" s="12">
        <v>148</v>
      </c>
      <c r="B198" s="12" t="s">
        <v>4046</v>
      </c>
      <c r="C198" s="78" t="s">
        <v>335</v>
      </c>
      <c r="D198" s="99" t="s">
        <v>116</v>
      </c>
      <c r="E198" s="99" t="s">
        <v>1646</v>
      </c>
      <c r="F198" s="100">
        <v>45338</v>
      </c>
      <c r="G198" s="100">
        <v>42583</v>
      </c>
      <c r="H198" s="101">
        <f t="shared" si="18"/>
        <v>42673</v>
      </c>
      <c r="I198" s="101" t="s">
        <v>290</v>
      </c>
      <c r="J198" s="12" t="s">
        <v>447</v>
      </c>
      <c r="K198" s="12" t="s">
        <v>447</v>
      </c>
      <c r="L198" s="12" t="s">
        <v>781</v>
      </c>
      <c r="M198" s="102" t="str">
        <f t="shared" si="19"/>
        <v>GARCIA GARCIA JOSE EDUARDO</v>
      </c>
      <c r="N198" s="102" t="s">
        <v>6973</v>
      </c>
      <c r="O198" s="102" t="s">
        <v>4639</v>
      </c>
      <c r="P198" s="12" t="s">
        <v>1953</v>
      </c>
      <c r="Q198" s="100">
        <v>33797</v>
      </c>
      <c r="R198" s="77">
        <f t="shared" si="20"/>
        <v>12</v>
      </c>
      <c r="S198" s="77">
        <f t="shared" si="21"/>
        <v>7</v>
      </c>
      <c r="T198" s="77">
        <f t="shared" si="22"/>
        <v>1992</v>
      </c>
      <c r="U198" s="103">
        <f t="shared" ca="1" si="23"/>
        <v>34.273972602739725</v>
      </c>
      <c r="V198" s="13" t="s">
        <v>452</v>
      </c>
      <c r="W198" s="13" t="s">
        <v>2051</v>
      </c>
      <c r="X198" s="12" t="s">
        <v>1497</v>
      </c>
      <c r="Y198" s="107" t="s">
        <v>122</v>
      </c>
      <c r="Z198" s="12" t="s">
        <v>120</v>
      </c>
      <c r="AA198" s="12" t="s">
        <v>2271</v>
      </c>
      <c r="AB198" s="12" t="s">
        <v>348</v>
      </c>
      <c r="AC198" s="12" t="s">
        <v>313</v>
      </c>
      <c r="AD198" s="12" t="s">
        <v>349</v>
      </c>
      <c r="AE198" s="12">
        <v>90</v>
      </c>
      <c r="AF198" s="13" t="s">
        <v>350</v>
      </c>
      <c r="AG198" s="12" t="s">
        <v>290</v>
      </c>
      <c r="AH198" s="104" t="s">
        <v>351</v>
      </c>
      <c r="AI198" s="12" t="s">
        <v>317</v>
      </c>
      <c r="AJ198" s="12" t="s">
        <v>318</v>
      </c>
      <c r="AK198" s="12" t="s">
        <v>2697</v>
      </c>
      <c r="AL198" s="104" t="s">
        <v>2957</v>
      </c>
      <c r="AM198" s="12">
        <v>0</v>
      </c>
      <c r="AN198" s="12">
        <v>0</v>
      </c>
      <c r="AO198" s="12" t="s">
        <v>398</v>
      </c>
      <c r="AP198" s="12"/>
      <c r="AQ198" s="12">
        <v>0</v>
      </c>
      <c r="AR198" s="12">
        <v>0</v>
      </c>
      <c r="AS198" s="12">
        <v>0</v>
      </c>
      <c r="AT198" s="12">
        <v>0</v>
      </c>
      <c r="AU198" s="12">
        <v>0</v>
      </c>
      <c r="AV198" s="12">
        <v>0</v>
      </c>
      <c r="AW198" s="12">
        <v>0</v>
      </c>
      <c r="AX198" s="12" t="s">
        <v>357</v>
      </c>
      <c r="AY198" s="12" t="s">
        <v>330</v>
      </c>
      <c r="AZ198" s="12"/>
      <c r="BA198" s="12"/>
      <c r="BB198" s="12"/>
      <c r="BC198" s="12"/>
      <c r="BD198" s="12" t="s">
        <v>3484</v>
      </c>
      <c r="BE198" s="12" t="s">
        <v>3577</v>
      </c>
      <c r="BF198" s="12" t="s">
        <v>3645</v>
      </c>
      <c r="BG198" s="12" t="s">
        <v>362</v>
      </c>
      <c r="BH198" s="12" t="s">
        <v>362</v>
      </c>
      <c r="BI198" s="12" t="s">
        <v>3831</v>
      </c>
      <c r="BJ198" s="12" t="s">
        <v>3888</v>
      </c>
      <c r="BK198" s="12" t="s">
        <v>571</v>
      </c>
      <c r="BL198" s="105">
        <v>8</v>
      </c>
      <c r="BM198" s="12"/>
      <c r="BN198" s="12" t="s">
        <v>3911</v>
      </c>
      <c r="BO198" s="105">
        <v>5</v>
      </c>
      <c r="BP198" s="12"/>
      <c r="BQ198" s="12" t="s">
        <v>3911</v>
      </c>
      <c r="BR198" s="12">
        <v>4</v>
      </c>
      <c r="BS198" s="12"/>
      <c r="BT198" s="12" t="s">
        <v>3911</v>
      </c>
      <c r="BU198" s="12"/>
      <c r="BV198" s="12"/>
      <c r="BW198" s="12" t="s">
        <v>3911</v>
      </c>
      <c r="BX198" s="12">
        <v>0</v>
      </c>
      <c r="BY198" s="12"/>
      <c r="BZ198" s="12">
        <v>0</v>
      </c>
      <c r="CA198" s="12"/>
      <c r="CB198" s="12"/>
      <c r="CC198" s="12"/>
      <c r="CD198" s="78"/>
    </row>
    <row r="199" spans="1:82" ht="13.9" customHeight="1" x14ac:dyDescent="0.2">
      <c r="A199" s="12">
        <v>203</v>
      </c>
      <c r="B199" s="12" t="s">
        <v>4053</v>
      </c>
      <c r="C199" s="78" t="s">
        <v>335</v>
      </c>
      <c r="D199" s="99" t="s">
        <v>116</v>
      </c>
      <c r="E199" s="99" t="s">
        <v>1647</v>
      </c>
      <c r="F199" s="100">
        <v>45338</v>
      </c>
      <c r="G199" s="100">
        <v>43559</v>
      </c>
      <c r="H199" s="101">
        <f t="shared" si="18"/>
        <v>43649</v>
      </c>
      <c r="I199" s="101" t="s">
        <v>290</v>
      </c>
      <c r="J199" s="12" t="s">
        <v>4352</v>
      </c>
      <c r="K199" s="12" t="s">
        <v>4474</v>
      </c>
      <c r="L199" s="12" t="s">
        <v>1775</v>
      </c>
      <c r="M199" s="102" t="str">
        <f t="shared" si="19"/>
        <v>GALEANA SOLORIO MARGARITA</v>
      </c>
      <c r="N199" s="102" t="s">
        <v>6974</v>
      </c>
      <c r="O199" s="102" t="s">
        <v>4640</v>
      </c>
      <c r="P199" s="12" t="s">
        <v>1954</v>
      </c>
      <c r="Q199" s="100">
        <v>24793</v>
      </c>
      <c r="R199" s="77">
        <f t="shared" si="20"/>
        <v>17</v>
      </c>
      <c r="S199" s="77">
        <f t="shared" si="21"/>
        <v>11</v>
      </c>
      <c r="T199" s="77">
        <f t="shared" si="22"/>
        <v>1967</v>
      </c>
      <c r="U199" s="103">
        <f t="shared" ca="1" si="23"/>
        <v>58.942465753424656</v>
      </c>
      <c r="V199" s="13" t="s">
        <v>1956</v>
      </c>
      <c r="W199" s="13" t="s">
        <v>2052</v>
      </c>
      <c r="X199" s="12" t="s">
        <v>1497</v>
      </c>
      <c r="Y199" s="107" t="s">
        <v>123</v>
      </c>
      <c r="Z199" s="12" t="s">
        <v>124</v>
      </c>
      <c r="AA199" s="12" t="s">
        <v>636</v>
      </c>
      <c r="AB199" s="12" t="s">
        <v>533</v>
      </c>
      <c r="AC199" s="12" t="s">
        <v>313</v>
      </c>
      <c r="AD199" s="12" t="s">
        <v>349</v>
      </c>
      <c r="AE199" s="12">
        <v>90</v>
      </c>
      <c r="AF199" s="13" t="s">
        <v>350</v>
      </c>
      <c r="AG199" s="12" t="s">
        <v>290</v>
      </c>
      <c r="AH199" s="104" t="s">
        <v>351</v>
      </c>
      <c r="AI199" s="12" t="s">
        <v>317</v>
      </c>
      <c r="AJ199" s="12" t="s">
        <v>318</v>
      </c>
      <c r="AK199" s="12" t="s">
        <v>2698</v>
      </c>
      <c r="AL199" s="104" t="s">
        <v>2958</v>
      </c>
      <c r="AM199" s="12">
        <v>0</v>
      </c>
      <c r="AN199" s="12">
        <v>0</v>
      </c>
      <c r="AO199" s="12" t="s">
        <v>398</v>
      </c>
      <c r="AP199" s="12"/>
      <c r="AQ199" s="12">
        <v>0</v>
      </c>
      <c r="AR199" s="12">
        <v>0</v>
      </c>
      <c r="AS199" s="12">
        <v>0</v>
      </c>
      <c r="AT199" s="12">
        <v>0</v>
      </c>
      <c r="AU199" s="12">
        <v>0</v>
      </c>
      <c r="AV199" s="12">
        <v>0</v>
      </c>
      <c r="AW199" s="12">
        <v>0</v>
      </c>
      <c r="AX199" s="12" t="s">
        <v>357</v>
      </c>
      <c r="AY199" s="12" t="s">
        <v>330</v>
      </c>
      <c r="AZ199" s="12"/>
      <c r="BA199" s="12"/>
      <c r="BB199" s="12"/>
      <c r="BC199" s="12"/>
      <c r="BD199" s="12" t="s">
        <v>3485</v>
      </c>
      <c r="BE199" s="12" t="s">
        <v>1531</v>
      </c>
      <c r="BF199" s="12" t="s">
        <v>3646</v>
      </c>
      <c r="BG199" s="12" t="s">
        <v>362</v>
      </c>
      <c r="BH199" s="12" t="s">
        <v>362</v>
      </c>
      <c r="BI199" s="12" t="s">
        <v>3831</v>
      </c>
      <c r="BJ199" s="12" t="s">
        <v>3831</v>
      </c>
      <c r="BK199" s="12"/>
      <c r="BL199" s="105"/>
      <c r="BM199" s="12"/>
      <c r="BN199" s="12"/>
      <c r="BO199" s="105"/>
      <c r="BP199" s="12"/>
      <c r="BQ199" s="12"/>
      <c r="BR199" s="12"/>
      <c r="BS199" s="12"/>
      <c r="BT199" s="12"/>
      <c r="BU199" s="12"/>
      <c r="BV199" s="12"/>
      <c r="BW199" s="12"/>
      <c r="BX199" s="12"/>
      <c r="BY199" s="12"/>
      <c r="BZ199" s="12"/>
      <c r="CA199" s="12"/>
      <c r="CB199" s="12"/>
      <c r="CC199" s="12"/>
      <c r="CD199" s="78"/>
    </row>
    <row r="200" spans="1:82" ht="13.9" customHeight="1" x14ac:dyDescent="0.2">
      <c r="A200" s="108">
        <v>849</v>
      </c>
      <c r="B200" s="108" t="s">
        <v>4026</v>
      </c>
      <c r="C200" s="104" t="s">
        <v>299</v>
      </c>
      <c r="D200" s="99" t="s">
        <v>80</v>
      </c>
      <c r="E200" s="99" t="s">
        <v>6576</v>
      </c>
      <c r="F200" s="100">
        <v>45343</v>
      </c>
      <c r="G200" s="100">
        <v>45343</v>
      </c>
      <c r="H200" s="101">
        <f t="shared" si="18"/>
        <v>45463</v>
      </c>
      <c r="I200" s="101" t="s">
        <v>291</v>
      </c>
      <c r="J200" s="12" t="s">
        <v>704</v>
      </c>
      <c r="K200" s="12" t="s">
        <v>384</v>
      </c>
      <c r="L200" s="12" t="s">
        <v>1802</v>
      </c>
      <c r="M200" s="102" t="str">
        <f t="shared" si="19"/>
        <v>GONZALEZ SANCHEZ GLORIA ALICIA</v>
      </c>
      <c r="N200" s="102" t="s">
        <v>6975</v>
      </c>
      <c r="O200" s="102" t="s">
        <v>4673</v>
      </c>
      <c r="P200" s="12" t="s">
        <v>1953</v>
      </c>
      <c r="Q200" s="100">
        <v>35625</v>
      </c>
      <c r="R200" s="77">
        <f t="shared" si="20"/>
        <v>14</v>
      </c>
      <c r="S200" s="77">
        <f t="shared" si="21"/>
        <v>7</v>
      </c>
      <c r="T200" s="77">
        <f t="shared" si="22"/>
        <v>1997</v>
      </c>
      <c r="U200" s="103">
        <f t="shared" ca="1" si="23"/>
        <v>29.265753424657536</v>
      </c>
      <c r="V200" s="13" t="s">
        <v>452</v>
      </c>
      <c r="W200" s="13" t="s">
        <v>2084</v>
      </c>
      <c r="X200" s="12" t="s">
        <v>1497</v>
      </c>
      <c r="Y200" s="12" t="s">
        <v>189</v>
      </c>
      <c r="Z200" s="12" t="s">
        <v>174</v>
      </c>
      <c r="AA200" s="12" t="s">
        <v>432</v>
      </c>
      <c r="AB200" s="12" t="s">
        <v>2280</v>
      </c>
      <c r="AC200" s="12" t="s">
        <v>313</v>
      </c>
      <c r="AD200" s="12" t="s">
        <v>314</v>
      </c>
      <c r="AE200" s="12">
        <v>120</v>
      </c>
      <c r="AF200" s="13" t="s">
        <v>315</v>
      </c>
      <c r="AG200" s="12" t="s">
        <v>290</v>
      </c>
      <c r="AH200" s="104" t="s">
        <v>1329</v>
      </c>
      <c r="AI200" s="12" t="s">
        <v>317</v>
      </c>
      <c r="AJ200" s="12" t="s">
        <v>318</v>
      </c>
      <c r="AK200" s="12" t="s">
        <v>2715</v>
      </c>
      <c r="AL200" s="104" t="s">
        <v>2990</v>
      </c>
      <c r="AM200" s="12" t="s">
        <v>2466</v>
      </c>
      <c r="AN200" s="12" t="s">
        <v>560</v>
      </c>
      <c r="AO200" s="12" t="s">
        <v>398</v>
      </c>
      <c r="AP200" s="12"/>
      <c r="AQ200" s="12" t="s">
        <v>3271</v>
      </c>
      <c r="AR200" s="12">
        <v>701</v>
      </c>
      <c r="AS200" s="12" t="s">
        <v>362</v>
      </c>
      <c r="AT200" s="12" t="s">
        <v>3394</v>
      </c>
      <c r="AU200" s="12" t="s">
        <v>1224</v>
      </c>
      <c r="AV200" s="12">
        <v>89800</v>
      </c>
      <c r="AW200" s="12" t="s">
        <v>357</v>
      </c>
      <c r="AX200" s="12" t="s">
        <v>357</v>
      </c>
      <c r="AY200" s="12" t="s">
        <v>357</v>
      </c>
      <c r="AZ200" s="12"/>
      <c r="BA200" s="12"/>
      <c r="BB200" s="12"/>
      <c r="BC200" s="12"/>
      <c r="BD200" s="12" t="s">
        <v>2466</v>
      </c>
      <c r="BE200" s="12" t="s">
        <v>560</v>
      </c>
      <c r="BF200" s="12">
        <v>0</v>
      </c>
      <c r="BG200" s="12" t="s">
        <v>333</v>
      </c>
      <c r="BH200" s="12" t="s">
        <v>334</v>
      </c>
      <c r="BI200" s="12" t="s">
        <v>3831</v>
      </c>
      <c r="BJ200" s="12" t="s">
        <v>3888</v>
      </c>
      <c r="BK200" s="12" t="s">
        <v>3911</v>
      </c>
      <c r="BL200" s="105" t="s">
        <v>3862</v>
      </c>
      <c r="BM200" s="12"/>
      <c r="BN200" s="12">
        <v>0</v>
      </c>
      <c r="BO200" s="105">
        <v>0</v>
      </c>
      <c r="BP200" s="12"/>
      <c r="BQ200" s="12">
        <v>0</v>
      </c>
      <c r="BR200" s="12">
        <v>0</v>
      </c>
      <c r="BS200" s="12"/>
      <c r="BT200" s="12">
        <v>0</v>
      </c>
      <c r="BU200" s="12">
        <v>0</v>
      </c>
      <c r="BV200" s="12"/>
      <c r="BW200" s="12">
        <v>0</v>
      </c>
      <c r="BX200" s="12">
        <v>0</v>
      </c>
      <c r="BY200" s="12"/>
      <c r="BZ200" s="12">
        <v>0</v>
      </c>
      <c r="CA200" s="12"/>
      <c r="CB200" s="12"/>
      <c r="CC200" s="12"/>
      <c r="CD200" s="78"/>
    </row>
    <row r="201" spans="1:82" ht="13.9" customHeight="1" x14ac:dyDescent="0.2">
      <c r="A201" s="12">
        <v>607</v>
      </c>
      <c r="B201" s="12" t="s">
        <v>4159</v>
      </c>
      <c r="C201" s="78" t="s">
        <v>335</v>
      </c>
      <c r="D201" s="107" t="s">
        <v>232</v>
      </c>
      <c r="E201" s="99" t="s">
        <v>6577</v>
      </c>
      <c r="F201" s="100">
        <v>45348</v>
      </c>
      <c r="G201" s="100">
        <v>45348</v>
      </c>
      <c r="H201" s="101">
        <f t="shared" si="18"/>
        <v>45438</v>
      </c>
      <c r="I201" s="101" t="s">
        <v>291</v>
      </c>
      <c r="J201" s="12" t="s">
        <v>4415</v>
      </c>
      <c r="K201" s="12" t="s">
        <v>1419</v>
      </c>
      <c r="L201" s="12" t="s">
        <v>1909</v>
      </c>
      <c r="M201" s="102" t="str">
        <f t="shared" si="19"/>
        <v>NAVARRO CARRILLO LAURA MONSERRAT</v>
      </c>
      <c r="N201" s="102" t="s">
        <v>6976</v>
      </c>
      <c r="O201" s="102" t="s">
        <v>4802</v>
      </c>
      <c r="P201" s="12" t="s">
        <v>1953</v>
      </c>
      <c r="Q201" s="100">
        <v>33540</v>
      </c>
      <c r="R201" s="77">
        <f t="shared" si="20"/>
        <v>29</v>
      </c>
      <c r="S201" s="77">
        <f t="shared" si="21"/>
        <v>10</v>
      </c>
      <c r="T201" s="77">
        <f t="shared" si="22"/>
        <v>1991</v>
      </c>
      <c r="U201" s="103">
        <f t="shared" ca="1" si="23"/>
        <v>34.978082191780821</v>
      </c>
      <c r="V201" s="13" t="s">
        <v>1958</v>
      </c>
      <c r="W201" s="13" t="s">
        <v>2212</v>
      </c>
      <c r="X201" s="12" t="s">
        <v>1497</v>
      </c>
      <c r="Y201" s="108" t="s">
        <v>234</v>
      </c>
      <c r="Z201" s="12" t="s">
        <v>158</v>
      </c>
      <c r="AA201" s="12" t="s">
        <v>636</v>
      </c>
      <c r="AB201" s="12" t="s">
        <v>2295</v>
      </c>
      <c r="AC201" s="12" t="s">
        <v>313</v>
      </c>
      <c r="AD201" s="12" t="s">
        <v>314</v>
      </c>
      <c r="AE201" s="12">
        <v>90</v>
      </c>
      <c r="AF201" s="13" t="s">
        <v>315</v>
      </c>
      <c r="AG201" s="12" t="s">
        <v>291</v>
      </c>
      <c r="AH201" s="104" t="s">
        <v>843</v>
      </c>
      <c r="AI201" s="12" t="s">
        <v>317</v>
      </c>
      <c r="AJ201" s="12" t="s">
        <v>318</v>
      </c>
      <c r="AK201" s="12" t="s">
        <v>2817</v>
      </c>
      <c r="AL201" s="104" t="s">
        <v>3116</v>
      </c>
      <c r="AM201" s="12" t="s">
        <v>2585</v>
      </c>
      <c r="AN201" s="12" t="s">
        <v>622</v>
      </c>
      <c r="AO201" s="12" t="s">
        <v>398</v>
      </c>
      <c r="AP201" s="12"/>
      <c r="AQ201" s="12" t="s">
        <v>3320</v>
      </c>
      <c r="AR201" s="12">
        <v>1019</v>
      </c>
      <c r="AS201" s="12">
        <v>1</v>
      </c>
      <c r="AT201" s="12" t="s">
        <v>482</v>
      </c>
      <c r="AU201" s="12" t="s">
        <v>483</v>
      </c>
      <c r="AV201" s="12">
        <v>78434</v>
      </c>
      <c r="AW201" s="12" t="s">
        <v>357</v>
      </c>
      <c r="AX201" s="12" t="s">
        <v>357</v>
      </c>
      <c r="AY201" s="12" t="s">
        <v>357</v>
      </c>
      <c r="AZ201" s="12"/>
      <c r="BA201" s="12"/>
      <c r="BB201" s="12"/>
      <c r="BC201" s="12"/>
      <c r="BD201" s="12" t="s">
        <v>2585</v>
      </c>
      <c r="BE201" s="12" t="s">
        <v>622</v>
      </c>
      <c r="BF201" s="12" t="s">
        <v>3768</v>
      </c>
      <c r="BG201" s="12" t="s">
        <v>333</v>
      </c>
      <c r="BH201" s="12" t="s">
        <v>334</v>
      </c>
      <c r="BI201" s="12" t="s">
        <v>3831</v>
      </c>
      <c r="BJ201" s="12" t="s">
        <v>3888</v>
      </c>
      <c r="BK201" s="12" t="s">
        <v>3911</v>
      </c>
      <c r="BL201" s="105" t="s">
        <v>3921</v>
      </c>
      <c r="BM201" s="12"/>
      <c r="BN201" s="12" t="s">
        <v>571</v>
      </c>
      <c r="BO201" s="105" t="s">
        <v>3923</v>
      </c>
      <c r="BP201" s="12"/>
      <c r="BQ201" s="12">
        <v>0</v>
      </c>
      <c r="BR201" s="12">
        <v>0</v>
      </c>
      <c r="BS201" s="12"/>
      <c r="BT201" s="12">
        <v>0</v>
      </c>
      <c r="BU201" s="12">
        <v>0</v>
      </c>
      <c r="BV201" s="12"/>
      <c r="BW201" s="12">
        <v>0</v>
      </c>
      <c r="BX201" s="12">
        <v>0</v>
      </c>
      <c r="BY201" s="12"/>
      <c r="BZ201" s="12">
        <v>0</v>
      </c>
      <c r="CA201" s="12"/>
      <c r="CB201" s="12"/>
      <c r="CC201" s="12"/>
      <c r="CD201" s="78"/>
    </row>
    <row r="202" spans="1:82" ht="13.9" customHeight="1" x14ac:dyDescent="0.2">
      <c r="A202" s="12">
        <v>609</v>
      </c>
      <c r="B202" s="12" t="s">
        <v>4093</v>
      </c>
      <c r="C202" s="78" t="s">
        <v>335</v>
      </c>
      <c r="D202" s="107" t="s">
        <v>228</v>
      </c>
      <c r="E202" s="99" t="s">
        <v>6578</v>
      </c>
      <c r="F202" s="100">
        <v>45348</v>
      </c>
      <c r="G202" s="100">
        <v>45348</v>
      </c>
      <c r="H202" s="101">
        <f t="shared" si="18"/>
        <v>45438</v>
      </c>
      <c r="I202" s="101" t="s">
        <v>290</v>
      </c>
      <c r="J202" s="12" t="s">
        <v>4371</v>
      </c>
      <c r="K202" s="12" t="s">
        <v>1239</v>
      </c>
      <c r="L202" s="12" t="s">
        <v>1812</v>
      </c>
      <c r="M202" s="102" t="str">
        <f t="shared" si="19"/>
        <v>BALLEZA VAZQUEZ J. GUADALUPE</v>
      </c>
      <c r="N202" s="102" t="s">
        <v>6977</v>
      </c>
      <c r="O202" s="102" t="s">
        <v>4687</v>
      </c>
      <c r="P202" s="12" t="s">
        <v>1953</v>
      </c>
      <c r="Q202" s="100">
        <v>32527</v>
      </c>
      <c r="R202" s="77">
        <f t="shared" si="20"/>
        <v>19</v>
      </c>
      <c r="S202" s="77">
        <f t="shared" si="21"/>
        <v>1</v>
      </c>
      <c r="T202" s="77">
        <f t="shared" si="22"/>
        <v>1989</v>
      </c>
      <c r="U202" s="103">
        <f t="shared" ca="1" si="23"/>
        <v>37.753424657534246</v>
      </c>
      <c r="V202" s="13" t="s">
        <v>342</v>
      </c>
      <c r="W202" s="13" t="s">
        <v>2098</v>
      </c>
      <c r="X202" s="12" t="s">
        <v>454</v>
      </c>
      <c r="Y202" s="121" t="s">
        <v>151</v>
      </c>
      <c r="Z202" s="12" t="s">
        <v>149</v>
      </c>
      <c r="AA202" s="12" t="s">
        <v>347</v>
      </c>
      <c r="AB202" s="12" t="s">
        <v>2293</v>
      </c>
      <c r="AC202" s="12" t="s">
        <v>313</v>
      </c>
      <c r="AD202" s="12" t="s">
        <v>314</v>
      </c>
      <c r="AE202" s="12">
        <v>90</v>
      </c>
      <c r="AF202" s="13" t="s">
        <v>949</v>
      </c>
      <c r="AG202" s="12" t="s">
        <v>290</v>
      </c>
      <c r="AH202" s="104" t="s">
        <v>950</v>
      </c>
      <c r="AI202" s="12" t="s">
        <v>317</v>
      </c>
      <c r="AJ202" s="12" t="s">
        <v>318</v>
      </c>
      <c r="AK202" s="12" t="s">
        <v>2728</v>
      </c>
      <c r="AL202" s="104" t="s">
        <v>3004</v>
      </c>
      <c r="AM202" s="12" t="s">
        <v>2480</v>
      </c>
      <c r="AN202" s="12" t="s">
        <v>381</v>
      </c>
      <c r="AO202" s="12" t="s">
        <v>398</v>
      </c>
      <c r="AP202" s="12"/>
      <c r="AQ202" s="12" t="s">
        <v>3275</v>
      </c>
      <c r="AR202" s="12">
        <v>305</v>
      </c>
      <c r="AS202" s="12" t="s">
        <v>328</v>
      </c>
      <c r="AT202" s="12" t="s">
        <v>1573</v>
      </c>
      <c r="AU202" s="12" t="s">
        <v>483</v>
      </c>
      <c r="AV202" s="12">
        <v>79660</v>
      </c>
      <c r="AW202" s="12" t="s">
        <v>329</v>
      </c>
      <c r="AX202" s="12" t="s">
        <v>357</v>
      </c>
      <c r="AY202" s="12" t="s">
        <v>329</v>
      </c>
      <c r="AZ202" s="12"/>
      <c r="BA202" s="12"/>
      <c r="BB202" s="12"/>
      <c r="BC202" s="12"/>
      <c r="BD202" s="12" t="s">
        <v>2480</v>
      </c>
      <c r="BE202" s="12" t="s">
        <v>381</v>
      </c>
      <c r="BF202" s="12" t="s">
        <v>3677</v>
      </c>
      <c r="BG202" s="12" t="s">
        <v>1349</v>
      </c>
      <c r="BH202" s="12" t="s">
        <v>334</v>
      </c>
      <c r="BI202" s="12" t="s">
        <v>3831</v>
      </c>
      <c r="BJ202" s="12" t="s">
        <v>3888</v>
      </c>
      <c r="BK202" s="12" t="s">
        <v>3911</v>
      </c>
      <c r="BL202" s="105">
        <v>13</v>
      </c>
      <c r="BM202" s="12"/>
      <c r="BN202" s="12" t="s">
        <v>3911</v>
      </c>
      <c r="BO202" s="105">
        <v>5</v>
      </c>
      <c r="BP202" s="12"/>
      <c r="BQ202" s="12" t="s">
        <v>571</v>
      </c>
      <c r="BR202" s="12" t="s">
        <v>3961</v>
      </c>
      <c r="BS202" s="12"/>
      <c r="BT202" s="12">
        <v>0</v>
      </c>
      <c r="BU202" s="12">
        <v>0</v>
      </c>
      <c r="BV202" s="12"/>
      <c r="BW202" s="12">
        <v>0</v>
      </c>
      <c r="BX202" s="12">
        <v>0</v>
      </c>
      <c r="BY202" s="12"/>
      <c r="BZ202" s="12">
        <v>0</v>
      </c>
      <c r="CA202" s="12"/>
      <c r="CB202" s="12"/>
      <c r="CC202" s="12"/>
      <c r="CD202" s="78"/>
    </row>
    <row r="203" spans="1:82" ht="13.9" customHeight="1" x14ac:dyDescent="0.2">
      <c r="A203" s="12" t="s">
        <v>294</v>
      </c>
      <c r="B203" s="12" t="s">
        <v>4277</v>
      </c>
      <c r="C203" s="106" t="s">
        <v>1390</v>
      </c>
      <c r="D203" s="107" t="s">
        <v>281</v>
      </c>
      <c r="E203" s="99"/>
      <c r="F203" s="100">
        <v>45348</v>
      </c>
      <c r="G203" s="100">
        <v>45348</v>
      </c>
      <c r="H203" s="101">
        <f t="shared" si="18"/>
        <v>45438</v>
      </c>
      <c r="I203" s="101" t="s">
        <v>290</v>
      </c>
      <c r="J203" s="12" t="s">
        <v>4915</v>
      </c>
      <c r="K203" s="12" t="s">
        <v>4916</v>
      </c>
      <c r="L203" s="12" t="s">
        <v>4278</v>
      </c>
      <c r="M203" s="102" t="str">
        <f t="shared" si="19"/>
        <v>DE LOS RIOS MANZANARES LUIS FELIPE</v>
      </c>
      <c r="N203" s="102" t="e">
        <v>#N/A</v>
      </c>
      <c r="O203" s="102" t="e">
        <v>#N/A</v>
      </c>
      <c r="P203" s="12" t="s">
        <v>1953</v>
      </c>
      <c r="Q203" s="100" t="e">
        <v>#N/A</v>
      </c>
      <c r="R203" s="77" t="e">
        <f t="shared" si="20"/>
        <v>#N/A</v>
      </c>
      <c r="S203" s="77" t="e">
        <f t="shared" si="21"/>
        <v>#N/A</v>
      </c>
      <c r="T203" s="77" t="e">
        <f t="shared" si="22"/>
        <v>#N/A</v>
      </c>
      <c r="U203" s="103" t="e">
        <f t="shared" ca="1" si="23"/>
        <v>#N/A</v>
      </c>
      <c r="V203" s="13" t="s">
        <v>389</v>
      </c>
      <c r="W203" s="13" t="s">
        <v>4279</v>
      </c>
      <c r="X203" s="12" t="s">
        <v>310</v>
      </c>
      <c r="Y203" s="108" t="s">
        <v>4280</v>
      </c>
      <c r="Z203" s="12" t="s">
        <v>263</v>
      </c>
      <c r="AA203" s="12" t="s">
        <v>636</v>
      </c>
      <c r="AB203" s="12" t="s">
        <v>2304</v>
      </c>
      <c r="AC203" s="12" t="s">
        <v>313</v>
      </c>
      <c r="AD203" s="12" t="s">
        <v>314</v>
      </c>
      <c r="AE203" s="12">
        <v>90</v>
      </c>
      <c r="AF203" s="13" t="s">
        <v>375</v>
      </c>
      <c r="AG203" s="12" t="s">
        <v>291</v>
      </c>
      <c r="AH203" s="104" t="s">
        <v>1398</v>
      </c>
      <c r="AI203" s="12" t="s">
        <v>317</v>
      </c>
      <c r="AJ203" s="12" t="s">
        <v>318</v>
      </c>
      <c r="AK203" s="12" t="s">
        <v>4281</v>
      </c>
      <c r="AL203" s="104" t="s">
        <v>4282</v>
      </c>
      <c r="AM203" s="12" t="s">
        <v>4283</v>
      </c>
      <c r="AN203" s="12" t="s">
        <v>622</v>
      </c>
      <c r="AO203" s="12" t="s">
        <v>398</v>
      </c>
      <c r="AP203" s="12"/>
      <c r="AQ203" s="12" t="s">
        <v>4284</v>
      </c>
      <c r="AR203" s="12">
        <v>112</v>
      </c>
      <c r="AS203" s="12" t="s">
        <v>362</v>
      </c>
      <c r="AT203" s="12" t="s">
        <v>483</v>
      </c>
      <c r="AU203" s="12" t="s">
        <v>483</v>
      </c>
      <c r="AV203" s="12">
        <v>78230</v>
      </c>
      <c r="AW203" s="12"/>
      <c r="AX203" s="12"/>
      <c r="AY203" s="12"/>
      <c r="AZ203" s="12"/>
      <c r="BA203" s="12"/>
      <c r="BB203" s="12"/>
      <c r="BC203" s="12"/>
      <c r="BD203" s="12" t="s">
        <v>4283</v>
      </c>
      <c r="BE203" s="12" t="s">
        <v>622</v>
      </c>
      <c r="BF203" s="12" t="s">
        <v>4285</v>
      </c>
      <c r="BG203" s="12" t="s">
        <v>333</v>
      </c>
      <c r="BH203" s="12" t="s">
        <v>334</v>
      </c>
      <c r="BI203" s="12" t="s">
        <v>3831</v>
      </c>
      <c r="BJ203" s="12" t="s">
        <v>3831</v>
      </c>
      <c r="BK203" s="12"/>
      <c r="BL203" s="105"/>
      <c r="BM203" s="12"/>
      <c r="BN203" s="12"/>
      <c r="BO203" s="105"/>
      <c r="BP203" s="12"/>
      <c r="BQ203" s="12"/>
      <c r="BR203" s="12"/>
      <c r="BS203" s="12"/>
      <c r="BT203" s="12"/>
      <c r="BU203" s="12"/>
      <c r="BV203" s="12"/>
      <c r="BW203" s="12"/>
      <c r="BX203" s="12"/>
      <c r="BY203" s="12"/>
      <c r="BZ203" s="12"/>
      <c r="CA203" s="12"/>
      <c r="CB203" s="12"/>
      <c r="CC203" s="12"/>
      <c r="CD203" s="78"/>
    </row>
    <row r="204" spans="1:82" ht="13.9" customHeight="1" x14ac:dyDescent="0.2">
      <c r="A204" s="107">
        <v>628</v>
      </c>
      <c r="B204" s="107" t="s">
        <v>3989</v>
      </c>
      <c r="C204" s="104" t="s">
        <v>564</v>
      </c>
      <c r="D204" s="107" t="s">
        <v>81</v>
      </c>
      <c r="E204" s="99" t="s">
        <v>1628</v>
      </c>
      <c r="F204" s="100">
        <v>45376</v>
      </c>
      <c r="G204" s="100">
        <v>45376</v>
      </c>
      <c r="H204" s="101">
        <f t="shared" si="18"/>
        <v>45466</v>
      </c>
      <c r="I204" s="101" t="s">
        <v>290</v>
      </c>
      <c r="J204" s="12" t="s">
        <v>507</v>
      </c>
      <c r="K204" s="12" t="s">
        <v>4447</v>
      </c>
      <c r="L204" s="12" t="s">
        <v>1720</v>
      </c>
      <c r="M204" s="102" t="str">
        <f t="shared" si="19"/>
        <v>MARTINEZ VELAZCO IVAN MICHELL</v>
      </c>
      <c r="N204" s="102" t="s">
        <v>6978</v>
      </c>
      <c r="O204" s="102" t="s">
        <v>4576</v>
      </c>
      <c r="P204" s="12" t="s">
        <v>1953</v>
      </c>
      <c r="Q204" s="100">
        <v>34732</v>
      </c>
      <c r="R204" s="77">
        <f t="shared" si="20"/>
        <v>2</v>
      </c>
      <c r="S204" s="77">
        <f t="shared" si="21"/>
        <v>2</v>
      </c>
      <c r="T204" s="77">
        <f t="shared" si="22"/>
        <v>1995</v>
      </c>
      <c r="U204" s="103">
        <f t="shared" ca="1" si="23"/>
        <v>31.712328767123289</v>
      </c>
      <c r="V204" s="13" t="s">
        <v>342</v>
      </c>
      <c r="W204" s="13" t="s">
        <v>1986</v>
      </c>
      <c r="X204" s="12" t="s">
        <v>472</v>
      </c>
      <c r="Y204" s="12" t="s">
        <v>85</v>
      </c>
      <c r="Z204" s="12" t="s">
        <v>84</v>
      </c>
      <c r="AA204" s="12" t="s">
        <v>532</v>
      </c>
      <c r="AB204" s="12" t="s">
        <v>574</v>
      </c>
      <c r="AC204" s="12" t="s">
        <v>313</v>
      </c>
      <c r="AD204" s="12" t="s">
        <v>314</v>
      </c>
      <c r="AE204" s="12">
        <v>90</v>
      </c>
      <c r="AF204" s="13" t="s">
        <v>350</v>
      </c>
      <c r="AG204" s="12" t="s">
        <v>290</v>
      </c>
      <c r="AH204" s="104" t="s">
        <v>575</v>
      </c>
      <c r="AI204" s="12" t="s">
        <v>317</v>
      </c>
      <c r="AJ204" s="12" t="s">
        <v>318</v>
      </c>
      <c r="AK204" s="12" t="s">
        <v>2656</v>
      </c>
      <c r="AL204" s="104" t="s">
        <v>2893</v>
      </c>
      <c r="AM204" s="12" t="s">
        <v>2375</v>
      </c>
      <c r="AN204" s="12" t="s">
        <v>560</v>
      </c>
      <c r="AO204" s="12" t="s">
        <v>398</v>
      </c>
      <c r="AP204" s="12"/>
      <c r="AQ204" s="12" t="s">
        <v>3205</v>
      </c>
      <c r="AR204" s="12">
        <v>147</v>
      </c>
      <c r="AS204" s="12">
        <v>1</v>
      </c>
      <c r="AT204" s="12" t="s">
        <v>1132</v>
      </c>
      <c r="AU204" s="12" t="s">
        <v>583</v>
      </c>
      <c r="AV204" s="12">
        <v>45200</v>
      </c>
      <c r="AW204" s="12" t="s">
        <v>357</v>
      </c>
      <c r="AX204" s="12">
        <v>0</v>
      </c>
      <c r="AY204" s="12" t="s">
        <v>357</v>
      </c>
      <c r="AZ204" s="12"/>
      <c r="BA204" s="12"/>
      <c r="BB204" s="12"/>
      <c r="BC204" s="12"/>
      <c r="BD204" s="12" t="s">
        <v>2375</v>
      </c>
      <c r="BE204" s="12" t="s">
        <v>560</v>
      </c>
      <c r="BF204" s="12" t="s">
        <v>3604</v>
      </c>
      <c r="BG204" s="12" t="s">
        <v>685</v>
      </c>
      <c r="BH204" s="12" t="s">
        <v>334</v>
      </c>
      <c r="BI204" s="12" t="s">
        <v>3831</v>
      </c>
      <c r="BJ204" s="12" t="s">
        <v>3888</v>
      </c>
      <c r="BK204" s="12" t="s">
        <v>571</v>
      </c>
      <c r="BL204" s="105" t="s">
        <v>3921</v>
      </c>
      <c r="BM204" s="12"/>
      <c r="BN204" s="12" t="s">
        <v>571</v>
      </c>
      <c r="BO204" s="105" t="s">
        <v>3923</v>
      </c>
      <c r="BP204" s="12"/>
      <c r="BQ204" s="12">
        <v>0</v>
      </c>
      <c r="BR204" s="12">
        <v>0</v>
      </c>
      <c r="BS204" s="12"/>
      <c r="BT204" s="12">
        <v>0</v>
      </c>
      <c r="BU204" s="12">
        <v>0</v>
      </c>
      <c r="BV204" s="12"/>
      <c r="BW204" s="12">
        <v>0</v>
      </c>
      <c r="BX204" s="12">
        <v>0</v>
      </c>
      <c r="BY204" s="12"/>
      <c r="BZ204" s="12">
        <v>0</v>
      </c>
      <c r="CA204" s="12"/>
      <c r="CB204" s="12"/>
      <c r="CC204" s="12"/>
      <c r="CD204" s="78"/>
    </row>
    <row r="205" spans="1:82" s="116" customFormat="1" ht="13.9" customHeight="1" x14ac:dyDescent="0.2">
      <c r="A205" s="109">
        <v>629</v>
      </c>
      <c r="B205" s="109" t="s">
        <v>3990</v>
      </c>
      <c r="C205" s="115" t="s">
        <v>564</v>
      </c>
      <c r="D205" s="109" t="s">
        <v>81</v>
      </c>
      <c r="E205" s="111" t="s">
        <v>1629</v>
      </c>
      <c r="F205" s="112">
        <v>45376</v>
      </c>
      <c r="G205" s="112">
        <v>45376</v>
      </c>
      <c r="H205" s="113">
        <f t="shared" si="18"/>
        <v>45466</v>
      </c>
      <c r="I205" s="113" t="s">
        <v>290</v>
      </c>
      <c r="J205" s="109" t="s">
        <v>4322</v>
      </c>
      <c r="K205" s="109" t="s">
        <v>4448</v>
      </c>
      <c r="L205" s="109" t="s">
        <v>1721</v>
      </c>
      <c r="M205" s="128" t="str">
        <f t="shared" si="19"/>
        <v>CAMACHO BRISEÑO JUAN DE DIOS</v>
      </c>
      <c r="N205" s="128" t="s">
        <v>6979</v>
      </c>
      <c r="O205" s="128" t="s">
        <v>4577</v>
      </c>
      <c r="P205" s="109" t="s">
        <v>1953</v>
      </c>
      <c r="Q205" s="112">
        <v>33671</v>
      </c>
      <c r="R205" s="125">
        <f t="shared" si="20"/>
        <v>8</v>
      </c>
      <c r="S205" s="125">
        <f t="shared" si="21"/>
        <v>3</v>
      </c>
      <c r="T205" s="125">
        <f t="shared" si="22"/>
        <v>1992</v>
      </c>
      <c r="U205" s="142">
        <f t="shared" ca="1" si="23"/>
        <v>34.61917808219178</v>
      </c>
      <c r="V205" s="114" t="s">
        <v>452</v>
      </c>
      <c r="W205" s="114" t="s">
        <v>1987</v>
      </c>
      <c r="X205" s="109" t="s">
        <v>454</v>
      </c>
      <c r="Y205" s="109" t="s">
        <v>297</v>
      </c>
      <c r="Z205" s="109" t="s">
        <v>84</v>
      </c>
      <c r="AA205" s="109" t="s">
        <v>532</v>
      </c>
      <c r="AB205" s="109" t="s">
        <v>574</v>
      </c>
      <c r="AC205" s="109" t="s">
        <v>313</v>
      </c>
      <c r="AD205" s="109" t="s">
        <v>314</v>
      </c>
      <c r="AE205" s="109">
        <v>90</v>
      </c>
      <c r="AF205" s="114" t="s">
        <v>350</v>
      </c>
      <c r="AG205" s="109" t="s">
        <v>290</v>
      </c>
      <c r="AH205" s="115" t="s">
        <v>575</v>
      </c>
      <c r="AI205" s="109" t="s">
        <v>317</v>
      </c>
      <c r="AJ205" s="109" t="s">
        <v>318</v>
      </c>
      <c r="AK205" s="109" t="s">
        <v>2657</v>
      </c>
      <c r="AL205" s="115" t="s">
        <v>2894</v>
      </c>
      <c r="AM205" s="109" t="s">
        <v>2376</v>
      </c>
      <c r="AN205" s="109" t="s">
        <v>560</v>
      </c>
      <c r="AO205" s="109" t="s">
        <v>398</v>
      </c>
      <c r="AP205" s="109"/>
      <c r="AQ205" s="109" t="s">
        <v>1103</v>
      </c>
      <c r="AR205" s="109">
        <v>2545</v>
      </c>
      <c r="AS205" s="109">
        <v>15</v>
      </c>
      <c r="AT205" s="109" t="s">
        <v>116</v>
      </c>
      <c r="AU205" s="109" t="s">
        <v>583</v>
      </c>
      <c r="AV205" s="109">
        <v>44650</v>
      </c>
      <c r="AW205" s="109" t="s">
        <v>357</v>
      </c>
      <c r="AX205" s="109">
        <v>0</v>
      </c>
      <c r="AY205" s="109" t="s">
        <v>357</v>
      </c>
      <c r="AZ205" s="109"/>
      <c r="BA205" s="109"/>
      <c r="BB205" s="109"/>
      <c r="BC205" s="109"/>
      <c r="BD205" s="109" t="s">
        <v>2376</v>
      </c>
      <c r="BE205" s="109" t="s">
        <v>560</v>
      </c>
      <c r="BF205" s="109" t="s">
        <v>3605</v>
      </c>
      <c r="BG205" s="109" t="s">
        <v>488</v>
      </c>
      <c r="BH205" s="109" t="s">
        <v>334</v>
      </c>
      <c r="BI205" s="109" t="s">
        <v>3831</v>
      </c>
      <c r="BJ205" s="109" t="s">
        <v>3888</v>
      </c>
      <c r="BK205" s="109" t="s">
        <v>3911</v>
      </c>
      <c r="BL205" s="111" t="s">
        <v>3919</v>
      </c>
      <c r="BM205" s="109"/>
      <c r="BN205" s="109">
        <v>0</v>
      </c>
      <c r="BO205" s="111">
        <v>0</v>
      </c>
      <c r="BP205" s="109"/>
      <c r="BQ205" s="109">
        <v>0</v>
      </c>
      <c r="BR205" s="109">
        <v>0</v>
      </c>
      <c r="BS205" s="109"/>
      <c r="BT205" s="109">
        <v>0</v>
      </c>
      <c r="BU205" s="109">
        <v>0</v>
      </c>
      <c r="BV205" s="109"/>
      <c r="BW205" s="109">
        <v>0</v>
      </c>
      <c r="BX205" s="109">
        <v>0</v>
      </c>
      <c r="BY205" s="109"/>
      <c r="BZ205" s="109">
        <v>0</v>
      </c>
      <c r="CA205" s="109"/>
      <c r="CB205" s="109"/>
      <c r="CC205" s="109"/>
      <c r="CD205" s="110"/>
    </row>
    <row r="206" spans="1:82" ht="13.9" customHeight="1" x14ac:dyDescent="0.2">
      <c r="A206" s="12">
        <v>872</v>
      </c>
      <c r="B206" s="12" t="s">
        <v>4246</v>
      </c>
      <c r="C206" s="104" t="s">
        <v>299</v>
      </c>
      <c r="D206" s="99" t="s">
        <v>80</v>
      </c>
      <c r="E206" s="99" t="s">
        <v>6579</v>
      </c>
      <c r="F206" s="100">
        <v>45384</v>
      </c>
      <c r="G206" s="117">
        <v>45384</v>
      </c>
      <c r="H206" s="101">
        <f t="shared" si="18"/>
        <v>45474</v>
      </c>
      <c r="I206" s="101" t="s">
        <v>291</v>
      </c>
      <c r="J206" s="12" t="s">
        <v>1280</v>
      </c>
      <c r="K206" s="12" t="s">
        <v>4464</v>
      </c>
      <c r="L206" s="12" t="s">
        <v>1897</v>
      </c>
      <c r="M206" s="102" t="str">
        <f t="shared" si="19"/>
        <v>RAMIREZ CASTAÑEDA MARIA MAGDALENA</v>
      </c>
      <c r="N206" s="102" t="s">
        <v>6473</v>
      </c>
      <c r="O206" s="102" t="s">
        <v>6474</v>
      </c>
      <c r="P206" s="12" t="s">
        <v>1954</v>
      </c>
      <c r="Q206" s="100">
        <v>31980</v>
      </c>
      <c r="R206" s="77">
        <f t="shared" si="20"/>
        <v>22</v>
      </c>
      <c r="S206" s="77">
        <f t="shared" si="21"/>
        <v>7</v>
      </c>
      <c r="T206" s="77">
        <f t="shared" si="22"/>
        <v>1987</v>
      </c>
      <c r="U206" s="103">
        <f t="shared" ca="1" si="23"/>
        <v>39.252054794520546</v>
      </c>
      <c r="V206" s="13" t="s">
        <v>308</v>
      </c>
      <c r="W206" s="13" t="s">
        <v>4272</v>
      </c>
      <c r="X206" s="12" t="s">
        <v>693</v>
      </c>
      <c r="Y206" s="12" t="s">
        <v>189</v>
      </c>
      <c r="Z206" s="12" t="s">
        <v>174</v>
      </c>
      <c r="AA206" s="12" t="s">
        <v>432</v>
      </c>
      <c r="AB206" s="12" t="s">
        <v>2280</v>
      </c>
      <c r="AC206" s="12" t="s">
        <v>313</v>
      </c>
      <c r="AD206" s="12" t="s">
        <v>314</v>
      </c>
      <c r="AE206" s="12">
        <v>90</v>
      </c>
      <c r="AF206" s="13" t="s">
        <v>315</v>
      </c>
      <c r="AG206" s="12" t="s">
        <v>291</v>
      </c>
      <c r="AH206" s="104" t="s">
        <v>1329</v>
      </c>
      <c r="AI206" s="12" t="s">
        <v>317</v>
      </c>
      <c r="AJ206" s="12" t="s">
        <v>318</v>
      </c>
      <c r="AK206" s="12" t="s">
        <v>4273</v>
      </c>
      <c r="AL206" s="104" t="s">
        <v>4274</v>
      </c>
      <c r="AM206" s="12" t="s">
        <v>4275</v>
      </c>
      <c r="AN206" s="12" t="s">
        <v>1531</v>
      </c>
      <c r="AO206" s="12" t="s">
        <v>327</v>
      </c>
      <c r="AP206" s="12"/>
      <c r="AQ206" s="12" t="s">
        <v>3335</v>
      </c>
      <c r="AR206" s="12">
        <v>2714</v>
      </c>
      <c r="AS206" s="12" t="s">
        <v>362</v>
      </c>
      <c r="AT206" s="12" t="s">
        <v>116</v>
      </c>
      <c r="AU206" s="12" t="s">
        <v>583</v>
      </c>
      <c r="AV206" s="12">
        <v>44940</v>
      </c>
      <c r="AW206" s="12" t="s">
        <v>357</v>
      </c>
      <c r="AX206" s="12" t="s">
        <v>357</v>
      </c>
      <c r="AY206" s="12" t="s">
        <v>357</v>
      </c>
      <c r="AZ206" s="12"/>
      <c r="BA206" s="12"/>
      <c r="BB206" s="12"/>
      <c r="BC206" s="12"/>
      <c r="BD206" s="12" t="s">
        <v>4275</v>
      </c>
      <c r="BE206" s="12" t="s">
        <v>1531</v>
      </c>
      <c r="BF206" s="12" t="s">
        <v>4276</v>
      </c>
      <c r="BG206" s="12" t="s">
        <v>333</v>
      </c>
      <c r="BH206" s="12" t="s">
        <v>334</v>
      </c>
      <c r="BI206" s="12" t="s">
        <v>3831</v>
      </c>
      <c r="BJ206" s="12"/>
      <c r="BK206" s="12"/>
      <c r="BL206" s="105"/>
      <c r="BM206" s="12"/>
      <c r="BN206" s="12"/>
      <c r="BO206" s="105"/>
      <c r="BP206" s="12"/>
      <c r="BQ206" s="12"/>
      <c r="BR206" s="12"/>
      <c r="BS206" s="12"/>
      <c r="BT206" s="12"/>
      <c r="BU206" s="12"/>
      <c r="BV206" s="12"/>
      <c r="BW206" s="12"/>
      <c r="BX206" s="12"/>
      <c r="BY206" s="12"/>
      <c r="BZ206" s="12"/>
      <c r="CA206" s="12"/>
      <c r="CB206" s="12"/>
      <c r="CC206" s="12"/>
      <c r="CD206" s="78"/>
    </row>
    <row r="207" spans="1:82" ht="13.9" customHeight="1" x14ac:dyDescent="0.2">
      <c r="A207" s="12">
        <v>634</v>
      </c>
      <c r="B207" s="12" t="s">
        <v>4037</v>
      </c>
      <c r="C207" s="104" t="s">
        <v>5046</v>
      </c>
      <c r="D207" s="107" t="s">
        <v>285</v>
      </c>
      <c r="E207" s="99" t="s">
        <v>6756</v>
      </c>
      <c r="F207" s="100">
        <v>45390</v>
      </c>
      <c r="G207" s="100">
        <v>45390</v>
      </c>
      <c r="H207" s="101">
        <f t="shared" si="18"/>
        <v>45450</v>
      </c>
      <c r="I207" s="101" t="s">
        <v>291</v>
      </c>
      <c r="J207" s="12" t="s">
        <v>1071</v>
      </c>
      <c r="K207" s="12" t="s">
        <v>1044</v>
      </c>
      <c r="L207" s="12" t="s">
        <v>1950</v>
      </c>
      <c r="M207" s="102" t="str">
        <f t="shared" si="19"/>
        <v xml:space="preserve">TENORIO RODRIGUEZ ALBERTO  </v>
      </c>
      <c r="N207" s="102" t="s">
        <v>7168</v>
      </c>
      <c r="O207" s="102" t="s">
        <v>4857</v>
      </c>
      <c r="P207" s="12" t="s">
        <v>1953</v>
      </c>
      <c r="Q207" s="100">
        <v>30371</v>
      </c>
      <c r="R207" s="77">
        <f t="shared" si="20"/>
        <v>24</v>
      </c>
      <c r="S207" s="77">
        <f t="shared" si="21"/>
        <v>2</v>
      </c>
      <c r="T207" s="77">
        <f t="shared" si="22"/>
        <v>1983</v>
      </c>
      <c r="U207" s="103">
        <f t="shared" ca="1" si="23"/>
        <v>43.660273972602738</v>
      </c>
      <c r="V207" s="13" t="s">
        <v>342</v>
      </c>
      <c r="W207" s="13" t="s">
        <v>2268</v>
      </c>
      <c r="X207" s="12" t="s">
        <v>454</v>
      </c>
      <c r="Y207" s="108" t="s">
        <v>115</v>
      </c>
      <c r="Z207" s="12" t="s">
        <v>282</v>
      </c>
      <c r="AA207" s="12" t="s">
        <v>636</v>
      </c>
      <c r="AB207" s="12" t="s">
        <v>2302</v>
      </c>
      <c r="AC207" s="12" t="s">
        <v>313</v>
      </c>
      <c r="AD207" s="12" t="s">
        <v>314</v>
      </c>
      <c r="AE207" s="12">
        <v>60</v>
      </c>
      <c r="AF207" s="13" t="s">
        <v>375</v>
      </c>
      <c r="AG207" s="12" t="s">
        <v>291</v>
      </c>
      <c r="AH207" s="104" t="s">
        <v>843</v>
      </c>
      <c r="AI207" s="12" t="s">
        <v>317</v>
      </c>
      <c r="AJ207" s="12" t="s">
        <v>318</v>
      </c>
      <c r="AK207" s="12" t="s">
        <v>2865</v>
      </c>
      <c r="AL207" s="104" t="s">
        <v>3172</v>
      </c>
      <c r="AM207" s="12" t="s">
        <v>2629</v>
      </c>
      <c r="AN207" s="12" t="s">
        <v>381</v>
      </c>
      <c r="AO207" s="12" t="s">
        <v>398</v>
      </c>
      <c r="AP207" s="12"/>
      <c r="AQ207" s="12" t="s">
        <v>3349</v>
      </c>
      <c r="AR207" s="12">
        <v>45</v>
      </c>
      <c r="AS207" s="12" t="s">
        <v>362</v>
      </c>
      <c r="AT207" s="12" t="s">
        <v>483</v>
      </c>
      <c r="AU207" s="12" t="s">
        <v>483</v>
      </c>
      <c r="AV207" s="12">
        <v>78400</v>
      </c>
      <c r="AW207" s="12" t="s">
        <v>329</v>
      </c>
      <c r="AX207" s="12">
        <v>0</v>
      </c>
      <c r="AY207" s="12">
        <v>0</v>
      </c>
      <c r="AZ207" s="12"/>
      <c r="BA207" s="12"/>
      <c r="BB207" s="12"/>
      <c r="BC207" s="12"/>
      <c r="BD207" s="12">
        <v>0</v>
      </c>
      <c r="BE207" s="12">
        <v>0</v>
      </c>
      <c r="BF207" s="12">
        <v>0</v>
      </c>
      <c r="BG207" s="12">
        <v>0</v>
      </c>
      <c r="BH207" s="12" t="s">
        <v>334</v>
      </c>
      <c r="BI207" s="12" t="s">
        <v>3831</v>
      </c>
      <c r="BJ207" s="12" t="s">
        <v>3831</v>
      </c>
      <c r="BK207" s="12"/>
      <c r="BL207" s="105"/>
      <c r="BM207" s="12"/>
      <c r="BN207" s="12"/>
      <c r="BO207" s="105"/>
      <c r="BP207" s="12"/>
      <c r="BQ207" s="12"/>
      <c r="BR207" s="12"/>
      <c r="BS207" s="12"/>
      <c r="BT207" s="12"/>
      <c r="BU207" s="12"/>
      <c r="BV207" s="12"/>
      <c r="BW207" s="12"/>
      <c r="BX207" s="12"/>
      <c r="BY207" s="12"/>
      <c r="BZ207" s="12"/>
      <c r="CA207" s="12"/>
      <c r="CB207" s="12"/>
      <c r="CC207" s="12"/>
      <c r="CD207" s="78"/>
    </row>
    <row r="208" spans="1:82" ht="13.9" customHeight="1" x14ac:dyDescent="0.2">
      <c r="A208" s="12">
        <v>635</v>
      </c>
      <c r="B208" s="12" t="s">
        <v>4038</v>
      </c>
      <c r="C208" s="104" t="s">
        <v>5046</v>
      </c>
      <c r="D208" s="107" t="s">
        <v>285</v>
      </c>
      <c r="E208" s="99" t="s">
        <v>6580</v>
      </c>
      <c r="F208" s="100">
        <v>45390</v>
      </c>
      <c r="G208" s="100">
        <v>45390</v>
      </c>
      <c r="H208" s="101">
        <f t="shared" si="18"/>
        <v>45450</v>
      </c>
      <c r="I208" s="101" t="s">
        <v>291</v>
      </c>
      <c r="J208" s="12" t="s">
        <v>507</v>
      </c>
      <c r="K208" s="12" t="s">
        <v>4540</v>
      </c>
      <c r="L208" s="12" t="s">
        <v>1951</v>
      </c>
      <c r="M208" s="102" t="str">
        <f t="shared" si="19"/>
        <v>MARTINEZ DE LA FUENTE ANGEL ALBERTO</v>
      </c>
      <c r="N208" s="102" t="s">
        <v>6980</v>
      </c>
      <c r="O208" s="102" t="s">
        <v>4858</v>
      </c>
      <c r="P208" s="12" t="s">
        <v>1953</v>
      </c>
      <c r="Q208" s="100">
        <v>27366</v>
      </c>
      <c r="R208" s="77">
        <f t="shared" si="20"/>
        <v>3</v>
      </c>
      <c r="S208" s="77">
        <f t="shared" si="21"/>
        <v>12</v>
      </c>
      <c r="T208" s="77">
        <f t="shared" si="22"/>
        <v>1974</v>
      </c>
      <c r="U208" s="103">
        <f t="shared" ca="1" si="23"/>
        <v>51.893150684931506</v>
      </c>
      <c r="V208" s="13" t="s">
        <v>389</v>
      </c>
      <c r="W208" s="13" t="s">
        <v>2269</v>
      </c>
      <c r="X208" s="12" t="s">
        <v>2326</v>
      </c>
      <c r="Y208" s="108" t="s">
        <v>115</v>
      </c>
      <c r="Z208" s="12" t="s">
        <v>282</v>
      </c>
      <c r="AA208" s="12" t="s">
        <v>636</v>
      </c>
      <c r="AB208" s="12" t="s">
        <v>2302</v>
      </c>
      <c r="AC208" s="12" t="s">
        <v>313</v>
      </c>
      <c r="AD208" s="12" t="s">
        <v>314</v>
      </c>
      <c r="AE208" s="12">
        <v>60</v>
      </c>
      <c r="AF208" s="13" t="s">
        <v>375</v>
      </c>
      <c r="AG208" s="12" t="s">
        <v>291</v>
      </c>
      <c r="AH208" s="104" t="s">
        <v>843</v>
      </c>
      <c r="AI208" s="12" t="s">
        <v>317</v>
      </c>
      <c r="AJ208" s="12" t="s">
        <v>318</v>
      </c>
      <c r="AK208" s="12" t="s">
        <v>2866</v>
      </c>
      <c r="AL208" s="104" t="s">
        <v>3173</v>
      </c>
      <c r="AM208" s="12" t="s">
        <v>2630</v>
      </c>
      <c r="AN208" s="12" t="s">
        <v>560</v>
      </c>
      <c r="AO208" s="12" t="s">
        <v>398</v>
      </c>
      <c r="AP208" s="12"/>
      <c r="AQ208" s="12" t="s">
        <v>3350</v>
      </c>
      <c r="AR208" s="12">
        <v>344</v>
      </c>
      <c r="AS208" s="12" t="s">
        <v>328</v>
      </c>
      <c r="AT208" s="12" t="s">
        <v>483</v>
      </c>
      <c r="AU208" s="12" t="s">
        <v>483</v>
      </c>
      <c r="AV208" s="12" t="s">
        <v>3415</v>
      </c>
      <c r="AW208" s="12" t="s">
        <v>329</v>
      </c>
      <c r="AX208" s="12">
        <v>0</v>
      </c>
      <c r="AY208" s="12">
        <v>0</v>
      </c>
      <c r="AZ208" s="12"/>
      <c r="BA208" s="12"/>
      <c r="BB208" s="12"/>
      <c r="BC208" s="12"/>
      <c r="BD208" s="12">
        <v>0</v>
      </c>
      <c r="BE208" s="12">
        <v>0</v>
      </c>
      <c r="BF208" s="12">
        <v>0</v>
      </c>
      <c r="BG208" s="12">
        <v>0</v>
      </c>
      <c r="BH208" s="12" t="s">
        <v>334</v>
      </c>
      <c r="BI208" s="12" t="s">
        <v>3831</v>
      </c>
      <c r="BJ208" s="12" t="s">
        <v>3831</v>
      </c>
      <c r="BK208" s="12"/>
      <c r="BL208" s="105"/>
      <c r="BM208" s="12"/>
      <c r="BN208" s="12"/>
      <c r="BO208" s="105"/>
      <c r="BP208" s="12"/>
      <c r="BQ208" s="12"/>
      <c r="BR208" s="12"/>
      <c r="BS208" s="12"/>
      <c r="BT208" s="12"/>
      <c r="BU208" s="12"/>
      <c r="BV208" s="12"/>
      <c r="BW208" s="12"/>
      <c r="BX208" s="12"/>
      <c r="BY208" s="12"/>
      <c r="BZ208" s="12"/>
      <c r="CA208" s="12"/>
      <c r="CB208" s="12"/>
      <c r="CC208" s="12"/>
      <c r="CD208" s="78"/>
    </row>
    <row r="209" spans="1:82" ht="13.9" customHeight="1" x14ac:dyDescent="0.2">
      <c r="A209" s="107">
        <v>637</v>
      </c>
      <c r="B209" s="107" t="s">
        <v>3991</v>
      </c>
      <c r="C209" s="104" t="s">
        <v>564</v>
      </c>
      <c r="D209" s="107" t="s">
        <v>81</v>
      </c>
      <c r="E209" s="99" t="s">
        <v>6581</v>
      </c>
      <c r="F209" s="100">
        <v>45397</v>
      </c>
      <c r="G209" s="100">
        <v>45397</v>
      </c>
      <c r="H209" s="101">
        <f t="shared" si="18"/>
        <v>45487</v>
      </c>
      <c r="I209" s="101" t="s">
        <v>290</v>
      </c>
      <c r="J209" s="12" t="s">
        <v>4323</v>
      </c>
      <c r="K209" s="12" t="s">
        <v>4449</v>
      </c>
      <c r="L209" s="12" t="s">
        <v>426</v>
      </c>
      <c r="M209" s="102" t="str">
        <f t="shared" si="19"/>
        <v>ALEJANDRE VELAZQUEZ FERNANDO</v>
      </c>
      <c r="N209" s="102" t="s">
        <v>6981</v>
      </c>
      <c r="O209" s="102" t="s">
        <v>4578</v>
      </c>
      <c r="P209" s="12" t="s">
        <v>1953</v>
      </c>
      <c r="Q209" s="100">
        <v>36439</v>
      </c>
      <c r="R209" s="77">
        <f t="shared" si="20"/>
        <v>6</v>
      </c>
      <c r="S209" s="77">
        <f t="shared" si="21"/>
        <v>10</v>
      </c>
      <c r="T209" s="77">
        <f t="shared" si="22"/>
        <v>1999</v>
      </c>
      <c r="U209" s="103">
        <f t="shared" ca="1" si="23"/>
        <v>27.035616438356165</v>
      </c>
      <c r="V209" s="13" t="s">
        <v>389</v>
      </c>
      <c r="W209" s="13" t="s">
        <v>1988</v>
      </c>
      <c r="X209" s="12" t="s">
        <v>693</v>
      </c>
      <c r="Y209" s="12" t="s">
        <v>85</v>
      </c>
      <c r="Z209" s="12" t="s">
        <v>84</v>
      </c>
      <c r="AA209" s="12" t="s">
        <v>532</v>
      </c>
      <c r="AB209" s="12" t="s">
        <v>574</v>
      </c>
      <c r="AC209" s="12" t="s">
        <v>313</v>
      </c>
      <c r="AD209" s="12" t="s">
        <v>314</v>
      </c>
      <c r="AE209" s="12">
        <v>90</v>
      </c>
      <c r="AF209" s="13" t="s">
        <v>350</v>
      </c>
      <c r="AG209" s="12" t="s">
        <v>290</v>
      </c>
      <c r="AH209" s="104" t="s">
        <v>575</v>
      </c>
      <c r="AI209" s="12" t="s">
        <v>317</v>
      </c>
      <c r="AJ209" s="12" t="s">
        <v>318</v>
      </c>
      <c r="AK209" s="12" t="s">
        <v>2658</v>
      </c>
      <c r="AL209" s="104" t="s">
        <v>2895</v>
      </c>
      <c r="AM209" s="12" t="s">
        <v>2377</v>
      </c>
      <c r="AN209" s="12" t="s">
        <v>325</v>
      </c>
      <c r="AO209" s="12" t="s">
        <v>398</v>
      </c>
      <c r="AP209" s="12"/>
      <c r="AQ209" s="12" t="s">
        <v>3206</v>
      </c>
      <c r="AR209" s="12">
        <v>12</v>
      </c>
      <c r="AS209" s="12" t="s">
        <v>642</v>
      </c>
      <c r="AT209" s="12" t="s">
        <v>624</v>
      </c>
      <c r="AU209" s="12" t="s">
        <v>583</v>
      </c>
      <c r="AV209" s="12">
        <v>45680</v>
      </c>
      <c r="AW209" s="12" t="s">
        <v>357</v>
      </c>
      <c r="AX209" s="12" t="s">
        <v>357</v>
      </c>
      <c r="AY209" s="12" t="s">
        <v>357</v>
      </c>
      <c r="AZ209" s="12"/>
      <c r="BA209" s="12"/>
      <c r="BB209" s="12"/>
      <c r="BC209" s="12"/>
      <c r="BD209" s="12" t="s">
        <v>2377</v>
      </c>
      <c r="BE209" s="12" t="s">
        <v>325</v>
      </c>
      <c r="BF209" s="12" t="s">
        <v>3606</v>
      </c>
      <c r="BG209" s="12" t="s">
        <v>488</v>
      </c>
      <c r="BH209" s="12" t="s">
        <v>334</v>
      </c>
      <c r="BI209" s="12" t="s">
        <v>3831</v>
      </c>
      <c r="BJ209" s="12" t="s">
        <v>3831</v>
      </c>
      <c r="BK209" s="12"/>
      <c r="BL209" s="105"/>
      <c r="BM209" s="12"/>
      <c r="BN209" s="12"/>
      <c r="BO209" s="105"/>
      <c r="BP209" s="12"/>
      <c r="BQ209" s="12"/>
      <c r="BR209" s="12"/>
      <c r="BS209" s="12"/>
      <c r="BT209" s="12"/>
      <c r="BU209" s="12"/>
      <c r="BV209" s="12"/>
      <c r="BW209" s="12"/>
      <c r="BX209" s="12"/>
      <c r="BY209" s="12"/>
      <c r="BZ209" s="12"/>
      <c r="CA209" s="12"/>
      <c r="CB209" s="12"/>
      <c r="CC209" s="12"/>
      <c r="CD209" s="78"/>
    </row>
    <row r="210" spans="1:82" ht="13.9" customHeight="1" x14ac:dyDescent="0.2">
      <c r="A210" s="12">
        <v>636</v>
      </c>
      <c r="B210" s="12" t="s">
        <v>4135</v>
      </c>
      <c r="C210" s="78" t="s">
        <v>335</v>
      </c>
      <c r="D210" s="107" t="s">
        <v>161</v>
      </c>
      <c r="E210" s="99" t="s">
        <v>6582</v>
      </c>
      <c r="F210" s="100">
        <v>45398</v>
      </c>
      <c r="G210" s="100">
        <v>45398</v>
      </c>
      <c r="H210" s="101">
        <f t="shared" si="18"/>
        <v>45488</v>
      </c>
      <c r="I210" s="101" t="s">
        <v>291</v>
      </c>
      <c r="J210" s="12" t="s">
        <v>507</v>
      </c>
      <c r="K210" s="12" t="s">
        <v>4516</v>
      </c>
      <c r="L210" s="12" t="s">
        <v>1893</v>
      </c>
      <c r="M210" s="102" t="str">
        <f t="shared" si="19"/>
        <v>MARTINEZ AZUA MARIELA</v>
      </c>
      <c r="N210" s="102" t="s">
        <v>6982</v>
      </c>
      <c r="O210" s="102" t="s">
        <v>4779</v>
      </c>
      <c r="P210" s="12" t="s">
        <v>1953</v>
      </c>
      <c r="Q210" s="100">
        <v>31224</v>
      </c>
      <c r="R210" s="77">
        <f t="shared" si="20"/>
        <v>26</v>
      </c>
      <c r="S210" s="77">
        <f t="shared" si="21"/>
        <v>6</v>
      </c>
      <c r="T210" s="77">
        <f t="shared" si="22"/>
        <v>1985</v>
      </c>
      <c r="U210" s="103">
        <f t="shared" ca="1" si="23"/>
        <v>41.323287671232876</v>
      </c>
      <c r="V210" s="13" t="s">
        <v>308</v>
      </c>
      <c r="W210" s="13" t="s">
        <v>2190</v>
      </c>
      <c r="X210" s="12" t="s">
        <v>310</v>
      </c>
      <c r="Y210" s="108" t="s">
        <v>222</v>
      </c>
      <c r="Z210" s="12" t="s">
        <v>220</v>
      </c>
      <c r="AA210" s="12" t="s">
        <v>857</v>
      </c>
      <c r="AB210" s="12" t="s">
        <v>2308</v>
      </c>
      <c r="AC210" s="12" t="s">
        <v>313</v>
      </c>
      <c r="AD210" s="12" t="s">
        <v>314</v>
      </c>
      <c r="AE210" s="12">
        <v>90</v>
      </c>
      <c r="AF210" s="13" t="s">
        <v>2330</v>
      </c>
      <c r="AG210" s="12" t="s">
        <v>291</v>
      </c>
      <c r="AH210" s="104" t="s">
        <v>2343</v>
      </c>
      <c r="AI210" s="12" t="s">
        <v>317</v>
      </c>
      <c r="AJ210" s="12" t="s">
        <v>318</v>
      </c>
      <c r="AK210" s="12" t="s">
        <v>2798</v>
      </c>
      <c r="AL210" s="104" t="s">
        <v>3094</v>
      </c>
      <c r="AM210" s="12" t="s">
        <v>2563</v>
      </c>
      <c r="AN210" s="12" t="s">
        <v>325</v>
      </c>
      <c r="AO210" s="12" t="s">
        <v>398</v>
      </c>
      <c r="AP210" s="12"/>
      <c r="AQ210" s="12" t="s">
        <v>3312</v>
      </c>
      <c r="AR210" s="12">
        <v>103</v>
      </c>
      <c r="AS210" s="12" t="s">
        <v>328</v>
      </c>
      <c r="AT210" s="12" t="s">
        <v>3376</v>
      </c>
      <c r="AU210" s="12" t="s">
        <v>483</v>
      </c>
      <c r="AV210" s="12">
        <v>79030</v>
      </c>
      <c r="AW210" s="12" t="s">
        <v>357</v>
      </c>
      <c r="AX210" s="12" t="s">
        <v>357</v>
      </c>
      <c r="AY210" s="12" t="s">
        <v>357</v>
      </c>
      <c r="AZ210" s="12"/>
      <c r="BA210" s="12"/>
      <c r="BB210" s="12"/>
      <c r="BC210" s="12"/>
      <c r="BD210" s="12" t="s">
        <v>2563</v>
      </c>
      <c r="BE210" s="12" t="s">
        <v>325</v>
      </c>
      <c r="BF210" s="12" t="s">
        <v>3750</v>
      </c>
      <c r="BG210" s="12" t="s">
        <v>488</v>
      </c>
      <c r="BH210" s="12" t="s">
        <v>334</v>
      </c>
      <c r="BI210" s="12" t="s">
        <v>3831</v>
      </c>
      <c r="BJ210" s="12" t="s">
        <v>3888</v>
      </c>
      <c r="BK210" s="12" t="s">
        <v>3911</v>
      </c>
      <c r="BL210" s="105" t="s">
        <v>3921</v>
      </c>
      <c r="BM210" s="12"/>
      <c r="BN210" s="12">
        <v>0</v>
      </c>
      <c r="BO210" s="105">
        <v>0</v>
      </c>
      <c r="BP210" s="12"/>
      <c r="BQ210" s="12">
        <v>0</v>
      </c>
      <c r="BR210" s="12">
        <v>0</v>
      </c>
      <c r="BS210" s="12"/>
      <c r="BT210" s="12">
        <v>0</v>
      </c>
      <c r="BU210" s="12">
        <v>0</v>
      </c>
      <c r="BV210" s="12"/>
      <c r="BW210" s="12">
        <v>0</v>
      </c>
      <c r="BX210" s="12">
        <v>0</v>
      </c>
      <c r="BY210" s="12"/>
      <c r="BZ210" s="12">
        <v>0</v>
      </c>
      <c r="CA210" s="12"/>
      <c r="CB210" s="12"/>
      <c r="CC210" s="12"/>
      <c r="CD210" s="78"/>
    </row>
    <row r="211" spans="1:82" ht="13.9" customHeight="1" x14ac:dyDescent="0.2">
      <c r="A211" s="12">
        <v>638</v>
      </c>
      <c r="B211" s="12" t="s">
        <v>4012</v>
      </c>
      <c r="C211" s="104" t="s">
        <v>564</v>
      </c>
      <c r="D211" s="107" t="s">
        <v>81</v>
      </c>
      <c r="E211" s="99" t="s">
        <v>6583</v>
      </c>
      <c r="F211" s="100">
        <v>45398</v>
      </c>
      <c r="G211" s="100">
        <v>45398</v>
      </c>
      <c r="H211" s="101">
        <f t="shared" si="18"/>
        <v>45488</v>
      </c>
      <c r="I211" s="101" t="s">
        <v>291</v>
      </c>
      <c r="J211" s="12" t="s">
        <v>721</v>
      </c>
      <c r="K211" s="12" t="s">
        <v>4536</v>
      </c>
      <c r="L211" s="12" t="s">
        <v>1925</v>
      </c>
      <c r="M211" s="102" t="str">
        <f t="shared" si="19"/>
        <v>MORA GARDUÑO HUGO ALBERTO</v>
      </c>
      <c r="N211" s="102" t="s">
        <v>6983</v>
      </c>
      <c r="O211" s="102" t="s">
        <v>4831</v>
      </c>
      <c r="P211" s="12" t="s">
        <v>1953</v>
      </c>
      <c r="Q211" s="100">
        <v>28722</v>
      </c>
      <c r="R211" s="77">
        <f t="shared" si="20"/>
        <v>20</v>
      </c>
      <c r="S211" s="77">
        <f t="shared" si="21"/>
        <v>8</v>
      </c>
      <c r="T211" s="77">
        <f t="shared" si="22"/>
        <v>1978</v>
      </c>
      <c r="U211" s="103">
        <f t="shared" ca="1" si="23"/>
        <v>48.178082191780824</v>
      </c>
      <c r="V211" s="13" t="s">
        <v>342</v>
      </c>
      <c r="W211" s="13" t="s">
        <v>2242</v>
      </c>
      <c r="X211" s="12" t="s">
        <v>310</v>
      </c>
      <c r="Y211" s="12" t="s">
        <v>261</v>
      </c>
      <c r="Z211" s="12" t="s">
        <v>260</v>
      </c>
      <c r="AA211" s="12" t="s">
        <v>532</v>
      </c>
      <c r="AB211" s="12" t="s">
        <v>574</v>
      </c>
      <c r="AC211" s="12" t="s">
        <v>313</v>
      </c>
      <c r="AD211" s="12" t="s">
        <v>314</v>
      </c>
      <c r="AE211" s="12">
        <v>90</v>
      </c>
      <c r="AF211" s="13" t="s">
        <v>350</v>
      </c>
      <c r="AG211" s="12" t="s">
        <v>290</v>
      </c>
      <c r="AH211" s="104" t="s">
        <v>575</v>
      </c>
      <c r="AI211" s="12" t="s">
        <v>317</v>
      </c>
      <c r="AJ211" s="12" t="s">
        <v>318</v>
      </c>
      <c r="AK211" s="12" t="s">
        <v>2842</v>
      </c>
      <c r="AL211" s="104" t="s">
        <v>3146</v>
      </c>
      <c r="AM211" s="12" t="s">
        <v>2613</v>
      </c>
      <c r="AN211" s="12" t="s">
        <v>560</v>
      </c>
      <c r="AO211" s="12" t="s">
        <v>327</v>
      </c>
      <c r="AP211" s="12"/>
      <c r="AQ211" s="12" t="s">
        <v>3337</v>
      </c>
      <c r="AR211" s="12">
        <v>11606</v>
      </c>
      <c r="AS211" s="12" t="s">
        <v>328</v>
      </c>
      <c r="AT211" s="12" t="s">
        <v>761</v>
      </c>
      <c r="AU211" s="12" t="s">
        <v>762</v>
      </c>
      <c r="AV211" s="12">
        <v>22014</v>
      </c>
      <c r="AW211" s="12" t="s">
        <v>357</v>
      </c>
      <c r="AX211" s="12" t="s">
        <v>357</v>
      </c>
      <c r="AY211" s="12" t="s">
        <v>357</v>
      </c>
      <c r="AZ211" s="12"/>
      <c r="BA211" s="12"/>
      <c r="BB211" s="12"/>
      <c r="BC211" s="12"/>
      <c r="BD211" s="12" t="s">
        <v>2613</v>
      </c>
      <c r="BE211" s="12" t="s">
        <v>560</v>
      </c>
      <c r="BF211" s="12" t="s">
        <v>3794</v>
      </c>
      <c r="BG211" s="12" t="s">
        <v>444</v>
      </c>
      <c r="BH211" s="12" t="s">
        <v>334</v>
      </c>
      <c r="BI211" s="12" t="s">
        <v>3831</v>
      </c>
      <c r="BJ211" s="12" t="s">
        <v>3888</v>
      </c>
      <c r="BK211" s="12" t="s">
        <v>3911</v>
      </c>
      <c r="BL211" s="105" t="s">
        <v>3921</v>
      </c>
      <c r="BM211" s="12"/>
      <c r="BN211" s="12">
        <v>0</v>
      </c>
      <c r="BO211" s="105">
        <v>0</v>
      </c>
      <c r="BP211" s="12"/>
      <c r="BQ211" s="12">
        <v>0</v>
      </c>
      <c r="BR211" s="12">
        <v>0</v>
      </c>
      <c r="BS211" s="12"/>
      <c r="BT211" s="12">
        <v>0</v>
      </c>
      <c r="BU211" s="12">
        <v>0</v>
      </c>
      <c r="BV211" s="12"/>
      <c r="BW211" s="12">
        <v>0</v>
      </c>
      <c r="BX211" s="12">
        <v>0</v>
      </c>
      <c r="BY211" s="12"/>
      <c r="BZ211" s="12">
        <v>0</v>
      </c>
      <c r="CA211" s="12"/>
      <c r="CB211" s="12"/>
      <c r="CC211" s="12"/>
      <c r="CD211" s="78"/>
    </row>
    <row r="212" spans="1:82" s="116" customFormat="1" ht="13.9" customHeight="1" x14ac:dyDescent="0.2">
      <c r="A212" s="109">
        <v>880</v>
      </c>
      <c r="B212" s="109" t="s">
        <v>4247</v>
      </c>
      <c r="C212" s="115" t="s">
        <v>299</v>
      </c>
      <c r="D212" s="111" t="s">
        <v>80</v>
      </c>
      <c r="E212" s="111" t="s">
        <v>1670</v>
      </c>
      <c r="F212" s="112">
        <v>45398</v>
      </c>
      <c r="G212" s="112">
        <v>45398</v>
      </c>
      <c r="H212" s="113">
        <f t="shared" si="18"/>
        <v>45488</v>
      </c>
      <c r="I212" s="113" t="s">
        <v>291</v>
      </c>
      <c r="J212" s="109" t="s">
        <v>793</v>
      </c>
      <c r="K212" s="109" t="s">
        <v>836</v>
      </c>
      <c r="L212" s="109" t="s">
        <v>1866</v>
      </c>
      <c r="M212" s="128" t="str">
        <f t="shared" si="19"/>
        <v>LOPEZ MENDEZ JESUS RAMON</v>
      </c>
      <c r="N212" s="128" t="s">
        <v>6984</v>
      </c>
      <c r="O212" s="128" t="s">
        <v>4750</v>
      </c>
      <c r="P212" s="109" t="s">
        <v>1953</v>
      </c>
      <c r="Q212" s="112">
        <v>29344</v>
      </c>
      <c r="R212" s="125">
        <f t="shared" si="20"/>
        <v>3</v>
      </c>
      <c r="S212" s="125">
        <f t="shared" si="21"/>
        <v>5</v>
      </c>
      <c r="T212" s="125">
        <f t="shared" si="22"/>
        <v>1980</v>
      </c>
      <c r="U212" s="142">
        <f t="shared" ca="1" si="23"/>
        <v>46.473972602739728</v>
      </c>
      <c r="V212" s="114" t="s">
        <v>389</v>
      </c>
      <c r="W212" s="114" t="s">
        <v>2161</v>
      </c>
      <c r="X212" s="109" t="s">
        <v>310</v>
      </c>
      <c r="Y212" s="109" t="s">
        <v>205</v>
      </c>
      <c r="Z212" s="109" t="s">
        <v>174</v>
      </c>
      <c r="AA212" s="109" t="s">
        <v>432</v>
      </c>
      <c r="AB212" s="109" t="s">
        <v>2303</v>
      </c>
      <c r="AC212" s="109" t="s">
        <v>313</v>
      </c>
      <c r="AD212" s="109" t="s">
        <v>314</v>
      </c>
      <c r="AE212" s="109">
        <v>90</v>
      </c>
      <c r="AF212" s="114" t="s">
        <v>315</v>
      </c>
      <c r="AG212" s="109" t="s">
        <v>291</v>
      </c>
      <c r="AH212" s="115" t="s">
        <v>1329</v>
      </c>
      <c r="AI212" s="109" t="s">
        <v>317</v>
      </c>
      <c r="AJ212" s="109" t="s">
        <v>318</v>
      </c>
      <c r="AK212" s="109" t="s">
        <v>2775</v>
      </c>
      <c r="AL212" s="115" t="s">
        <v>3067</v>
      </c>
      <c r="AM212" s="109" t="s">
        <v>2538</v>
      </c>
      <c r="AN212" s="109" t="s">
        <v>622</v>
      </c>
      <c r="AO212" s="109" t="s">
        <v>327</v>
      </c>
      <c r="AP212" s="109"/>
      <c r="AQ212" s="109" t="s">
        <v>3297</v>
      </c>
      <c r="AR212" s="109">
        <v>3386</v>
      </c>
      <c r="AS212" s="109" t="s">
        <v>328</v>
      </c>
      <c r="AT212" s="109" t="s">
        <v>606</v>
      </c>
      <c r="AU212" s="109" t="s">
        <v>583</v>
      </c>
      <c r="AV212" s="109">
        <v>45580</v>
      </c>
      <c r="AW212" s="109" t="s">
        <v>357</v>
      </c>
      <c r="AX212" s="109" t="s">
        <v>357</v>
      </c>
      <c r="AY212" s="109" t="s">
        <v>357</v>
      </c>
      <c r="AZ212" s="109"/>
      <c r="BA212" s="109"/>
      <c r="BB212" s="109"/>
      <c r="BC212" s="109"/>
      <c r="BD212" s="109" t="s">
        <v>2538</v>
      </c>
      <c r="BE212" s="109" t="s">
        <v>622</v>
      </c>
      <c r="BF212" s="109" t="s">
        <v>3729</v>
      </c>
      <c r="BG212" s="109" t="s">
        <v>333</v>
      </c>
      <c r="BH212" s="109" t="s">
        <v>334</v>
      </c>
      <c r="BI212" s="109" t="s">
        <v>3831</v>
      </c>
      <c r="BJ212" s="109" t="s">
        <v>3888</v>
      </c>
      <c r="BK212" s="109" t="s">
        <v>3911</v>
      </c>
      <c r="BL212" s="111" t="s">
        <v>3941</v>
      </c>
      <c r="BM212" s="109"/>
      <c r="BN212" s="109" t="s">
        <v>3911</v>
      </c>
      <c r="BO212" s="111" t="s">
        <v>3926</v>
      </c>
      <c r="BP212" s="109"/>
      <c r="BQ212" s="109">
        <v>0</v>
      </c>
      <c r="BR212" s="109">
        <v>0</v>
      </c>
      <c r="BS212" s="109"/>
      <c r="BT212" s="109">
        <v>0</v>
      </c>
      <c r="BU212" s="109">
        <v>0</v>
      </c>
      <c r="BV212" s="109"/>
      <c r="BW212" s="109">
        <v>0</v>
      </c>
      <c r="BX212" s="109">
        <v>0</v>
      </c>
      <c r="BY212" s="109"/>
      <c r="BZ212" s="109">
        <v>0</v>
      </c>
      <c r="CA212" s="109"/>
      <c r="CB212" s="109"/>
      <c r="CC212" s="109"/>
      <c r="CD212" s="110"/>
    </row>
    <row r="213" spans="1:82" ht="13.9" customHeight="1" x14ac:dyDescent="0.2">
      <c r="A213" s="12">
        <v>639</v>
      </c>
      <c r="B213" s="12" t="s">
        <v>4160</v>
      </c>
      <c r="C213" s="78" t="s">
        <v>335</v>
      </c>
      <c r="D213" s="107" t="s">
        <v>232</v>
      </c>
      <c r="E213" s="99" t="s">
        <v>6757</v>
      </c>
      <c r="F213" s="100">
        <v>45400</v>
      </c>
      <c r="G213" s="100">
        <v>45400</v>
      </c>
      <c r="H213" s="101">
        <f t="shared" si="18"/>
        <v>45520</v>
      </c>
      <c r="I213" s="101" t="s">
        <v>291</v>
      </c>
      <c r="J213" s="12" t="s">
        <v>4358</v>
      </c>
      <c r="K213" s="12" t="s">
        <v>1147</v>
      </c>
      <c r="L213" s="12" t="s">
        <v>1868</v>
      </c>
      <c r="M213" s="102" t="str">
        <f t="shared" si="19"/>
        <v>QUINTERO  HERRERA MARICELA</v>
      </c>
      <c r="N213" s="102" t="s">
        <v>7169</v>
      </c>
      <c r="O213" s="102" t="s">
        <v>4803</v>
      </c>
      <c r="P213" s="12" t="s">
        <v>1953</v>
      </c>
      <c r="Q213" s="100">
        <v>26465</v>
      </c>
      <c r="R213" s="77">
        <f t="shared" si="20"/>
        <v>15</v>
      </c>
      <c r="S213" s="77">
        <f t="shared" si="21"/>
        <v>6</v>
      </c>
      <c r="T213" s="77">
        <f t="shared" si="22"/>
        <v>1972</v>
      </c>
      <c r="U213" s="103">
        <f t="shared" ca="1" si="23"/>
        <v>54.361643835616441</v>
      </c>
      <c r="V213" s="13" t="s">
        <v>308</v>
      </c>
      <c r="W213" s="13" t="s">
        <v>2213</v>
      </c>
      <c r="X213" s="12" t="s">
        <v>310</v>
      </c>
      <c r="Y213" s="12" t="s">
        <v>222</v>
      </c>
      <c r="Z213" s="12" t="s">
        <v>233</v>
      </c>
      <c r="AA213" s="12" t="s">
        <v>857</v>
      </c>
      <c r="AB213" s="12" t="s">
        <v>2295</v>
      </c>
      <c r="AC213" s="12" t="s">
        <v>313</v>
      </c>
      <c r="AD213" s="12" t="s">
        <v>314</v>
      </c>
      <c r="AE213" s="12">
        <v>120</v>
      </c>
      <c r="AF213" s="13" t="s">
        <v>315</v>
      </c>
      <c r="AG213" s="12" t="s">
        <v>291</v>
      </c>
      <c r="AH213" s="104" t="s">
        <v>843</v>
      </c>
      <c r="AI213" s="12" t="s">
        <v>317</v>
      </c>
      <c r="AJ213" s="12" t="s">
        <v>318</v>
      </c>
      <c r="AK213" s="12" t="s">
        <v>2818</v>
      </c>
      <c r="AL213" s="104" t="s">
        <v>3117</v>
      </c>
      <c r="AM213" s="12" t="s">
        <v>2586</v>
      </c>
      <c r="AN213" s="12" t="s">
        <v>325</v>
      </c>
      <c r="AO213" s="12" t="s">
        <v>398</v>
      </c>
      <c r="AP213" s="12"/>
      <c r="AQ213" s="12" t="s">
        <v>3321</v>
      </c>
      <c r="AR213" s="12">
        <v>120</v>
      </c>
      <c r="AS213" s="12" t="s">
        <v>328</v>
      </c>
      <c r="AT213" s="12" t="s">
        <v>483</v>
      </c>
      <c r="AU213" s="12" t="s">
        <v>483</v>
      </c>
      <c r="AV213" s="12">
        <v>78399</v>
      </c>
      <c r="AW213" s="12" t="s">
        <v>357</v>
      </c>
      <c r="AX213" s="12" t="s">
        <v>357</v>
      </c>
      <c r="AY213" s="12" t="s">
        <v>357</v>
      </c>
      <c r="AZ213" s="12"/>
      <c r="BA213" s="12"/>
      <c r="BB213" s="12"/>
      <c r="BC213" s="12"/>
      <c r="BD213" s="12" t="s">
        <v>2586</v>
      </c>
      <c r="BE213" s="12" t="s">
        <v>325</v>
      </c>
      <c r="BF213" s="12" t="s">
        <v>3769</v>
      </c>
      <c r="BG213" s="12" t="s">
        <v>685</v>
      </c>
      <c r="BH213" s="12" t="s">
        <v>334</v>
      </c>
      <c r="BI213" s="12" t="s">
        <v>3831</v>
      </c>
      <c r="BJ213" s="12"/>
      <c r="BK213" s="12"/>
      <c r="BL213" s="105"/>
      <c r="BM213" s="12"/>
      <c r="BN213" s="12"/>
      <c r="BO213" s="105"/>
      <c r="BP213" s="12"/>
      <c r="BQ213" s="12"/>
      <c r="BR213" s="12"/>
      <c r="BS213" s="12"/>
      <c r="BT213" s="12"/>
      <c r="BU213" s="12"/>
      <c r="BV213" s="12"/>
      <c r="BW213" s="12"/>
      <c r="BX213" s="12"/>
      <c r="BY213" s="12"/>
      <c r="BZ213" s="12"/>
      <c r="CA213" s="12"/>
      <c r="CB213" s="12"/>
      <c r="CC213" s="12"/>
      <c r="CD213" s="78"/>
    </row>
    <row r="214" spans="1:82" ht="13.9" customHeight="1" x14ac:dyDescent="0.2">
      <c r="A214" s="12">
        <v>583</v>
      </c>
      <c r="B214" s="12" t="s">
        <v>4068</v>
      </c>
      <c r="C214" s="78" t="s">
        <v>335</v>
      </c>
      <c r="D214" s="99" t="s">
        <v>133</v>
      </c>
      <c r="E214" s="99" t="s">
        <v>6584</v>
      </c>
      <c r="F214" s="100">
        <v>45404</v>
      </c>
      <c r="G214" s="100">
        <v>45404</v>
      </c>
      <c r="H214" s="101">
        <f t="shared" si="18"/>
        <v>45494</v>
      </c>
      <c r="I214" s="101" t="s">
        <v>290</v>
      </c>
      <c r="J214" s="12" t="s">
        <v>366</v>
      </c>
      <c r="K214" s="12" t="s">
        <v>4334</v>
      </c>
      <c r="L214" s="12" t="s">
        <v>1793</v>
      </c>
      <c r="M214" s="102" t="str">
        <f t="shared" si="19"/>
        <v>HERNANDEZ AGUILAR JUAN FELIPE</v>
      </c>
      <c r="N214" s="102" t="s">
        <v>6985</v>
      </c>
      <c r="O214" s="102" t="s">
        <v>4658</v>
      </c>
      <c r="P214" s="12" t="s">
        <v>1953</v>
      </c>
      <c r="Q214" s="100">
        <v>34625</v>
      </c>
      <c r="R214" s="77">
        <f t="shared" si="20"/>
        <v>18</v>
      </c>
      <c r="S214" s="77">
        <f t="shared" si="21"/>
        <v>10</v>
      </c>
      <c r="T214" s="77">
        <f t="shared" si="22"/>
        <v>1994</v>
      </c>
      <c r="U214" s="103">
        <f t="shared" ca="1" si="23"/>
        <v>32.005479452054793</v>
      </c>
      <c r="V214" s="13" t="s">
        <v>342</v>
      </c>
      <c r="W214" s="13" t="s">
        <v>2070</v>
      </c>
      <c r="X214" s="12" t="s">
        <v>1497</v>
      </c>
      <c r="Y214" s="12" t="s">
        <v>135</v>
      </c>
      <c r="Z214" s="12" t="s">
        <v>136</v>
      </c>
      <c r="AA214" s="12" t="s">
        <v>347</v>
      </c>
      <c r="AB214" s="12" t="s">
        <v>670</v>
      </c>
      <c r="AC214" s="12" t="s">
        <v>313</v>
      </c>
      <c r="AD214" s="12" t="s">
        <v>314</v>
      </c>
      <c r="AE214" s="12">
        <v>90</v>
      </c>
      <c r="AF214" s="13" t="s">
        <v>671</v>
      </c>
      <c r="AG214" s="12" t="s">
        <v>290</v>
      </c>
      <c r="AH214" s="104" t="s">
        <v>672</v>
      </c>
      <c r="AI214" s="12" t="s">
        <v>317</v>
      </c>
      <c r="AJ214" s="12" t="s">
        <v>318</v>
      </c>
      <c r="AK214" s="12" t="s">
        <v>2710</v>
      </c>
      <c r="AL214" s="104" t="s">
        <v>2976</v>
      </c>
      <c r="AM214" s="12" t="s">
        <v>2451</v>
      </c>
      <c r="AN214" s="12" t="s">
        <v>381</v>
      </c>
      <c r="AO214" s="12" t="s">
        <v>398</v>
      </c>
      <c r="AP214" s="12"/>
      <c r="AQ214" s="12" t="s">
        <v>3256</v>
      </c>
      <c r="AR214" s="12">
        <v>9706</v>
      </c>
      <c r="AS214" s="12" t="s">
        <v>328</v>
      </c>
      <c r="AT214" s="12" t="s">
        <v>133</v>
      </c>
      <c r="AU214" s="12" t="s">
        <v>912</v>
      </c>
      <c r="AV214" s="12">
        <v>64219</v>
      </c>
      <c r="AW214" s="12" t="s">
        <v>329</v>
      </c>
      <c r="AX214" s="12">
        <v>0</v>
      </c>
      <c r="AY214" s="12">
        <v>0</v>
      </c>
      <c r="AZ214" s="12"/>
      <c r="BA214" s="12"/>
      <c r="BB214" s="12"/>
      <c r="BC214" s="12"/>
      <c r="BD214" s="12" t="s">
        <v>2451</v>
      </c>
      <c r="BE214" s="12" t="s">
        <v>381</v>
      </c>
      <c r="BF214" s="12" t="s">
        <v>3660</v>
      </c>
      <c r="BG214" s="12" t="s">
        <v>488</v>
      </c>
      <c r="BH214" s="12" t="s">
        <v>334</v>
      </c>
      <c r="BI214" s="12" t="s">
        <v>3831</v>
      </c>
      <c r="BJ214" s="12" t="s">
        <v>3888</v>
      </c>
      <c r="BK214" s="12" t="s">
        <v>571</v>
      </c>
      <c r="BL214" s="105" t="s">
        <v>3926</v>
      </c>
      <c r="BM214" s="12"/>
      <c r="BN214" s="12">
        <v>0</v>
      </c>
      <c r="BO214" s="105">
        <v>0</v>
      </c>
      <c r="BP214" s="12"/>
      <c r="BQ214" s="12">
        <v>0</v>
      </c>
      <c r="BR214" s="12">
        <v>0</v>
      </c>
      <c r="BS214" s="12"/>
      <c r="BT214" s="12">
        <v>0</v>
      </c>
      <c r="BU214" s="12">
        <v>0</v>
      </c>
      <c r="BV214" s="12"/>
      <c r="BW214" s="12">
        <v>0</v>
      </c>
      <c r="BX214" s="12">
        <v>0</v>
      </c>
      <c r="BY214" s="12"/>
      <c r="BZ214" s="12">
        <v>0</v>
      </c>
      <c r="CA214" s="12"/>
      <c r="CB214" s="12"/>
      <c r="CC214" s="12"/>
      <c r="CD214" s="78"/>
    </row>
    <row r="215" spans="1:82" s="116" customFormat="1" ht="13.9" customHeight="1" x14ac:dyDescent="0.2">
      <c r="A215" s="107">
        <v>643</v>
      </c>
      <c r="B215" s="107" t="s">
        <v>4215</v>
      </c>
      <c r="C215" s="78" t="s">
        <v>363</v>
      </c>
      <c r="D215" s="107" t="s">
        <v>98</v>
      </c>
      <c r="E215" s="99" t="s">
        <v>6585</v>
      </c>
      <c r="F215" s="100">
        <v>45404</v>
      </c>
      <c r="G215" s="117">
        <v>45404</v>
      </c>
      <c r="H215" s="101">
        <f t="shared" si="18"/>
        <v>45494</v>
      </c>
      <c r="I215" s="101" t="s">
        <v>291</v>
      </c>
      <c r="J215" s="12" t="s">
        <v>507</v>
      </c>
      <c r="K215" s="12" t="s">
        <v>4534</v>
      </c>
      <c r="L215" s="12" t="s">
        <v>1892</v>
      </c>
      <c r="M215" s="102" t="str">
        <f t="shared" si="19"/>
        <v>MARTINEZ SALDIVAR DAVID</v>
      </c>
      <c r="N215" s="102" t="s">
        <v>6986</v>
      </c>
      <c r="O215" s="102" t="s">
        <v>4828</v>
      </c>
      <c r="P215" s="12" t="s">
        <v>1953</v>
      </c>
      <c r="Q215" s="100">
        <v>27254</v>
      </c>
      <c r="R215" s="77">
        <f t="shared" si="20"/>
        <v>13</v>
      </c>
      <c r="S215" s="77">
        <f t="shared" si="21"/>
        <v>8</v>
      </c>
      <c r="T215" s="77">
        <f t="shared" si="22"/>
        <v>1974</v>
      </c>
      <c r="U215" s="103">
        <f t="shared" ca="1" si="23"/>
        <v>52.2</v>
      </c>
      <c r="V215" s="13" t="s">
        <v>342</v>
      </c>
      <c r="W215" s="13" t="s">
        <v>2239</v>
      </c>
      <c r="X215" s="12" t="s">
        <v>454</v>
      </c>
      <c r="Y215" s="107" t="s">
        <v>258</v>
      </c>
      <c r="Z215" s="12" t="s">
        <v>257</v>
      </c>
      <c r="AA215" s="12" t="s">
        <v>2276</v>
      </c>
      <c r="AB215" s="12" t="s">
        <v>596</v>
      </c>
      <c r="AC215" s="12" t="s">
        <v>313</v>
      </c>
      <c r="AD215" s="12" t="s">
        <v>314</v>
      </c>
      <c r="AE215" s="12">
        <v>90</v>
      </c>
      <c r="AF215" s="13" t="s">
        <v>597</v>
      </c>
      <c r="AG215" s="12" t="s">
        <v>290</v>
      </c>
      <c r="AH215" s="104" t="s">
        <v>598</v>
      </c>
      <c r="AI215" s="12" t="s">
        <v>317</v>
      </c>
      <c r="AJ215" s="12" t="s">
        <v>318</v>
      </c>
      <c r="AK215" s="12" t="s">
        <v>747</v>
      </c>
      <c r="AL215" s="104" t="s">
        <v>3143</v>
      </c>
      <c r="AM215" s="12" t="s">
        <v>2611</v>
      </c>
      <c r="AN215" s="12" t="s">
        <v>381</v>
      </c>
      <c r="AO215" s="12" t="s">
        <v>327</v>
      </c>
      <c r="AP215" s="12"/>
      <c r="AQ215" s="12" t="s">
        <v>580</v>
      </c>
      <c r="AR215" s="12">
        <v>712</v>
      </c>
      <c r="AS215" s="12" t="s">
        <v>328</v>
      </c>
      <c r="AT215" s="12" t="s">
        <v>105</v>
      </c>
      <c r="AU215" s="12" t="s">
        <v>105</v>
      </c>
      <c r="AV215" s="12">
        <v>20040</v>
      </c>
      <c r="AW215" s="12" t="s">
        <v>329</v>
      </c>
      <c r="AX215" s="12">
        <v>0</v>
      </c>
      <c r="AY215" s="12">
        <v>0</v>
      </c>
      <c r="AZ215" s="12"/>
      <c r="BA215" s="12"/>
      <c r="BB215" s="12"/>
      <c r="BC215" s="12"/>
      <c r="BD215" s="12" t="s">
        <v>2611</v>
      </c>
      <c r="BE215" s="12" t="s">
        <v>381</v>
      </c>
      <c r="BF215" s="12" t="s">
        <v>3791</v>
      </c>
      <c r="BG215" s="12" t="s">
        <v>1462</v>
      </c>
      <c r="BH215" s="12" t="s">
        <v>334</v>
      </c>
      <c r="BI215" s="12" t="s">
        <v>3831</v>
      </c>
      <c r="BJ215" s="12" t="s">
        <v>3888</v>
      </c>
      <c r="BK215" s="12" t="s">
        <v>571</v>
      </c>
      <c r="BL215" s="105" t="s">
        <v>3948</v>
      </c>
      <c r="BM215" s="12"/>
      <c r="BN215" s="12" t="s">
        <v>571</v>
      </c>
      <c r="BO215" s="105" t="s">
        <v>3956</v>
      </c>
      <c r="BP215" s="12"/>
      <c r="BQ215" s="12" t="s">
        <v>571</v>
      </c>
      <c r="BR215" s="12" t="s">
        <v>3915</v>
      </c>
      <c r="BS215" s="12"/>
      <c r="BT215" s="12" t="s">
        <v>3911</v>
      </c>
      <c r="BU215" s="12"/>
      <c r="BV215" s="12"/>
      <c r="BW215" s="12" t="s">
        <v>3911</v>
      </c>
      <c r="BX215" s="12">
        <v>0</v>
      </c>
      <c r="BY215" s="12"/>
      <c r="BZ215" s="12">
        <v>0</v>
      </c>
      <c r="CA215" s="12"/>
      <c r="CB215" s="12"/>
      <c r="CC215" s="12"/>
      <c r="CD215" s="110"/>
    </row>
    <row r="216" spans="1:82" ht="13.9" customHeight="1" x14ac:dyDescent="0.2">
      <c r="A216" s="12">
        <v>882</v>
      </c>
      <c r="B216" s="12" t="s">
        <v>4248</v>
      </c>
      <c r="C216" s="104" t="s">
        <v>299</v>
      </c>
      <c r="D216" s="99" t="s">
        <v>80</v>
      </c>
      <c r="E216" s="99" t="s">
        <v>6586</v>
      </c>
      <c r="F216" s="100">
        <v>45404</v>
      </c>
      <c r="G216" s="100">
        <v>45404</v>
      </c>
      <c r="H216" s="101">
        <f t="shared" si="18"/>
        <v>45494</v>
      </c>
      <c r="I216" s="101" t="s">
        <v>291</v>
      </c>
      <c r="J216" s="12" t="s">
        <v>507</v>
      </c>
      <c r="K216" s="12" t="s">
        <v>4507</v>
      </c>
      <c r="L216" s="12" t="s">
        <v>1867</v>
      </c>
      <c r="M216" s="102" t="str">
        <f t="shared" si="19"/>
        <v>MARTINEZ ZAVALA IRVING JOEL</v>
      </c>
      <c r="N216" s="102" t="s">
        <v>6987</v>
      </c>
      <c r="O216" s="102" t="s">
        <v>4751</v>
      </c>
      <c r="P216" s="12" t="s">
        <v>1953</v>
      </c>
      <c r="Q216" s="100">
        <v>35821</v>
      </c>
      <c r="R216" s="77">
        <f t="shared" si="20"/>
        <v>26</v>
      </c>
      <c r="S216" s="77">
        <f t="shared" si="21"/>
        <v>1</v>
      </c>
      <c r="T216" s="77">
        <f t="shared" si="22"/>
        <v>1998</v>
      </c>
      <c r="U216" s="103">
        <f t="shared" ca="1" si="23"/>
        <v>28.728767123287671</v>
      </c>
      <c r="V216" s="13" t="s">
        <v>389</v>
      </c>
      <c r="W216" s="13" t="s">
        <v>2162</v>
      </c>
      <c r="X216" s="12" t="s">
        <v>693</v>
      </c>
      <c r="Y216" s="12" t="s">
        <v>176</v>
      </c>
      <c r="Z216" s="12" t="s">
        <v>170</v>
      </c>
      <c r="AA216" s="12" t="s">
        <v>432</v>
      </c>
      <c r="AB216" s="12" t="s">
        <v>2303</v>
      </c>
      <c r="AC216" s="12" t="s">
        <v>313</v>
      </c>
      <c r="AD216" s="12" t="s">
        <v>314</v>
      </c>
      <c r="AE216" s="12">
        <v>90</v>
      </c>
      <c r="AF216" s="13" t="s">
        <v>315</v>
      </c>
      <c r="AG216" s="12" t="s">
        <v>291</v>
      </c>
      <c r="AH216" s="104" t="s">
        <v>1329</v>
      </c>
      <c r="AI216" s="12" t="s">
        <v>317</v>
      </c>
      <c r="AJ216" s="12" t="s">
        <v>318</v>
      </c>
      <c r="AK216" s="12" t="s">
        <v>2776</v>
      </c>
      <c r="AL216" s="104" t="s">
        <v>3068</v>
      </c>
      <c r="AM216" s="12" t="s">
        <v>2539</v>
      </c>
      <c r="AN216" s="12" t="s">
        <v>325</v>
      </c>
      <c r="AO216" s="12" t="s">
        <v>398</v>
      </c>
      <c r="AP216" s="12"/>
      <c r="AQ216" s="12" t="s">
        <v>3298</v>
      </c>
      <c r="AR216" s="12">
        <v>172</v>
      </c>
      <c r="AS216" s="12" t="s">
        <v>328</v>
      </c>
      <c r="AT216" s="12" t="s">
        <v>483</v>
      </c>
      <c r="AU216" s="12" t="s">
        <v>483</v>
      </c>
      <c r="AV216" s="12">
        <v>78399</v>
      </c>
      <c r="AW216" s="12" t="s">
        <v>357</v>
      </c>
      <c r="AX216" s="12" t="s">
        <v>357</v>
      </c>
      <c r="AY216" s="12" t="s">
        <v>357</v>
      </c>
      <c r="AZ216" s="12"/>
      <c r="BA216" s="12"/>
      <c r="BB216" s="12"/>
      <c r="BC216" s="12"/>
      <c r="BD216" s="12" t="s">
        <v>2539</v>
      </c>
      <c r="BE216" s="12" t="s">
        <v>325</v>
      </c>
      <c r="BF216" s="12" t="s">
        <v>3730</v>
      </c>
      <c r="BG216" s="12" t="s">
        <v>333</v>
      </c>
      <c r="BH216" s="12" t="s">
        <v>334</v>
      </c>
      <c r="BI216" s="12" t="s">
        <v>3831</v>
      </c>
      <c r="BJ216" s="12" t="s">
        <v>3831</v>
      </c>
      <c r="BK216" s="12"/>
      <c r="BL216" s="105"/>
      <c r="BM216" s="12"/>
      <c r="BN216" s="12"/>
      <c r="BO216" s="105"/>
      <c r="BP216" s="12"/>
      <c r="BQ216" s="12"/>
      <c r="BR216" s="12"/>
      <c r="BS216" s="12"/>
      <c r="BT216" s="12"/>
      <c r="BU216" s="12"/>
      <c r="BV216" s="12"/>
      <c r="BW216" s="12"/>
      <c r="BX216" s="12"/>
      <c r="BY216" s="12"/>
      <c r="BZ216" s="12"/>
      <c r="CA216" s="12"/>
      <c r="CB216" s="12"/>
      <c r="CC216" s="12"/>
      <c r="CD216" s="78"/>
    </row>
    <row r="217" spans="1:82" s="116" customFormat="1" ht="13.9" customHeight="1" x14ac:dyDescent="0.2">
      <c r="A217" s="109">
        <v>642</v>
      </c>
      <c r="B217" s="109" t="s">
        <v>4052</v>
      </c>
      <c r="C217" s="110" t="s">
        <v>335</v>
      </c>
      <c r="D217" s="111" t="s">
        <v>105</v>
      </c>
      <c r="E217" s="111" t="s">
        <v>6587</v>
      </c>
      <c r="F217" s="112">
        <v>45406</v>
      </c>
      <c r="G217" s="112">
        <v>45406</v>
      </c>
      <c r="H217" s="113">
        <f t="shared" si="18"/>
        <v>45496</v>
      </c>
      <c r="I217" s="113" t="s">
        <v>290</v>
      </c>
      <c r="J217" s="109" t="s">
        <v>960</v>
      </c>
      <c r="K217" s="109" t="s">
        <v>447</v>
      </c>
      <c r="L217" s="109" t="s">
        <v>1771</v>
      </c>
      <c r="M217" s="128" t="str">
        <f t="shared" si="19"/>
        <v>TORRES GARCIA FELIPE DE JESUS</v>
      </c>
      <c r="N217" s="128" t="s">
        <v>6988</v>
      </c>
      <c r="O217" s="128" t="s">
        <v>4634</v>
      </c>
      <c r="P217" s="109" t="s">
        <v>1953</v>
      </c>
      <c r="Q217" s="112">
        <v>37972</v>
      </c>
      <c r="R217" s="125">
        <f t="shared" si="20"/>
        <v>17</v>
      </c>
      <c r="S217" s="125">
        <f t="shared" si="21"/>
        <v>12</v>
      </c>
      <c r="T217" s="125">
        <f t="shared" si="22"/>
        <v>2003</v>
      </c>
      <c r="U217" s="142">
        <f t="shared" ca="1" si="23"/>
        <v>22.835616438356166</v>
      </c>
      <c r="V217" s="114" t="s">
        <v>342</v>
      </c>
      <c r="W217" s="114" t="s">
        <v>2046</v>
      </c>
      <c r="X217" s="109" t="s">
        <v>454</v>
      </c>
      <c r="Y217" s="109" t="s">
        <v>114</v>
      </c>
      <c r="Z217" s="109" t="s">
        <v>111</v>
      </c>
      <c r="AA217" s="109" t="s">
        <v>347</v>
      </c>
      <c r="AB217" s="109" t="s">
        <v>858</v>
      </c>
      <c r="AC217" s="109" t="s">
        <v>313</v>
      </c>
      <c r="AD217" s="109" t="s">
        <v>314</v>
      </c>
      <c r="AE217" s="109">
        <v>90</v>
      </c>
      <c r="AF217" s="114" t="s">
        <v>859</v>
      </c>
      <c r="AG217" s="109" t="s">
        <v>290</v>
      </c>
      <c r="AH217" s="115" t="s">
        <v>860</v>
      </c>
      <c r="AI217" s="109" t="s">
        <v>317</v>
      </c>
      <c r="AJ217" s="109" t="s">
        <v>318</v>
      </c>
      <c r="AK217" s="109" t="s">
        <v>2692</v>
      </c>
      <c r="AL217" s="115" t="s">
        <v>2952</v>
      </c>
      <c r="AM217" s="109" t="s">
        <v>2433</v>
      </c>
      <c r="AN217" s="109" t="s">
        <v>325</v>
      </c>
      <c r="AO217" s="109" t="s">
        <v>398</v>
      </c>
      <c r="AP217" s="109"/>
      <c r="AQ217" s="109" t="s">
        <v>3244</v>
      </c>
      <c r="AR217" s="109">
        <v>305</v>
      </c>
      <c r="AS217" s="109" t="s">
        <v>328</v>
      </c>
      <c r="AT217" s="109" t="s">
        <v>105</v>
      </c>
      <c r="AU217" s="109" t="s">
        <v>105</v>
      </c>
      <c r="AV217" s="109">
        <v>20340</v>
      </c>
      <c r="AW217" s="109" t="s">
        <v>357</v>
      </c>
      <c r="AX217" s="109" t="s">
        <v>357</v>
      </c>
      <c r="AY217" s="109" t="s">
        <v>357</v>
      </c>
      <c r="AZ217" s="109"/>
      <c r="BA217" s="109"/>
      <c r="BB217" s="109"/>
      <c r="BC217" s="109"/>
      <c r="BD217" s="109" t="s">
        <v>2433</v>
      </c>
      <c r="BE217" s="109" t="s">
        <v>325</v>
      </c>
      <c r="BF217" s="109" t="s">
        <v>3640</v>
      </c>
      <c r="BG217" s="109" t="s">
        <v>685</v>
      </c>
      <c r="BH217" s="109" t="s">
        <v>334</v>
      </c>
      <c r="BI217" s="109" t="s">
        <v>3831</v>
      </c>
      <c r="BJ217" s="109" t="s">
        <v>3831</v>
      </c>
      <c r="BK217" s="109"/>
      <c r="BL217" s="111"/>
      <c r="BM217" s="109"/>
      <c r="BN217" s="109"/>
      <c r="BO217" s="111"/>
      <c r="BP217" s="109"/>
      <c r="BQ217" s="109"/>
      <c r="BR217" s="109"/>
      <c r="BS217" s="109"/>
      <c r="BT217" s="109"/>
      <c r="BU217" s="109"/>
      <c r="BV217" s="109"/>
      <c r="BW217" s="109"/>
      <c r="BX217" s="109"/>
      <c r="BY217" s="109"/>
      <c r="BZ217" s="109"/>
      <c r="CA217" s="109"/>
      <c r="CB217" s="109"/>
      <c r="CC217" s="109"/>
      <c r="CD217" s="110"/>
    </row>
    <row r="218" spans="1:82" ht="13.9" customHeight="1" x14ac:dyDescent="0.2">
      <c r="A218" s="12">
        <v>644</v>
      </c>
      <c r="B218" s="12" t="s">
        <v>4161</v>
      </c>
      <c r="C218" s="78" t="s">
        <v>335</v>
      </c>
      <c r="D218" s="107" t="s">
        <v>232</v>
      </c>
      <c r="E218" s="99" t="s">
        <v>6758</v>
      </c>
      <c r="F218" s="100">
        <v>45414</v>
      </c>
      <c r="G218" s="100">
        <v>45414</v>
      </c>
      <c r="H218" s="101">
        <f t="shared" si="18"/>
        <v>45504</v>
      </c>
      <c r="I218" s="101" t="s">
        <v>291</v>
      </c>
      <c r="J218" s="12" t="s">
        <v>4416</v>
      </c>
      <c r="K218" s="12" t="s">
        <v>4527</v>
      </c>
      <c r="L218" s="12" t="s">
        <v>1910</v>
      </c>
      <c r="M218" s="102" t="str">
        <f t="shared" si="19"/>
        <v xml:space="preserve">ALEMAN BUENO PAOLA </v>
      </c>
      <c r="N218" s="102" t="s">
        <v>7170</v>
      </c>
      <c r="O218" s="102" t="s">
        <v>4804</v>
      </c>
      <c r="P218" s="12" t="s">
        <v>1953</v>
      </c>
      <c r="Q218" s="100">
        <v>30234</v>
      </c>
      <c r="R218" s="77">
        <f t="shared" si="20"/>
        <v>10</v>
      </c>
      <c r="S218" s="77">
        <f t="shared" si="21"/>
        <v>10</v>
      </c>
      <c r="T218" s="77">
        <f t="shared" si="22"/>
        <v>1982</v>
      </c>
      <c r="U218" s="103">
        <f t="shared" ca="1" si="23"/>
        <v>44.035616438356165</v>
      </c>
      <c r="V218" s="13" t="s">
        <v>308</v>
      </c>
      <c r="W218" s="13" t="s">
        <v>2214</v>
      </c>
      <c r="X218" s="12" t="s">
        <v>310</v>
      </c>
      <c r="Y218" s="12" t="s">
        <v>217</v>
      </c>
      <c r="Z218" s="12" t="s">
        <v>233</v>
      </c>
      <c r="AA218" s="12" t="s">
        <v>857</v>
      </c>
      <c r="AB218" s="12" t="s">
        <v>2295</v>
      </c>
      <c r="AC218" s="12" t="s">
        <v>313</v>
      </c>
      <c r="AD218" s="12" t="s">
        <v>314</v>
      </c>
      <c r="AE218" s="12">
        <v>90</v>
      </c>
      <c r="AF218" s="13" t="s">
        <v>315</v>
      </c>
      <c r="AG218" s="12" t="s">
        <v>291</v>
      </c>
      <c r="AH218" s="104" t="s">
        <v>843</v>
      </c>
      <c r="AI218" s="12" t="s">
        <v>317</v>
      </c>
      <c r="AJ218" s="12" t="s">
        <v>318</v>
      </c>
      <c r="AK218" s="12" t="s">
        <v>2819</v>
      </c>
      <c r="AL218" s="104" t="s">
        <v>3118</v>
      </c>
      <c r="AM218" s="12" t="s">
        <v>2587</v>
      </c>
      <c r="AN218" s="12" t="s">
        <v>325</v>
      </c>
      <c r="AO218" s="12" t="s">
        <v>398</v>
      </c>
      <c r="AP218" s="12"/>
      <c r="AQ218" s="12" t="s">
        <v>3322</v>
      </c>
      <c r="AR218" s="12">
        <v>111</v>
      </c>
      <c r="AS218" s="12" t="s">
        <v>328</v>
      </c>
      <c r="AT218" s="12" t="s">
        <v>483</v>
      </c>
      <c r="AU218" s="12" t="s">
        <v>483</v>
      </c>
      <c r="AV218" s="12">
        <v>78150</v>
      </c>
      <c r="AW218" s="12" t="s">
        <v>357</v>
      </c>
      <c r="AX218" s="12" t="s">
        <v>357</v>
      </c>
      <c r="AY218" s="12" t="s">
        <v>357</v>
      </c>
      <c r="AZ218" s="12"/>
      <c r="BA218" s="12"/>
      <c r="BB218" s="12"/>
      <c r="BC218" s="12"/>
      <c r="BD218" s="12" t="s">
        <v>3554</v>
      </c>
      <c r="BE218" s="12" t="s">
        <v>401</v>
      </c>
      <c r="BF218" s="12" t="s">
        <v>3770</v>
      </c>
      <c r="BG218" s="12" t="s">
        <v>488</v>
      </c>
      <c r="BH218" s="12" t="s">
        <v>334</v>
      </c>
      <c r="BI218" s="12" t="s">
        <v>3831</v>
      </c>
      <c r="BJ218" s="12"/>
      <c r="BK218" s="12"/>
      <c r="BL218" s="105"/>
      <c r="BM218" s="12"/>
      <c r="BN218" s="12"/>
      <c r="BO218" s="105"/>
      <c r="BP218" s="12"/>
      <c r="BQ218" s="12"/>
      <c r="BR218" s="12"/>
      <c r="BS218" s="12"/>
      <c r="BT218" s="12"/>
      <c r="BU218" s="12"/>
      <c r="BV218" s="12"/>
      <c r="BW218" s="12"/>
      <c r="BX218" s="12"/>
      <c r="BY218" s="12"/>
      <c r="BZ218" s="12"/>
      <c r="CA218" s="12"/>
      <c r="CB218" s="12"/>
      <c r="CC218" s="12"/>
      <c r="CD218" s="78"/>
    </row>
    <row r="219" spans="1:82" s="116" customFormat="1" ht="13.9" customHeight="1" x14ac:dyDescent="0.2">
      <c r="A219" s="109">
        <v>649</v>
      </c>
      <c r="B219" s="109" t="s">
        <v>7262</v>
      </c>
      <c r="C219" s="110" t="s">
        <v>299</v>
      </c>
      <c r="D219" s="111" t="s">
        <v>80</v>
      </c>
      <c r="E219" s="111" t="s">
        <v>6588</v>
      </c>
      <c r="F219" s="112">
        <v>45421</v>
      </c>
      <c r="G219" s="112">
        <v>45421</v>
      </c>
      <c r="H219" s="113">
        <f t="shared" si="18"/>
        <v>45511</v>
      </c>
      <c r="I219" s="113" t="s">
        <v>291</v>
      </c>
      <c r="J219" s="109" t="s">
        <v>4417</v>
      </c>
      <c r="K219" s="109" t="s">
        <v>4482</v>
      </c>
      <c r="L219" s="109" t="s">
        <v>1911</v>
      </c>
      <c r="M219" s="128" t="str">
        <f t="shared" si="19"/>
        <v>DEL ANGEL AMARO EARVIN MISAEL</v>
      </c>
      <c r="N219" s="128" t="s">
        <v>6989</v>
      </c>
      <c r="O219" s="128" t="s">
        <v>4805</v>
      </c>
      <c r="P219" s="109" t="s">
        <v>1953</v>
      </c>
      <c r="Q219" s="112">
        <v>33266</v>
      </c>
      <c r="R219" s="125">
        <f t="shared" si="20"/>
        <v>28</v>
      </c>
      <c r="S219" s="125">
        <f t="shared" si="21"/>
        <v>1</v>
      </c>
      <c r="T219" s="125">
        <f t="shared" si="22"/>
        <v>1991</v>
      </c>
      <c r="U219" s="142">
        <f t="shared" ca="1" si="23"/>
        <v>35.728767123287675</v>
      </c>
      <c r="V219" s="114" t="s">
        <v>389</v>
      </c>
      <c r="W219" s="114" t="s">
        <v>2215</v>
      </c>
      <c r="X219" s="109" t="s">
        <v>693</v>
      </c>
      <c r="Y219" s="120" t="s">
        <v>219</v>
      </c>
      <c r="Z219" s="109" t="s">
        <v>152</v>
      </c>
      <c r="AA219" s="109" t="s">
        <v>2271</v>
      </c>
      <c r="AB219" s="109" t="s">
        <v>2295</v>
      </c>
      <c r="AC219" s="109" t="s">
        <v>313</v>
      </c>
      <c r="AD219" s="109" t="s">
        <v>314</v>
      </c>
      <c r="AE219" s="109">
        <v>90</v>
      </c>
      <c r="AF219" s="114" t="s">
        <v>315</v>
      </c>
      <c r="AG219" s="109" t="s">
        <v>291</v>
      </c>
      <c r="AH219" s="115" t="s">
        <v>843</v>
      </c>
      <c r="AI219" s="109" t="s">
        <v>317</v>
      </c>
      <c r="AJ219" s="109" t="s">
        <v>318</v>
      </c>
      <c r="AK219" s="109" t="s">
        <v>2820</v>
      </c>
      <c r="AL219" s="115" t="s">
        <v>3119</v>
      </c>
      <c r="AM219" s="109" t="s">
        <v>2588</v>
      </c>
      <c r="AN219" s="109" t="s">
        <v>3187</v>
      </c>
      <c r="AO219" s="109" t="s">
        <v>398</v>
      </c>
      <c r="AP219" s="109"/>
      <c r="AQ219" s="109" t="s">
        <v>3323</v>
      </c>
      <c r="AR219" s="109">
        <v>2390</v>
      </c>
      <c r="AS219" s="109" t="s">
        <v>328</v>
      </c>
      <c r="AT219" s="109" t="s">
        <v>483</v>
      </c>
      <c r="AU219" s="109" t="s">
        <v>483</v>
      </c>
      <c r="AV219" s="109">
        <v>78395</v>
      </c>
      <c r="AW219" s="109" t="s">
        <v>357</v>
      </c>
      <c r="AX219" s="109" t="s">
        <v>329</v>
      </c>
      <c r="AY219" s="109" t="s">
        <v>357</v>
      </c>
      <c r="AZ219" s="109"/>
      <c r="BA219" s="109"/>
      <c r="BB219" s="109"/>
      <c r="BC219" s="109"/>
      <c r="BD219" s="109" t="s">
        <v>2588</v>
      </c>
      <c r="BE219" s="109" t="s">
        <v>3581</v>
      </c>
      <c r="BF219" s="109" t="s">
        <v>3771</v>
      </c>
      <c r="BG219" s="109" t="s">
        <v>685</v>
      </c>
      <c r="BH219" s="109" t="s">
        <v>334</v>
      </c>
      <c r="BI219" s="109" t="s">
        <v>3831</v>
      </c>
      <c r="BJ219" s="109"/>
      <c r="BK219" s="109"/>
      <c r="BL219" s="111"/>
      <c r="BM219" s="109"/>
      <c r="BN219" s="109"/>
      <c r="BO219" s="111"/>
      <c r="BP219" s="109"/>
      <c r="BQ219" s="109"/>
      <c r="BR219" s="109"/>
      <c r="BS219" s="109"/>
      <c r="BT219" s="109"/>
      <c r="BU219" s="109"/>
      <c r="BV219" s="109"/>
      <c r="BW219" s="109"/>
      <c r="BX219" s="109"/>
      <c r="BY219" s="109"/>
      <c r="BZ219" s="109"/>
      <c r="CA219" s="109"/>
      <c r="CB219" s="109"/>
      <c r="CC219" s="109"/>
      <c r="CD219" s="110"/>
    </row>
    <row r="220" spans="1:82" s="116" customFormat="1" ht="13.9" customHeight="1" x14ac:dyDescent="0.2">
      <c r="A220" s="109">
        <v>651</v>
      </c>
      <c r="B220" s="109" t="s">
        <v>7255</v>
      </c>
      <c r="C220" s="115" t="s">
        <v>363</v>
      </c>
      <c r="D220" s="109" t="s">
        <v>86</v>
      </c>
      <c r="E220" s="111" t="s">
        <v>6759</v>
      </c>
      <c r="F220" s="112">
        <v>45425</v>
      </c>
      <c r="G220" s="112">
        <v>45425</v>
      </c>
      <c r="H220" s="113">
        <f t="shared" si="18"/>
        <v>45515</v>
      </c>
      <c r="I220" s="113" t="s">
        <v>290</v>
      </c>
      <c r="J220" s="109" t="s">
        <v>523</v>
      </c>
      <c r="K220" s="109" t="s">
        <v>960</v>
      </c>
      <c r="L220" s="109" t="s">
        <v>1746</v>
      </c>
      <c r="M220" s="128" t="str">
        <f t="shared" si="19"/>
        <v>VELAZQUEZ  TORRES JUAN MANUEL</v>
      </c>
      <c r="N220" s="128" t="s">
        <v>7171</v>
      </c>
      <c r="O220" s="128" t="s">
        <v>4605</v>
      </c>
      <c r="P220" s="109" t="s">
        <v>1953</v>
      </c>
      <c r="Q220" s="112">
        <v>33737</v>
      </c>
      <c r="R220" s="125">
        <f t="shared" si="20"/>
        <v>13</v>
      </c>
      <c r="S220" s="125">
        <f t="shared" si="21"/>
        <v>5</v>
      </c>
      <c r="T220" s="125">
        <f t="shared" si="22"/>
        <v>1992</v>
      </c>
      <c r="U220" s="142">
        <f t="shared" ca="1" si="23"/>
        <v>34.438356164383563</v>
      </c>
      <c r="V220" s="114" t="s">
        <v>452</v>
      </c>
      <c r="W220" s="114" t="s">
        <v>2016</v>
      </c>
      <c r="X220" s="109" t="s">
        <v>693</v>
      </c>
      <c r="Y220" s="109" t="s">
        <v>87</v>
      </c>
      <c r="Z220" s="109" t="s">
        <v>88</v>
      </c>
      <c r="AA220" s="109" t="s">
        <v>392</v>
      </c>
      <c r="AB220" s="109" t="s">
        <v>374</v>
      </c>
      <c r="AC220" s="109" t="s">
        <v>313</v>
      </c>
      <c r="AD220" s="109" t="s">
        <v>314</v>
      </c>
      <c r="AE220" s="109">
        <v>90</v>
      </c>
      <c r="AF220" s="114" t="s">
        <v>375</v>
      </c>
      <c r="AG220" s="109" t="s">
        <v>290</v>
      </c>
      <c r="AH220" s="115" t="s">
        <v>473</v>
      </c>
      <c r="AI220" s="109" t="s">
        <v>317</v>
      </c>
      <c r="AJ220" s="109" t="s">
        <v>318</v>
      </c>
      <c r="AK220" s="109" t="s">
        <v>2671</v>
      </c>
      <c r="AL220" s="115" t="s">
        <v>2923</v>
      </c>
      <c r="AM220" s="109" t="s">
        <v>2404</v>
      </c>
      <c r="AN220" s="109" t="s">
        <v>401</v>
      </c>
      <c r="AO220" s="109" t="s">
        <v>398</v>
      </c>
      <c r="AP220" s="109"/>
      <c r="AQ220" s="109" t="s">
        <v>1374</v>
      </c>
      <c r="AR220" s="109">
        <v>78</v>
      </c>
      <c r="AS220" s="109" t="s">
        <v>328</v>
      </c>
      <c r="AT220" s="109" t="s">
        <v>1375</v>
      </c>
      <c r="AU220" s="109" t="s">
        <v>681</v>
      </c>
      <c r="AV220" s="109" t="s">
        <v>3410</v>
      </c>
      <c r="AW220" s="109" t="s">
        <v>357</v>
      </c>
      <c r="AX220" s="109" t="s">
        <v>357</v>
      </c>
      <c r="AY220" s="109" t="s">
        <v>357</v>
      </c>
      <c r="AZ220" s="109"/>
      <c r="BA220" s="109"/>
      <c r="BB220" s="109"/>
      <c r="BC220" s="109"/>
      <c r="BD220" s="109" t="s">
        <v>2404</v>
      </c>
      <c r="BE220" s="109" t="s">
        <v>401</v>
      </c>
      <c r="BF220" s="109" t="s">
        <v>3619</v>
      </c>
      <c r="BG220" s="109" t="s">
        <v>333</v>
      </c>
      <c r="BH220" s="109" t="s">
        <v>334</v>
      </c>
      <c r="BI220" s="109" t="s">
        <v>3831</v>
      </c>
      <c r="BJ220" s="109" t="s">
        <v>3888</v>
      </c>
      <c r="BK220" s="109" t="s">
        <v>571</v>
      </c>
      <c r="BL220" s="111" t="s">
        <v>3923</v>
      </c>
      <c r="BM220" s="109"/>
      <c r="BN220" s="109" t="s">
        <v>3911</v>
      </c>
      <c r="BO220" s="111" t="s">
        <v>3932</v>
      </c>
      <c r="BP220" s="109"/>
      <c r="BQ220" s="109">
        <v>0</v>
      </c>
      <c r="BR220" s="109">
        <v>0</v>
      </c>
      <c r="BS220" s="109"/>
      <c r="BT220" s="109">
        <v>0</v>
      </c>
      <c r="BU220" s="109">
        <v>0</v>
      </c>
      <c r="BV220" s="109"/>
      <c r="BW220" s="109">
        <v>0</v>
      </c>
      <c r="BX220" s="109">
        <v>0</v>
      </c>
      <c r="BY220" s="109"/>
      <c r="BZ220" s="109">
        <v>0</v>
      </c>
      <c r="CA220" s="109"/>
      <c r="CB220" s="109"/>
      <c r="CC220" s="109"/>
      <c r="CD220" s="110"/>
    </row>
    <row r="221" spans="1:82" s="116" customFormat="1" ht="13.9" customHeight="1" x14ac:dyDescent="0.2">
      <c r="A221" s="109">
        <v>655</v>
      </c>
      <c r="B221" s="109" t="s">
        <v>4166</v>
      </c>
      <c r="C221" s="110" t="s">
        <v>335</v>
      </c>
      <c r="D221" s="109" t="s">
        <v>140</v>
      </c>
      <c r="E221" s="111" t="s">
        <v>6589</v>
      </c>
      <c r="F221" s="112">
        <v>45428</v>
      </c>
      <c r="G221" s="112">
        <v>45428</v>
      </c>
      <c r="H221" s="113">
        <f t="shared" si="18"/>
        <v>45608</v>
      </c>
      <c r="I221" s="113" t="s">
        <v>291</v>
      </c>
      <c r="J221" s="109" t="s">
        <v>4420</v>
      </c>
      <c r="K221" s="109" t="s">
        <v>1004</v>
      </c>
      <c r="L221" s="109" t="s">
        <v>1380</v>
      </c>
      <c r="M221" s="128" t="str">
        <f t="shared" si="19"/>
        <v>VILCHIS JIMENEZ OMAR</v>
      </c>
      <c r="N221" s="128" t="s">
        <v>6990</v>
      </c>
      <c r="O221" s="128" t="s">
        <v>4812</v>
      </c>
      <c r="P221" s="109" t="s">
        <v>1953</v>
      </c>
      <c r="Q221" s="112">
        <v>26709</v>
      </c>
      <c r="R221" s="125">
        <f t="shared" si="20"/>
        <v>14</v>
      </c>
      <c r="S221" s="125">
        <f t="shared" si="21"/>
        <v>2</v>
      </c>
      <c r="T221" s="125">
        <f t="shared" si="22"/>
        <v>1973</v>
      </c>
      <c r="U221" s="142">
        <f t="shared" ca="1" si="23"/>
        <v>53.69315068493151</v>
      </c>
      <c r="V221" s="114" t="s">
        <v>342</v>
      </c>
      <c r="W221" s="114" t="s">
        <v>2222</v>
      </c>
      <c r="X221" s="109" t="s">
        <v>310</v>
      </c>
      <c r="Y221" s="94" t="s">
        <v>212</v>
      </c>
      <c r="Z221" s="109" t="s">
        <v>239</v>
      </c>
      <c r="AA221" s="109" t="s">
        <v>636</v>
      </c>
      <c r="AB221" s="109" t="s">
        <v>2302</v>
      </c>
      <c r="AC221" s="109" t="s">
        <v>313</v>
      </c>
      <c r="AD221" s="109" t="s">
        <v>314</v>
      </c>
      <c r="AE221" s="109">
        <v>180</v>
      </c>
      <c r="AF221" s="114" t="s">
        <v>554</v>
      </c>
      <c r="AG221" s="109" t="s">
        <v>291</v>
      </c>
      <c r="AH221" s="115" t="s">
        <v>555</v>
      </c>
      <c r="AI221" s="109" t="s">
        <v>317</v>
      </c>
      <c r="AJ221" s="109" t="s">
        <v>318</v>
      </c>
      <c r="AK221" s="109" t="s">
        <v>2825</v>
      </c>
      <c r="AL221" s="115" t="s">
        <v>3126</v>
      </c>
      <c r="AM221" s="109" t="s">
        <v>2595</v>
      </c>
      <c r="AN221" s="109" t="s">
        <v>560</v>
      </c>
      <c r="AO221" s="109" t="s">
        <v>398</v>
      </c>
      <c r="AP221" s="109"/>
      <c r="AQ221" s="109" t="s">
        <v>3316</v>
      </c>
      <c r="AR221" s="109">
        <v>10</v>
      </c>
      <c r="AS221" s="109" t="s">
        <v>328</v>
      </c>
      <c r="AT221" s="109" t="s">
        <v>140</v>
      </c>
      <c r="AU221" s="109" t="s">
        <v>140</v>
      </c>
      <c r="AV221" s="109">
        <v>76190</v>
      </c>
      <c r="AW221" s="109" t="s">
        <v>357</v>
      </c>
      <c r="AX221" s="109" t="s">
        <v>357</v>
      </c>
      <c r="AY221" s="109" t="s">
        <v>357</v>
      </c>
      <c r="AZ221" s="109"/>
      <c r="BA221" s="109"/>
      <c r="BB221" s="109"/>
      <c r="BC221" s="109"/>
      <c r="BD221" s="109" t="s">
        <v>2595</v>
      </c>
      <c r="BE221" s="109" t="s">
        <v>560</v>
      </c>
      <c r="BF221" s="109" t="s">
        <v>3778</v>
      </c>
      <c r="BG221" s="109" t="s">
        <v>444</v>
      </c>
      <c r="BH221" s="109" t="s">
        <v>334</v>
      </c>
      <c r="BI221" s="109" t="s">
        <v>3831</v>
      </c>
      <c r="BJ221" s="109" t="s">
        <v>3888</v>
      </c>
      <c r="BK221" s="109" t="s">
        <v>3911</v>
      </c>
      <c r="BL221" s="111" t="s">
        <v>3957</v>
      </c>
      <c r="BM221" s="109"/>
      <c r="BN221" s="109" t="s">
        <v>571</v>
      </c>
      <c r="BO221" s="111" t="s">
        <v>3915</v>
      </c>
      <c r="BP221" s="109"/>
      <c r="BQ221" s="109">
        <v>0</v>
      </c>
      <c r="BR221" s="109">
        <v>0</v>
      </c>
      <c r="BS221" s="109"/>
      <c r="BT221" s="109">
        <v>0</v>
      </c>
      <c r="BU221" s="109">
        <v>0</v>
      </c>
      <c r="BV221" s="109"/>
      <c r="BW221" s="109">
        <v>0</v>
      </c>
      <c r="BX221" s="109">
        <v>0</v>
      </c>
      <c r="BY221" s="109"/>
      <c r="BZ221" s="109">
        <v>0</v>
      </c>
      <c r="CA221" s="109"/>
      <c r="CB221" s="109"/>
      <c r="CC221" s="109"/>
      <c r="CD221" s="110"/>
    </row>
    <row r="222" spans="1:82" s="116" customFormat="1" ht="13.9" customHeight="1" x14ac:dyDescent="0.2">
      <c r="A222" s="109">
        <v>904</v>
      </c>
      <c r="B222" s="109" t="s">
        <v>4249</v>
      </c>
      <c r="C222" s="115" t="s">
        <v>299</v>
      </c>
      <c r="D222" s="111" t="s">
        <v>80</v>
      </c>
      <c r="E222" s="111" t="s">
        <v>6590</v>
      </c>
      <c r="F222" s="112">
        <v>45428</v>
      </c>
      <c r="G222" s="112">
        <v>45428</v>
      </c>
      <c r="H222" s="113">
        <f t="shared" si="18"/>
        <v>45518</v>
      </c>
      <c r="I222" s="113" t="s">
        <v>291</v>
      </c>
      <c r="J222" s="109" t="s">
        <v>384</v>
      </c>
      <c r="K222" s="109" t="s">
        <v>4372</v>
      </c>
      <c r="L222" s="109" t="s">
        <v>1868</v>
      </c>
      <c r="M222" s="128" t="str">
        <f t="shared" si="19"/>
        <v>SANCHEZ SALAZAR MARICELA</v>
      </c>
      <c r="N222" s="128" t="s">
        <v>6991</v>
      </c>
      <c r="O222" s="128" t="s">
        <v>4752</v>
      </c>
      <c r="P222" s="109" t="s">
        <v>1953</v>
      </c>
      <c r="Q222" s="112">
        <v>29075</v>
      </c>
      <c r="R222" s="125">
        <f t="shared" si="20"/>
        <v>8</v>
      </c>
      <c r="S222" s="125">
        <f t="shared" si="21"/>
        <v>8</v>
      </c>
      <c r="T222" s="125">
        <f t="shared" si="22"/>
        <v>1979</v>
      </c>
      <c r="U222" s="142">
        <f t="shared" ca="1" si="23"/>
        <v>47.210958904109589</v>
      </c>
      <c r="V222" s="114" t="s">
        <v>308</v>
      </c>
      <c r="W222" s="114" t="s">
        <v>2163</v>
      </c>
      <c r="X222" s="109" t="s">
        <v>310</v>
      </c>
      <c r="Y222" s="123" t="s">
        <v>181</v>
      </c>
      <c r="Z222" s="109" t="s">
        <v>170</v>
      </c>
      <c r="AA222" s="109" t="s">
        <v>636</v>
      </c>
      <c r="AB222" s="109" t="s">
        <v>2282</v>
      </c>
      <c r="AC222" s="109" t="s">
        <v>313</v>
      </c>
      <c r="AD222" s="109" t="s">
        <v>314</v>
      </c>
      <c r="AE222" s="109">
        <v>90</v>
      </c>
      <c r="AF222" s="114" t="s">
        <v>315</v>
      </c>
      <c r="AG222" s="109" t="s">
        <v>291</v>
      </c>
      <c r="AH222" s="115" t="s">
        <v>1329</v>
      </c>
      <c r="AI222" s="109" t="s">
        <v>317</v>
      </c>
      <c r="AJ222" s="109" t="s">
        <v>318</v>
      </c>
      <c r="AK222" s="109" t="s">
        <v>2777</v>
      </c>
      <c r="AL222" s="115" t="s">
        <v>3069</v>
      </c>
      <c r="AM222" s="109" t="s">
        <v>2540</v>
      </c>
      <c r="AN222" s="109" t="s">
        <v>1531</v>
      </c>
      <c r="AO222" s="109" t="s">
        <v>398</v>
      </c>
      <c r="AP222" s="109"/>
      <c r="AQ222" s="109" t="s">
        <v>3299</v>
      </c>
      <c r="AR222" s="109" t="s">
        <v>880</v>
      </c>
      <c r="AS222" s="109" t="s">
        <v>328</v>
      </c>
      <c r="AT222" s="109" t="s">
        <v>483</v>
      </c>
      <c r="AU222" s="109" t="s">
        <v>483</v>
      </c>
      <c r="AV222" s="109">
        <v>78390</v>
      </c>
      <c r="AW222" s="109" t="s">
        <v>357</v>
      </c>
      <c r="AX222" s="109">
        <v>0</v>
      </c>
      <c r="AY222" s="109" t="s">
        <v>357</v>
      </c>
      <c r="AZ222" s="109"/>
      <c r="BA222" s="109"/>
      <c r="BB222" s="109"/>
      <c r="BC222" s="109"/>
      <c r="BD222" s="109" t="s">
        <v>2540</v>
      </c>
      <c r="BE222" s="109" t="s">
        <v>1531</v>
      </c>
      <c r="BF222" s="109" t="s">
        <v>3731</v>
      </c>
      <c r="BG222" s="109" t="s">
        <v>333</v>
      </c>
      <c r="BH222" s="109" t="s">
        <v>334</v>
      </c>
      <c r="BI222" s="109" t="s">
        <v>3831</v>
      </c>
      <c r="BJ222" s="109" t="s">
        <v>3888</v>
      </c>
      <c r="BK222" s="109" t="s">
        <v>571</v>
      </c>
      <c r="BL222" s="111" t="s">
        <v>3920</v>
      </c>
      <c r="BM222" s="109"/>
      <c r="BN222" s="109" t="s">
        <v>571</v>
      </c>
      <c r="BO222" s="111" t="s">
        <v>3933</v>
      </c>
      <c r="BP222" s="109"/>
      <c r="BQ222" s="109" t="s">
        <v>571</v>
      </c>
      <c r="BR222" s="109" t="s">
        <v>3862</v>
      </c>
      <c r="BS222" s="109"/>
      <c r="BT222" s="109">
        <v>0</v>
      </c>
      <c r="BU222" s="109">
        <v>0</v>
      </c>
      <c r="BV222" s="109"/>
      <c r="BW222" s="109">
        <v>0</v>
      </c>
      <c r="BX222" s="109">
        <v>0</v>
      </c>
      <c r="BY222" s="109"/>
      <c r="BZ222" s="109">
        <v>0</v>
      </c>
      <c r="CA222" s="109"/>
      <c r="CB222" s="109"/>
      <c r="CC222" s="109"/>
      <c r="CD222" s="110"/>
    </row>
    <row r="223" spans="1:82" ht="13.9" customHeight="1" x14ac:dyDescent="0.2">
      <c r="A223" s="12">
        <v>905</v>
      </c>
      <c r="B223" s="12" t="s">
        <v>4250</v>
      </c>
      <c r="C223" s="104" t="s">
        <v>299</v>
      </c>
      <c r="D223" s="99" t="s">
        <v>80</v>
      </c>
      <c r="E223" s="99" t="s">
        <v>6591</v>
      </c>
      <c r="F223" s="100">
        <v>45428</v>
      </c>
      <c r="G223" s="100">
        <v>45428</v>
      </c>
      <c r="H223" s="101">
        <f t="shared" si="18"/>
        <v>45518</v>
      </c>
      <c r="I223" s="101" t="s">
        <v>291</v>
      </c>
      <c r="J223" s="12" t="s">
        <v>366</v>
      </c>
      <c r="K223" s="12" t="s">
        <v>4508</v>
      </c>
      <c r="L223" s="12" t="s">
        <v>1869</v>
      </c>
      <c r="M223" s="102" t="str">
        <f t="shared" si="19"/>
        <v>HERNANDEZ PUENTE MARIA JOSE</v>
      </c>
      <c r="N223" s="102" t="s">
        <v>6992</v>
      </c>
      <c r="O223" s="102" t="s">
        <v>4753</v>
      </c>
      <c r="P223" s="12" t="s">
        <v>1953</v>
      </c>
      <c r="Q223" s="100">
        <v>35385</v>
      </c>
      <c r="R223" s="77">
        <f t="shared" si="20"/>
        <v>16</v>
      </c>
      <c r="S223" s="77">
        <f t="shared" si="21"/>
        <v>11</v>
      </c>
      <c r="T223" s="77">
        <f t="shared" si="22"/>
        <v>1996</v>
      </c>
      <c r="U223" s="103">
        <f t="shared" ca="1" si="23"/>
        <v>29.923287671232877</v>
      </c>
      <c r="V223" s="13" t="s">
        <v>308</v>
      </c>
      <c r="W223" s="13" t="s">
        <v>2164</v>
      </c>
      <c r="X223" s="12" t="s">
        <v>310</v>
      </c>
      <c r="Y223" s="12" t="s">
        <v>206</v>
      </c>
      <c r="Z223" s="12" t="s">
        <v>174</v>
      </c>
      <c r="AA223" s="12" t="s">
        <v>432</v>
      </c>
      <c r="AB223" s="12" t="s">
        <v>2303</v>
      </c>
      <c r="AC223" s="12" t="s">
        <v>313</v>
      </c>
      <c r="AD223" s="12" t="s">
        <v>314</v>
      </c>
      <c r="AE223" s="12">
        <v>90</v>
      </c>
      <c r="AF223" s="13" t="s">
        <v>315</v>
      </c>
      <c r="AG223" s="12" t="s">
        <v>291</v>
      </c>
      <c r="AH223" s="104" t="s">
        <v>1329</v>
      </c>
      <c r="AI223" s="12" t="s">
        <v>317</v>
      </c>
      <c r="AJ223" s="12" t="s">
        <v>318</v>
      </c>
      <c r="AK223" s="12" t="s">
        <v>2778</v>
      </c>
      <c r="AL223" s="104" t="s">
        <v>3070</v>
      </c>
      <c r="AM223" s="12" t="s">
        <v>2541</v>
      </c>
      <c r="AN223" s="12" t="s">
        <v>325</v>
      </c>
      <c r="AO223" s="12" t="s">
        <v>398</v>
      </c>
      <c r="AP223" s="12"/>
      <c r="AQ223" s="12" t="s">
        <v>3300</v>
      </c>
      <c r="AR223" s="12" t="s">
        <v>3364</v>
      </c>
      <c r="AS223" s="12" t="s">
        <v>328</v>
      </c>
      <c r="AT223" s="12" t="s">
        <v>482</v>
      </c>
      <c r="AU223" s="12" t="s">
        <v>483</v>
      </c>
      <c r="AV223" s="12">
        <v>78433</v>
      </c>
      <c r="AW223" s="12" t="s">
        <v>357</v>
      </c>
      <c r="AX223" s="12">
        <v>0</v>
      </c>
      <c r="AY223" s="12" t="s">
        <v>357</v>
      </c>
      <c r="AZ223" s="12"/>
      <c r="BA223" s="12"/>
      <c r="BB223" s="12"/>
      <c r="BC223" s="12"/>
      <c r="BD223" s="12" t="s">
        <v>2541</v>
      </c>
      <c r="BE223" s="12" t="s">
        <v>325</v>
      </c>
      <c r="BF223" s="12" t="s">
        <v>3732</v>
      </c>
      <c r="BG223" s="12" t="s">
        <v>333</v>
      </c>
      <c r="BH223" s="12" t="s">
        <v>334</v>
      </c>
      <c r="BI223" s="12" t="s">
        <v>3831</v>
      </c>
      <c r="BJ223" s="12" t="s">
        <v>3831</v>
      </c>
      <c r="BK223" s="12"/>
      <c r="BL223" s="105"/>
      <c r="BM223" s="12"/>
      <c r="BN223" s="12"/>
      <c r="BO223" s="105"/>
      <c r="BP223" s="12"/>
      <c r="BQ223" s="12"/>
      <c r="BR223" s="12"/>
      <c r="BS223" s="12"/>
      <c r="BT223" s="12"/>
      <c r="BU223" s="12"/>
      <c r="BV223" s="12"/>
      <c r="BW223" s="12"/>
      <c r="BX223" s="12"/>
      <c r="BY223" s="12"/>
      <c r="BZ223" s="12"/>
      <c r="CA223" s="12"/>
      <c r="CB223" s="12"/>
      <c r="CC223" s="12"/>
      <c r="CD223" s="78"/>
    </row>
    <row r="224" spans="1:82" ht="13.9" customHeight="1" x14ac:dyDescent="0.2">
      <c r="A224" s="12">
        <v>262</v>
      </c>
      <c r="B224" s="12" t="s">
        <v>4030</v>
      </c>
      <c r="C224" s="78" t="s">
        <v>363</v>
      </c>
      <c r="D224" s="107" t="s">
        <v>98</v>
      </c>
      <c r="E224" s="99" t="s">
        <v>6760</v>
      </c>
      <c r="F224" s="100">
        <v>45435</v>
      </c>
      <c r="G224" s="100">
        <v>45435</v>
      </c>
      <c r="H224" s="101">
        <f t="shared" si="18"/>
        <v>45525</v>
      </c>
      <c r="I224" s="101" t="s">
        <v>290</v>
      </c>
      <c r="J224" s="12" t="s">
        <v>1307</v>
      </c>
      <c r="K224" s="12" t="s">
        <v>4449</v>
      </c>
      <c r="L224" s="12" t="s">
        <v>1754</v>
      </c>
      <c r="M224" s="102" t="str">
        <f t="shared" si="19"/>
        <v>DIAZ  VELAZQUEZ LEONARDO</v>
      </c>
      <c r="N224" s="102" t="s">
        <v>7172</v>
      </c>
      <c r="O224" s="102" t="s">
        <v>4613</v>
      </c>
      <c r="P224" s="12" t="s">
        <v>1953</v>
      </c>
      <c r="Q224" s="100">
        <v>35747</v>
      </c>
      <c r="R224" s="77">
        <f t="shared" si="20"/>
        <v>13</v>
      </c>
      <c r="S224" s="77">
        <f t="shared" si="21"/>
        <v>11</v>
      </c>
      <c r="T224" s="77">
        <f t="shared" si="22"/>
        <v>1997</v>
      </c>
      <c r="U224" s="103">
        <f t="shared" ca="1" si="23"/>
        <v>28.931506849315067</v>
      </c>
      <c r="V224" s="13" t="s">
        <v>389</v>
      </c>
      <c r="W224" s="13" t="s">
        <v>2024</v>
      </c>
      <c r="X224" s="12" t="s">
        <v>1497</v>
      </c>
      <c r="Y224" s="107" t="s">
        <v>87</v>
      </c>
      <c r="Z224" s="12" t="s">
        <v>99</v>
      </c>
      <c r="AA224" s="12" t="s">
        <v>392</v>
      </c>
      <c r="AB224" s="12" t="s">
        <v>596</v>
      </c>
      <c r="AC224" s="12" t="s">
        <v>313</v>
      </c>
      <c r="AD224" s="12" t="s">
        <v>314</v>
      </c>
      <c r="AE224" s="12">
        <v>90</v>
      </c>
      <c r="AF224" s="13" t="s">
        <v>597</v>
      </c>
      <c r="AG224" s="12" t="s">
        <v>290</v>
      </c>
      <c r="AH224" s="104" t="s">
        <v>598</v>
      </c>
      <c r="AI224" s="12" t="s">
        <v>317</v>
      </c>
      <c r="AJ224" s="12" t="s">
        <v>318</v>
      </c>
      <c r="AK224" s="12" t="s">
        <v>2677</v>
      </c>
      <c r="AL224" s="104" t="s">
        <v>2930</v>
      </c>
      <c r="AM224" s="12" t="s">
        <v>2412</v>
      </c>
      <c r="AN224" s="12" t="s">
        <v>325</v>
      </c>
      <c r="AO224" s="12" t="s">
        <v>398</v>
      </c>
      <c r="AP224" s="12"/>
      <c r="AQ224" s="12" t="s">
        <v>3229</v>
      </c>
      <c r="AR224" s="12">
        <v>212</v>
      </c>
      <c r="AS224" s="12" t="s">
        <v>328</v>
      </c>
      <c r="AT224" s="12" t="s">
        <v>606</v>
      </c>
      <c r="AU224" s="12" t="s">
        <v>583</v>
      </c>
      <c r="AV224" s="12">
        <v>45589</v>
      </c>
      <c r="AW224" s="12" t="s">
        <v>329</v>
      </c>
      <c r="AX224" s="12">
        <v>0</v>
      </c>
      <c r="AY224" s="12" t="s">
        <v>329</v>
      </c>
      <c r="AZ224" s="12" t="s">
        <v>3421</v>
      </c>
      <c r="BA224" s="12">
        <v>0</v>
      </c>
      <c r="BB224" s="12"/>
      <c r="BC224" s="12"/>
      <c r="BD224" s="12" t="s">
        <v>3475</v>
      </c>
      <c r="BE224" s="12" t="s">
        <v>3576</v>
      </c>
      <c r="BF224" s="12" t="s">
        <v>3625</v>
      </c>
      <c r="BG224" s="12" t="s">
        <v>333</v>
      </c>
      <c r="BH224" s="12" t="s">
        <v>334</v>
      </c>
      <c r="BI224" s="12">
        <v>2</v>
      </c>
      <c r="BJ224" s="12" t="s">
        <v>3847</v>
      </c>
      <c r="BK224" s="12" t="s">
        <v>3911</v>
      </c>
      <c r="BL224" s="105" t="s">
        <v>3936</v>
      </c>
      <c r="BM224" s="12"/>
      <c r="BN224" s="12" t="s">
        <v>3911</v>
      </c>
      <c r="BO224" s="105" t="s">
        <v>3937</v>
      </c>
      <c r="BP224" s="12"/>
      <c r="BQ224" s="12">
        <v>0</v>
      </c>
      <c r="BR224" s="12">
        <v>0</v>
      </c>
      <c r="BS224" s="12"/>
      <c r="BT224" s="12">
        <v>0</v>
      </c>
      <c r="BU224" s="12">
        <v>0</v>
      </c>
      <c r="BV224" s="12"/>
      <c r="BW224" s="12">
        <v>0</v>
      </c>
      <c r="BX224" s="12">
        <v>0</v>
      </c>
      <c r="BY224" s="12"/>
      <c r="BZ224" s="12">
        <v>0</v>
      </c>
      <c r="CA224" s="12"/>
      <c r="CB224" s="12"/>
      <c r="CC224" s="12"/>
      <c r="CD224" s="78"/>
    </row>
    <row r="225" spans="1:82" s="116" customFormat="1" ht="13.9" customHeight="1" x14ac:dyDescent="0.2">
      <c r="A225" s="109">
        <v>661</v>
      </c>
      <c r="B225" s="109" t="s">
        <v>4167</v>
      </c>
      <c r="C225" s="110" t="s">
        <v>335</v>
      </c>
      <c r="D225" s="109" t="s">
        <v>140</v>
      </c>
      <c r="E225" s="111" t="s">
        <v>6592</v>
      </c>
      <c r="F225" s="112">
        <v>45446</v>
      </c>
      <c r="G225" s="112">
        <v>45446</v>
      </c>
      <c r="H225" s="113">
        <f t="shared" si="18"/>
        <v>45536</v>
      </c>
      <c r="I225" s="113" t="s">
        <v>291</v>
      </c>
      <c r="J225" s="109" t="s">
        <v>735</v>
      </c>
      <c r="K225" s="109" t="s">
        <v>4461</v>
      </c>
      <c r="L225" s="109" t="s">
        <v>1914</v>
      </c>
      <c r="M225" s="128" t="str">
        <f t="shared" si="19"/>
        <v>RIVERA LUGO ALDO AYARABH</v>
      </c>
      <c r="N225" s="128" t="s">
        <v>6993</v>
      </c>
      <c r="O225" s="128" t="s">
        <v>4813</v>
      </c>
      <c r="P225" s="109" t="s">
        <v>1953</v>
      </c>
      <c r="Q225" s="112">
        <v>34395</v>
      </c>
      <c r="R225" s="125">
        <f t="shared" si="20"/>
        <v>2</v>
      </c>
      <c r="S225" s="125">
        <f t="shared" si="21"/>
        <v>3</v>
      </c>
      <c r="T225" s="125">
        <f t="shared" si="22"/>
        <v>1994</v>
      </c>
      <c r="U225" s="142">
        <f t="shared" ca="1" si="23"/>
        <v>32.635616438356166</v>
      </c>
      <c r="V225" s="114" t="s">
        <v>389</v>
      </c>
      <c r="W225" s="114" t="s">
        <v>2223</v>
      </c>
      <c r="X225" s="109" t="s">
        <v>310</v>
      </c>
      <c r="Y225" s="109" t="s">
        <v>216</v>
      </c>
      <c r="Z225" s="109" t="s">
        <v>238</v>
      </c>
      <c r="AA225" s="109" t="s">
        <v>857</v>
      </c>
      <c r="AB225" s="109" t="s">
        <v>2312</v>
      </c>
      <c r="AC225" s="109" t="s">
        <v>313</v>
      </c>
      <c r="AD225" s="109" t="s">
        <v>314</v>
      </c>
      <c r="AE225" s="109">
        <v>90</v>
      </c>
      <c r="AF225" s="114" t="s">
        <v>140</v>
      </c>
      <c r="AG225" s="109" t="s">
        <v>291</v>
      </c>
      <c r="AH225" s="115" t="s">
        <v>555</v>
      </c>
      <c r="AI225" s="109" t="s">
        <v>317</v>
      </c>
      <c r="AJ225" s="109" t="s">
        <v>318</v>
      </c>
      <c r="AK225" s="109" t="s">
        <v>2826</v>
      </c>
      <c r="AL225" s="115" t="s">
        <v>3127</v>
      </c>
      <c r="AM225" s="109" t="s">
        <v>2596</v>
      </c>
      <c r="AN225" s="109" t="s">
        <v>325</v>
      </c>
      <c r="AO225" s="109" t="s">
        <v>398</v>
      </c>
      <c r="AP225" s="109"/>
      <c r="AQ225" s="109" t="s">
        <v>3328</v>
      </c>
      <c r="AR225" s="109">
        <v>311</v>
      </c>
      <c r="AS225" s="109" t="s">
        <v>328</v>
      </c>
      <c r="AT225" s="109" t="s">
        <v>140</v>
      </c>
      <c r="AU225" s="109" t="s">
        <v>140</v>
      </c>
      <c r="AV225" s="109">
        <v>76180</v>
      </c>
      <c r="AW225" s="109" t="s">
        <v>357</v>
      </c>
      <c r="AX225" s="109" t="s">
        <v>357</v>
      </c>
      <c r="AY225" s="109" t="s">
        <v>357</v>
      </c>
      <c r="AZ225" s="109"/>
      <c r="BA225" s="109"/>
      <c r="BB225" s="109"/>
      <c r="BC225" s="109"/>
      <c r="BD225" s="109" t="s">
        <v>2596</v>
      </c>
      <c r="BE225" s="109" t="s">
        <v>325</v>
      </c>
      <c r="BF225" s="109" t="s">
        <v>3779</v>
      </c>
      <c r="BG225" s="109" t="s">
        <v>1462</v>
      </c>
      <c r="BH225" s="109" t="s">
        <v>334</v>
      </c>
      <c r="BI225" s="109" t="s">
        <v>3831</v>
      </c>
      <c r="BJ225" s="109"/>
      <c r="BK225" s="109"/>
      <c r="BL225" s="111"/>
      <c r="BM225" s="109"/>
      <c r="BN225" s="109"/>
      <c r="BO225" s="111"/>
      <c r="BP225" s="109"/>
      <c r="BQ225" s="109"/>
      <c r="BR225" s="109"/>
      <c r="BS225" s="109"/>
      <c r="BT225" s="109"/>
      <c r="BU225" s="109"/>
      <c r="BV225" s="109"/>
      <c r="BW225" s="109"/>
      <c r="BX225" s="109"/>
      <c r="BY225" s="109"/>
      <c r="BZ225" s="109"/>
      <c r="CA225" s="109"/>
      <c r="CB225" s="109"/>
      <c r="CC225" s="109"/>
      <c r="CD225" s="110"/>
    </row>
    <row r="226" spans="1:82" ht="13.9" customHeight="1" x14ac:dyDescent="0.2">
      <c r="A226" s="12">
        <v>752</v>
      </c>
      <c r="B226" s="12" t="s">
        <v>4244</v>
      </c>
      <c r="C226" s="104" t="s">
        <v>299</v>
      </c>
      <c r="D226" s="99" t="s">
        <v>80</v>
      </c>
      <c r="E226" s="99" t="s">
        <v>6593</v>
      </c>
      <c r="F226" s="100">
        <v>45446</v>
      </c>
      <c r="G226" s="100">
        <v>45446</v>
      </c>
      <c r="H226" s="101">
        <f t="shared" si="18"/>
        <v>45536</v>
      </c>
      <c r="I226" s="101" t="s">
        <v>291</v>
      </c>
      <c r="J226" s="12" t="s">
        <v>4395</v>
      </c>
      <c r="K226" s="12" t="s">
        <v>507</v>
      </c>
      <c r="L226" s="12" t="s">
        <v>367</v>
      </c>
      <c r="M226" s="102" t="str">
        <f t="shared" si="19"/>
        <v>CARREON MARTINEZ ROBERTO</v>
      </c>
      <c r="N226" s="102" t="s">
        <v>6994</v>
      </c>
      <c r="O226" s="102" t="s">
        <v>4746</v>
      </c>
      <c r="P226" s="12" t="s">
        <v>1953</v>
      </c>
      <c r="Q226" s="100">
        <v>24260</v>
      </c>
      <c r="R226" s="77">
        <f t="shared" si="20"/>
        <v>2</v>
      </c>
      <c r="S226" s="77">
        <f t="shared" si="21"/>
        <v>6</v>
      </c>
      <c r="T226" s="77">
        <f t="shared" si="22"/>
        <v>1966</v>
      </c>
      <c r="U226" s="103">
        <f t="shared" ca="1" si="23"/>
        <v>60.402739726027399</v>
      </c>
      <c r="V226" s="13" t="s">
        <v>342</v>
      </c>
      <c r="W226" s="13" t="s">
        <v>2158</v>
      </c>
      <c r="X226" s="12" t="s">
        <v>1497</v>
      </c>
      <c r="Y226" s="122" t="s">
        <v>199</v>
      </c>
      <c r="Z226" s="12" t="s">
        <v>170</v>
      </c>
      <c r="AA226" s="12" t="s">
        <v>636</v>
      </c>
      <c r="AB226" s="12" t="s">
        <v>2279</v>
      </c>
      <c r="AC226" s="12" t="s">
        <v>313</v>
      </c>
      <c r="AD226" s="12" t="s">
        <v>314</v>
      </c>
      <c r="AE226" s="12">
        <v>90</v>
      </c>
      <c r="AF226" s="13" t="s">
        <v>315</v>
      </c>
      <c r="AG226" s="12" t="s">
        <v>291</v>
      </c>
      <c r="AH226" s="104" t="s">
        <v>316</v>
      </c>
      <c r="AI226" s="12" t="s">
        <v>317</v>
      </c>
      <c r="AJ226" s="12" t="s">
        <v>318</v>
      </c>
      <c r="AK226" s="12" t="s">
        <v>2772</v>
      </c>
      <c r="AL226" s="104" t="s">
        <v>3064</v>
      </c>
      <c r="AM226" s="12" t="s">
        <v>2535</v>
      </c>
      <c r="AN226" s="12" t="s">
        <v>381</v>
      </c>
      <c r="AO226" s="12" t="s">
        <v>327</v>
      </c>
      <c r="AP226" s="12"/>
      <c r="AQ226" s="12" t="s">
        <v>3294</v>
      </c>
      <c r="AR226" s="12">
        <v>254</v>
      </c>
      <c r="AS226" s="12" t="s">
        <v>328</v>
      </c>
      <c r="AT226" s="12" t="s">
        <v>483</v>
      </c>
      <c r="AU226" s="12" t="s">
        <v>483</v>
      </c>
      <c r="AV226" s="12">
        <v>78180</v>
      </c>
      <c r="AW226" s="12" t="s">
        <v>357</v>
      </c>
      <c r="AX226" s="12" t="s">
        <v>329</v>
      </c>
      <c r="AY226" s="12" t="s">
        <v>330</v>
      </c>
      <c r="AZ226" s="12"/>
      <c r="BA226" s="12"/>
      <c r="BB226" s="12"/>
      <c r="BC226" s="12"/>
      <c r="BD226" s="12" t="s">
        <v>2535</v>
      </c>
      <c r="BE226" s="12" t="s">
        <v>381</v>
      </c>
      <c r="BF226" s="12" t="s">
        <v>3726</v>
      </c>
      <c r="BG226" s="12" t="s">
        <v>1349</v>
      </c>
      <c r="BH226" s="12" t="s">
        <v>334</v>
      </c>
      <c r="BI226" s="12">
        <v>2</v>
      </c>
      <c r="BJ226" s="12" t="s">
        <v>3886</v>
      </c>
      <c r="BK226" s="12" t="s">
        <v>3911</v>
      </c>
      <c r="BL226" s="105" t="s">
        <v>3950</v>
      </c>
      <c r="BM226" s="12"/>
      <c r="BN226" s="12" t="s">
        <v>571</v>
      </c>
      <c r="BO226" s="105" t="s">
        <v>3955</v>
      </c>
      <c r="BP226" s="12"/>
      <c r="BQ226" s="12">
        <v>0</v>
      </c>
      <c r="BR226" s="12">
        <v>0</v>
      </c>
      <c r="BS226" s="12"/>
      <c r="BT226" s="12">
        <v>0</v>
      </c>
      <c r="BU226" s="12">
        <v>0</v>
      </c>
      <c r="BV226" s="12"/>
      <c r="BW226" s="12">
        <v>0</v>
      </c>
      <c r="BX226" s="12">
        <v>0</v>
      </c>
      <c r="BY226" s="12"/>
      <c r="BZ226" s="12">
        <v>0</v>
      </c>
      <c r="CA226" s="12"/>
      <c r="CB226" s="12"/>
      <c r="CC226" s="12"/>
      <c r="CD226" s="78"/>
    </row>
    <row r="227" spans="1:82" ht="13.9" customHeight="1" x14ac:dyDescent="0.2">
      <c r="A227" s="107">
        <v>663</v>
      </c>
      <c r="B227" s="107" t="s">
        <v>3996</v>
      </c>
      <c r="C227" s="104" t="s">
        <v>564</v>
      </c>
      <c r="D227" s="107" t="s">
        <v>81</v>
      </c>
      <c r="E227" s="99" t="s">
        <v>6594</v>
      </c>
      <c r="F227" s="100">
        <v>45448</v>
      </c>
      <c r="G227" s="100">
        <v>45448</v>
      </c>
      <c r="H227" s="101">
        <f t="shared" si="18"/>
        <v>45538</v>
      </c>
      <c r="I227" s="101" t="s">
        <v>290</v>
      </c>
      <c r="J227" s="12" t="s">
        <v>446</v>
      </c>
      <c r="K227" s="12" t="s">
        <v>898</v>
      </c>
      <c r="L227" s="12" t="s">
        <v>1722</v>
      </c>
      <c r="M227" s="102" t="str">
        <f t="shared" si="19"/>
        <v>CRUZ ZAMORA SERGIO</v>
      </c>
      <c r="N227" s="102" t="s">
        <v>6995</v>
      </c>
      <c r="O227" s="102" t="s">
        <v>4579</v>
      </c>
      <c r="P227" s="12" t="s">
        <v>1953</v>
      </c>
      <c r="Q227" s="100">
        <v>26580</v>
      </c>
      <c r="R227" s="77">
        <f t="shared" si="20"/>
        <v>8</v>
      </c>
      <c r="S227" s="77">
        <f t="shared" si="21"/>
        <v>10</v>
      </c>
      <c r="T227" s="77">
        <f t="shared" si="22"/>
        <v>1972</v>
      </c>
      <c r="U227" s="103">
        <f t="shared" ca="1" si="23"/>
        <v>54.046575342465751</v>
      </c>
      <c r="V227" s="13" t="s">
        <v>342</v>
      </c>
      <c r="W227" s="13" t="s">
        <v>1989</v>
      </c>
      <c r="X227" s="12" t="s">
        <v>454</v>
      </c>
      <c r="Y227" s="12" t="s">
        <v>297</v>
      </c>
      <c r="Z227" s="12" t="s">
        <v>84</v>
      </c>
      <c r="AA227" s="12" t="s">
        <v>532</v>
      </c>
      <c r="AB227" s="12" t="s">
        <v>637</v>
      </c>
      <c r="AC227" s="12" t="s">
        <v>313</v>
      </c>
      <c r="AD227" s="12" t="s">
        <v>314</v>
      </c>
      <c r="AE227" s="12">
        <v>90</v>
      </c>
      <c r="AF227" s="13" t="s">
        <v>710</v>
      </c>
      <c r="AG227" s="12" t="s">
        <v>290</v>
      </c>
      <c r="AH227" s="104" t="s">
        <v>575</v>
      </c>
      <c r="AI227" s="12" t="s">
        <v>317</v>
      </c>
      <c r="AJ227" s="12" t="s">
        <v>318</v>
      </c>
      <c r="AK227" s="12" t="s">
        <v>2659</v>
      </c>
      <c r="AL227" s="104" t="s">
        <v>2896</v>
      </c>
      <c r="AM227" s="12" t="s">
        <v>2378</v>
      </c>
      <c r="AN227" s="12" t="s">
        <v>381</v>
      </c>
      <c r="AO227" s="12" t="s">
        <v>398</v>
      </c>
      <c r="AP227" s="12"/>
      <c r="AQ227" s="12" t="s">
        <v>3207</v>
      </c>
      <c r="AR227" s="12">
        <v>73</v>
      </c>
      <c r="AS227" s="12" t="s">
        <v>328</v>
      </c>
      <c r="AT227" s="12" t="s">
        <v>3378</v>
      </c>
      <c r="AU227" s="12" t="s">
        <v>1066</v>
      </c>
      <c r="AV227" s="12">
        <v>53560</v>
      </c>
      <c r="AW227" s="12" t="s">
        <v>329</v>
      </c>
      <c r="AX227" s="12" t="s">
        <v>357</v>
      </c>
      <c r="AY227" s="12" t="s">
        <v>357</v>
      </c>
      <c r="AZ227" s="12"/>
      <c r="BA227" s="12"/>
      <c r="BB227" s="12"/>
      <c r="BC227" s="12"/>
      <c r="BD227" s="12" t="s">
        <v>2378</v>
      </c>
      <c r="BE227" s="12" t="s">
        <v>381</v>
      </c>
      <c r="BF227" s="12" t="s">
        <v>3607</v>
      </c>
      <c r="BG227" s="12" t="s">
        <v>488</v>
      </c>
      <c r="BH227" s="12" t="s">
        <v>334</v>
      </c>
      <c r="BI227" s="12" t="s">
        <v>3831</v>
      </c>
      <c r="BJ227" s="12" t="s">
        <v>3888</v>
      </c>
      <c r="BK227" s="12" t="s">
        <v>571</v>
      </c>
      <c r="BL227" s="105" t="s">
        <v>3928</v>
      </c>
      <c r="BM227" s="12"/>
      <c r="BN227" s="12" t="s">
        <v>571</v>
      </c>
      <c r="BO227" s="105" t="s">
        <v>3929</v>
      </c>
      <c r="BP227" s="12"/>
      <c r="BQ227" s="12" t="s">
        <v>571</v>
      </c>
      <c r="BR227" s="12" t="s">
        <v>3925</v>
      </c>
      <c r="BS227" s="12"/>
      <c r="BT227" s="12">
        <v>0</v>
      </c>
      <c r="BU227" s="12">
        <v>0</v>
      </c>
      <c r="BV227" s="12"/>
      <c r="BW227" s="12">
        <v>0</v>
      </c>
      <c r="BX227" s="12">
        <v>0</v>
      </c>
      <c r="BY227" s="12"/>
      <c r="BZ227" s="12">
        <v>0</v>
      </c>
      <c r="CA227" s="12"/>
      <c r="CB227" s="12"/>
      <c r="CC227" s="12"/>
      <c r="CD227" s="78"/>
    </row>
    <row r="228" spans="1:82" s="116" customFormat="1" ht="13.9" customHeight="1" x14ac:dyDescent="0.2">
      <c r="A228" s="107">
        <v>664</v>
      </c>
      <c r="B228" s="107" t="s">
        <v>7256</v>
      </c>
      <c r="C228" s="78" t="s">
        <v>363</v>
      </c>
      <c r="D228" s="107" t="s">
        <v>86</v>
      </c>
      <c r="E228" s="99" t="s">
        <v>6595</v>
      </c>
      <c r="F228" s="100">
        <v>45453</v>
      </c>
      <c r="G228" s="117">
        <v>45453</v>
      </c>
      <c r="H228" s="101">
        <f t="shared" si="18"/>
        <v>45543</v>
      </c>
      <c r="I228" s="101" t="s">
        <v>290</v>
      </c>
      <c r="J228" s="12" t="s">
        <v>507</v>
      </c>
      <c r="K228" s="12" t="s">
        <v>4461</v>
      </c>
      <c r="L228" s="12" t="s">
        <v>1747</v>
      </c>
      <c r="M228" s="102" t="str">
        <f t="shared" si="19"/>
        <v>MARTINEZ LUGO CHRISTIAN DAVID</v>
      </c>
      <c r="N228" s="102" t="s">
        <v>6996</v>
      </c>
      <c r="O228" s="102" t="s">
        <v>4606</v>
      </c>
      <c r="P228" s="12" t="s">
        <v>1953</v>
      </c>
      <c r="Q228" s="100">
        <v>35035</v>
      </c>
      <c r="R228" s="77">
        <f t="shared" si="20"/>
        <v>2</v>
      </c>
      <c r="S228" s="77">
        <f t="shared" si="21"/>
        <v>12</v>
      </c>
      <c r="T228" s="77">
        <f t="shared" si="22"/>
        <v>1995</v>
      </c>
      <c r="U228" s="103">
        <f t="shared" ca="1" si="23"/>
        <v>30.882191780821916</v>
      </c>
      <c r="V228" s="13" t="s">
        <v>452</v>
      </c>
      <c r="W228" s="13" t="s">
        <v>2017</v>
      </c>
      <c r="X228" s="12" t="s">
        <v>454</v>
      </c>
      <c r="Y228" s="108" t="s">
        <v>94</v>
      </c>
      <c r="Z228" s="12" t="s">
        <v>95</v>
      </c>
      <c r="AA228" s="12" t="s">
        <v>392</v>
      </c>
      <c r="AB228" s="12" t="s">
        <v>374</v>
      </c>
      <c r="AC228" s="12" t="s">
        <v>313</v>
      </c>
      <c r="AD228" s="12" t="s">
        <v>314</v>
      </c>
      <c r="AE228" s="12">
        <v>90</v>
      </c>
      <c r="AF228" s="13" t="s">
        <v>375</v>
      </c>
      <c r="AG228" s="12" t="s">
        <v>290</v>
      </c>
      <c r="AH228" s="104" t="s">
        <v>473</v>
      </c>
      <c r="AI228" s="12" t="s">
        <v>317</v>
      </c>
      <c r="AJ228" s="12" t="s">
        <v>318</v>
      </c>
      <c r="AK228" s="12" t="s">
        <v>2672</v>
      </c>
      <c r="AL228" s="104" t="s">
        <v>2924</v>
      </c>
      <c r="AM228" s="12" t="s">
        <v>2405</v>
      </c>
      <c r="AN228" s="12" t="s">
        <v>381</v>
      </c>
      <c r="AO228" s="12" t="s">
        <v>327</v>
      </c>
      <c r="AP228" s="12"/>
      <c r="AQ228" s="12" t="s">
        <v>3223</v>
      </c>
      <c r="AR228" s="12">
        <v>1702</v>
      </c>
      <c r="AS228" s="12" t="s">
        <v>328</v>
      </c>
      <c r="AT228" s="12" t="s">
        <v>483</v>
      </c>
      <c r="AU228" s="12" t="s">
        <v>483</v>
      </c>
      <c r="AV228" s="12">
        <v>78390</v>
      </c>
      <c r="AW228" s="12" t="s">
        <v>357</v>
      </c>
      <c r="AX228" s="12" t="s">
        <v>357</v>
      </c>
      <c r="AY228" s="12" t="s">
        <v>357</v>
      </c>
      <c r="AZ228" s="12"/>
      <c r="BA228" s="12"/>
      <c r="BB228" s="12"/>
      <c r="BC228" s="12"/>
      <c r="BD228" s="12" t="s">
        <v>2405</v>
      </c>
      <c r="BE228" s="12" t="s">
        <v>381</v>
      </c>
      <c r="BF228" s="12" t="s">
        <v>3620</v>
      </c>
      <c r="BG228" s="12" t="s">
        <v>488</v>
      </c>
      <c r="BH228" s="12" t="s">
        <v>334</v>
      </c>
      <c r="BI228" s="12" t="s">
        <v>3831</v>
      </c>
      <c r="BJ228" s="12" t="s">
        <v>3888</v>
      </c>
      <c r="BK228" s="12" t="s">
        <v>571</v>
      </c>
      <c r="BL228" s="105" t="s">
        <v>3926</v>
      </c>
      <c r="BM228" s="12"/>
      <c r="BN228" s="12" t="s">
        <v>571</v>
      </c>
      <c r="BO228" s="105" t="s">
        <v>3924</v>
      </c>
      <c r="BP228" s="12"/>
      <c r="BQ228" s="12" t="s">
        <v>571</v>
      </c>
      <c r="BR228" s="12" t="s">
        <v>3862</v>
      </c>
      <c r="BS228" s="12"/>
      <c r="BT228" s="12">
        <v>0</v>
      </c>
      <c r="BU228" s="12">
        <v>0</v>
      </c>
      <c r="BV228" s="12"/>
      <c r="BW228" s="12">
        <v>0</v>
      </c>
      <c r="BX228" s="12">
        <v>0</v>
      </c>
      <c r="BY228" s="12"/>
      <c r="BZ228" s="12">
        <v>0</v>
      </c>
      <c r="CA228" s="12"/>
      <c r="CB228" s="12"/>
      <c r="CC228" s="12"/>
      <c r="CD228" s="110"/>
    </row>
    <row r="229" spans="1:82" ht="13.9" customHeight="1" x14ac:dyDescent="0.2">
      <c r="A229" s="12">
        <v>915</v>
      </c>
      <c r="B229" s="12" t="s">
        <v>4251</v>
      </c>
      <c r="C229" s="104" t="s">
        <v>299</v>
      </c>
      <c r="D229" s="99" t="s">
        <v>80</v>
      </c>
      <c r="E229" s="99" t="s">
        <v>6596</v>
      </c>
      <c r="F229" s="100">
        <v>45453</v>
      </c>
      <c r="G229" s="100">
        <v>45453</v>
      </c>
      <c r="H229" s="101">
        <f t="shared" si="18"/>
        <v>45543</v>
      </c>
      <c r="I229" s="101" t="s">
        <v>291</v>
      </c>
      <c r="J229" s="12" t="s">
        <v>960</v>
      </c>
      <c r="K229" s="12" t="s">
        <v>1408</v>
      </c>
      <c r="L229" s="12" t="s">
        <v>1870</v>
      </c>
      <c r="M229" s="102" t="str">
        <f t="shared" si="19"/>
        <v>TORRES RUIZ JORGE ARTURO</v>
      </c>
      <c r="N229" s="102" t="s">
        <v>6997</v>
      </c>
      <c r="O229" s="102" t="s">
        <v>4754</v>
      </c>
      <c r="P229" s="12" t="s">
        <v>1953</v>
      </c>
      <c r="Q229" s="100">
        <v>31420</v>
      </c>
      <c r="R229" s="77">
        <f t="shared" si="20"/>
        <v>8</v>
      </c>
      <c r="S229" s="77">
        <f t="shared" si="21"/>
        <v>1</v>
      </c>
      <c r="T229" s="77">
        <f t="shared" si="22"/>
        <v>1986</v>
      </c>
      <c r="U229" s="103">
        <f t="shared" ca="1" si="23"/>
        <v>40.786301369863011</v>
      </c>
      <c r="V229" s="13" t="s">
        <v>342</v>
      </c>
      <c r="W229" s="13" t="s">
        <v>2165</v>
      </c>
      <c r="X229" s="12" t="s">
        <v>693</v>
      </c>
      <c r="Y229" s="119" t="s">
        <v>189</v>
      </c>
      <c r="Z229" s="12" t="s">
        <v>174</v>
      </c>
      <c r="AA229" s="12" t="s">
        <v>432</v>
      </c>
      <c r="AB229" s="12" t="s">
        <v>2280</v>
      </c>
      <c r="AC229" s="12" t="s">
        <v>313</v>
      </c>
      <c r="AD229" s="12" t="s">
        <v>314</v>
      </c>
      <c r="AE229" s="12">
        <v>90</v>
      </c>
      <c r="AF229" s="13" t="s">
        <v>315</v>
      </c>
      <c r="AG229" s="12" t="s">
        <v>291</v>
      </c>
      <c r="AH229" s="104" t="s">
        <v>1329</v>
      </c>
      <c r="AI229" s="12" t="s">
        <v>317</v>
      </c>
      <c r="AJ229" s="12" t="s">
        <v>318</v>
      </c>
      <c r="AK229" s="12" t="s">
        <v>2779</v>
      </c>
      <c r="AL229" s="104" t="s">
        <v>3071</v>
      </c>
      <c r="AM229" s="12" t="s">
        <v>2542</v>
      </c>
      <c r="AN229" s="12" t="s">
        <v>3178</v>
      </c>
      <c r="AO229" s="12" t="s">
        <v>327</v>
      </c>
      <c r="AP229" s="12"/>
      <c r="AQ229" s="12" t="s">
        <v>3301</v>
      </c>
      <c r="AR229" s="12">
        <v>205</v>
      </c>
      <c r="AS229" s="12" t="s">
        <v>642</v>
      </c>
      <c r="AT229" s="12" t="s">
        <v>483</v>
      </c>
      <c r="AU229" s="12" t="s">
        <v>483</v>
      </c>
      <c r="AV229" s="12">
        <v>78000</v>
      </c>
      <c r="AW229" s="12" t="s">
        <v>357</v>
      </c>
      <c r="AX229" s="12">
        <v>0</v>
      </c>
      <c r="AY229" s="12" t="s">
        <v>357</v>
      </c>
      <c r="AZ229" s="12"/>
      <c r="BA229" s="12"/>
      <c r="BB229" s="12"/>
      <c r="BC229" s="12"/>
      <c r="BD229" s="12" t="s">
        <v>2542</v>
      </c>
      <c r="BE229" s="12" t="s">
        <v>3178</v>
      </c>
      <c r="BF229" s="12" t="s">
        <v>3733</v>
      </c>
      <c r="BG229" s="12" t="s">
        <v>748</v>
      </c>
      <c r="BH229" s="12" t="s">
        <v>334</v>
      </c>
      <c r="BI229" s="12" t="s">
        <v>3831</v>
      </c>
      <c r="BJ229" s="12" t="s">
        <v>3831</v>
      </c>
      <c r="BK229" s="12"/>
      <c r="BL229" s="105"/>
      <c r="BM229" s="12"/>
      <c r="BN229" s="12"/>
      <c r="BO229" s="105"/>
      <c r="BP229" s="12"/>
      <c r="BQ229" s="12"/>
      <c r="BR229" s="12"/>
      <c r="BS229" s="12"/>
      <c r="BT229" s="12"/>
      <c r="BU229" s="12"/>
      <c r="BV229" s="12"/>
      <c r="BW229" s="12"/>
      <c r="BX229" s="12"/>
      <c r="BY229" s="12"/>
      <c r="BZ229" s="12"/>
      <c r="CA229" s="12"/>
      <c r="CB229" s="12"/>
      <c r="CC229" s="12"/>
      <c r="CD229" s="78"/>
    </row>
    <row r="230" spans="1:82" s="116" customFormat="1" ht="13.9" customHeight="1" x14ac:dyDescent="0.2">
      <c r="A230" s="109">
        <v>371</v>
      </c>
      <c r="B230" s="109" t="s">
        <v>4057</v>
      </c>
      <c r="C230" s="110" t="s">
        <v>335</v>
      </c>
      <c r="D230" s="111" t="s">
        <v>127</v>
      </c>
      <c r="E230" s="111" t="s">
        <v>6761</v>
      </c>
      <c r="F230" s="112">
        <v>45467</v>
      </c>
      <c r="G230" s="112">
        <v>45467</v>
      </c>
      <c r="H230" s="113">
        <f t="shared" si="18"/>
        <v>45497</v>
      </c>
      <c r="I230" s="113" t="s">
        <v>290</v>
      </c>
      <c r="J230" s="109" t="s">
        <v>365</v>
      </c>
      <c r="K230" s="109" t="s">
        <v>4361</v>
      </c>
      <c r="L230" s="109" t="s">
        <v>1782</v>
      </c>
      <c r="M230" s="128" t="str">
        <f t="shared" si="19"/>
        <v>RODRIGUEZ  MENDOZA OBED ELIEZER</v>
      </c>
      <c r="N230" s="128" t="s">
        <v>7173</v>
      </c>
      <c r="O230" s="128" t="s">
        <v>4647</v>
      </c>
      <c r="P230" s="109" t="s">
        <v>1953</v>
      </c>
      <c r="Q230" s="112">
        <v>33981</v>
      </c>
      <c r="R230" s="125">
        <f t="shared" si="20"/>
        <v>12</v>
      </c>
      <c r="S230" s="125">
        <f t="shared" si="21"/>
        <v>1</v>
      </c>
      <c r="T230" s="125">
        <f t="shared" si="22"/>
        <v>1993</v>
      </c>
      <c r="U230" s="142">
        <f t="shared" ca="1" si="23"/>
        <v>33.769863013698632</v>
      </c>
      <c r="V230" s="114" t="s">
        <v>452</v>
      </c>
      <c r="W230" s="114" t="s">
        <v>2059</v>
      </c>
      <c r="X230" s="109" t="s">
        <v>693</v>
      </c>
      <c r="Y230" s="109" t="s">
        <v>114</v>
      </c>
      <c r="Z230" s="109" t="s">
        <v>130</v>
      </c>
      <c r="AA230" s="109" t="s">
        <v>347</v>
      </c>
      <c r="AB230" s="109" t="s">
        <v>2290</v>
      </c>
      <c r="AC230" s="109" t="s">
        <v>313</v>
      </c>
      <c r="AD230" s="109" t="s">
        <v>314</v>
      </c>
      <c r="AE230" s="109">
        <v>30</v>
      </c>
      <c r="AF230" s="114" t="s">
        <v>413</v>
      </c>
      <c r="AG230" s="109" t="s">
        <v>290</v>
      </c>
      <c r="AH230" s="115" t="s">
        <v>2339</v>
      </c>
      <c r="AI230" s="109" t="s">
        <v>317</v>
      </c>
      <c r="AJ230" s="109" t="s">
        <v>318</v>
      </c>
      <c r="AK230" s="109" t="s">
        <v>2704</v>
      </c>
      <c r="AL230" s="115" t="s">
        <v>2965</v>
      </c>
      <c r="AM230" s="109" t="s">
        <v>2441</v>
      </c>
      <c r="AN230" s="109" t="s">
        <v>622</v>
      </c>
      <c r="AO230" s="109" t="s">
        <v>398</v>
      </c>
      <c r="AP230" s="109"/>
      <c r="AQ230" s="109" t="s">
        <v>3250</v>
      </c>
      <c r="AR230" s="109">
        <v>108</v>
      </c>
      <c r="AS230" s="109" t="s">
        <v>328</v>
      </c>
      <c r="AT230" s="109" t="s">
        <v>127</v>
      </c>
      <c r="AU230" s="109" t="s">
        <v>483</v>
      </c>
      <c r="AV230" s="109">
        <v>78784</v>
      </c>
      <c r="AW230" s="109" t="s">
        <v>357</v>
      </c>
      <c r="AX230" s="109">
        <v>0</v>
      </c>
      <c r="AY230" s="109" t="s">
        <v>329</v>
      </c>
      <c r="AZ230" s="109" t="s">
        <v>484</v>
      </c>
      <c r="BA230" s="109" t="s">
        <v>3436</v>
      </c>
      <c r="BB230" s="109"/>
      <c r="BC230" s="109"/>
      <c r="BD230" s="109" t="s">
        <v>2441</v>
      </c>
      <c r="BE230" s="109" t="s">
        <v>622</v>
      </c>
      <c r="BF230" s="109" t="s">
        <v>3652</v>
      </c>
      <c r="BG230" s="109" t="s">
        <v>333</v>
      </c>
      <c r="BH230" s="109" t="s">
        <v>334</v>
      </c>
      <c r="BI230" s="109" t="s">
        <v>3831</v>
      </c>
      <c r="BJ230" s="109" t="s">
        <v>3888</v>
      </c>
      <c r="BK230" s="109" t="s">
        <v>3911</v>
      </c>
      <c r="BL230" s="111">
        <v>7</v>
      </c>
      <c r="BM230" s="109"/>
      <c r="BN230" s="109" t="s">
        <v>571</v>
      </c>
      <c r="BO230" s="111">
        <v>4</v>
      </c>
      <c r="BP230" s="109"/>
      <c r="BQ230" s="109">
        <v>0</v>
      </c>
      <c r="BR230" s="109">
        <v>0</v>
      </c>
      <c r="BS230" s="109"/>
      <c r="BT230" s="109">
        <v>0</v>
      </c>
      <c r="BU230" s="109">
        <v>0</v>
      </c>
      <c r="BV230" s="109"/>
      <c r="BW230" s="109">
        <v>0</v>
      </c>
      <c r="BX230" s="109">
        <v>0</v>
      </c>
      <c r="BY230" s="109"/>
      <c r="BZ230" s="109">
        <v>0</v>
      </c>
      <c r="CA230" s="109"/>
      <c r="CB230" s="109"/>
      <c r="CC230" s="109"/>
      <c r="CD230" s="110"/>
    </row>
    <row r="231" spans="1:82" ht="13.9" customHeight="1" x14ac:dyDescent="0.2">
      <c r="A231" s="12">
        <v>673</v>
      </c>
      <c r="B231" s="12" t="s">
        <v>4101</v>
      </c>
      <c r="C231" s="78" t="s">
        <v>335</v>
      </c>
      <c r="D231" s="99" t="s">
        <v>86</v>
      </c>
      <c r="E231" s="99" t="s">
        <v>6597</v>
      </c>
      <c r="F231" s="100">
        <v>45467</v>
      </c>
      <c r="G231" s="100">
        <v>45467</v>
      </c>
      <c r="H231" s="101">
        <f t="shared" si="18"/>
        <v>45557</v>
      </c>
      <c r="I231" s="101" t="s">
        <v>290</v>
      </c>
      <c r="J231" s="12" t="s">
        <v>4375</v>
      </c>
      <c r="K231" s="12" t="s">
        <v>4494</v>
      </c>
      <c r="L231" s="12" t="s">
        <v>1017</v>
      </c>
      <c r="M231" s="102" t="str">
        <f t="shared" si="19"/>
        <v>LLAMAS ANDRADE MARCO ANTONIO</v>
      </c>
      <c r="N231" s="102" t="s">
        <v>6998</v>
      </c>
      <c r="O231" s="102" t="s">
        <v>4696</v>
      </c>
      <c r="P231" s="12" t="s">
        <v>1953</v>
      </c>
      <c r="Q231" s="100">
        <v>28528</v>
      </c>
      <c r="R231" s="77">
        <f t="shared" si="20"/>
        <v>7</v>
      </c>
      <c r="S231" s="77">
        <f t="shared" si="21"/>
        <v>2</v>
      </c>
      <c r="T231" s="77">
        <f t="shared" si="22"/>
        <v>1978</v>
      </c>
      <c r="U231" s="103">
        <f t="shared" ca="1" si="23"/>
        <v>48.709589041095889</v>
      </c>
      <c r="V231" s="13" t="s">
        <v>452</v>
      </c>
      <c r="W231" s="13" t="s">
        <v>2107</v>
      </c>
      <c r="X231" s="12" t="s">
        <v>1497</v>
      </c>
      <c r="Y231" s="12" t="s">
        <v>150</v>
      </c>
      <c r="Z231" s="12" t="s">
        <v>153</v>
      </c>
      <c r="AA231" s="12" t="s">
        <v>347</v>
      </c>
      <c r="AB231" s="12" t="s">
        <v>842</v>
      </c>
      <c r="AC231" s="12" t="s">
        <v>313</v>
      </c>
      <c r="AD231" s="12" t="s">
        <v>314</v>
      </c>
      <c r="AE231" s="12">
        <v>90</v>
      </c>
      <c r="AF231" s="13" t="s">
        <v>315</v>
      </c>
      <c r="AG231" s="12" t="s">
        <v>290</v>
      </c>
      <c r="AH231" s="104" t="s">
        <v>843</v>
      </c>
      <c r="AI231" s="12" t="s">
        <v>317</v>
      </c>
      <c r="AJ231" s="12" t="s">
        <v>318</v>
      </c>
      <c r="AK231" s="12" t="s">
        <v>2732</v>
      </c>
      <c r="AL231" s="104" t="s">
        <v>3013</v>
      </c>
      <c r="AM231" s="12" t="s">
        <v>2484</v>
      </c>
      <c r="AN231" s="12" t="s">
        <v>560</v>
      </c>
      <c r="AO231" s="12" t="s">
        <v>398</v>
      </c>
      <c r="AP231" s="12"/>
      <c r="AQ231" s="12" t="s">
        <v>3276</v>
      </c>
      <c r="AR231" s="12">
        <v>210</v>
      </c>
      <c r="AS231" s="12" t="s">
        <v>328</v>
      </c>
      <c r="AT231" s="12" t="s">
        <v>483</v>
      </c>
      <c r="AU231" s="12" t="s">
        <v>483</v>
      </c>
      <c r="AV231" s="12">
        <v>78038</v>
      </c>
      <c r="AW231" s="12" t="s">
        <v>357</v>
      </c>
      <c r="AX231" s="12" t="s">
        <v>357</v>
      </c>
      <c r="AY231" s="12" t="s">
        <v>329</v>
      </c>
      <c r="AZ231" s="12"/>
      <c r="BA231" s="12"/>
      <c r="BB231" s="12"/>
      <c r="BC231" s="12"/>
      <c r="BD231" s="12" t="s">
        <v>3505</v>
      </c>
      <c r="BE231" s="12" t="s">
        <v>439</v>
      </c>
      <c r="BF231" s="12" t="s">
        <v>3686</v>
      </c>
      <c r="BG231" s="12" t="s">
        <v>333</v>
      </c>
      <c r="BH231" s="12" t="s">
        <v>334</v>
      </c>
      <c r="BI231" s="12" t="s">
        <v>3831</v>
      </c>
      <c r="BJ231" s="12" t="s">
        <v>3831</v>
      </c>
      <c r="BK231" s="12"/>
      <c r="BL231" s="105"/>
      <c r="BM231" s="12"/>
      <c r="BN231" s="12"/>
      <c r="BO231" s="105"/>
      <c r="BP231" s="12"/>
      <c r="BQ231" s="12"/>
      <c r="BR231" s="12"/>
      <c r="BS231" s="12"/>
      <c r="BT231" s="12"/>
      <c r="BU231" s="12"/>
      <c r="BV231" s="12"/>
      <c r="BW231" s="12"/>
      <c r="BX231" s="12"/>
      <c r="BY231" s="12"/>
      <c r="BZ231" s="12"/>
      <c r="CA231" s="12"/>
      <c r="CB231" s="12"/>
      <c r="CC231" s="12"/>
      <c r="CD231" s="78"/>
    </row>
    <row r="232" spans="1:82" s="116" customFormat="1" ht="13.9" customHeight="1" x14ac:dyDescent="0.2">
      <c r="A232" s="109">
        <v>675</v>
      </c>
      <c r="B232" s="109" t="s">
        <v>4071</v>
      </c>
      <c r="C232" s="110" t="s">
        <v>335</v>
      </c>
      <c r="D232" s="111" t="s">
        <v>140</v>
      </c>
      <c r="E232" s="111" t="s">
        <v>6598</v>
      </c>
      <c r="F232" s="112">
        <v>45468</v>
      </c>
      <c r="G232" s="112">
        <v>45468</v>
      </c>
      <c r="H232" s="113">
        <f t="shared" si="18"/>
        <v>45558</v>
      </c>
      <c r="I232" s="113" t="s">
        <v>290</v>
      </c>
      <c r="J232" s="109" t="s">
        <v>4311</v>
      </c>
      <c r="K232" s="109" t="s">
        <v>4440</v>
      </c>
      <c r="L232" s="109" t="s">
        <v>1795</v>
      </c>
      <c r="M232" s="128" t="str">
        <f t="shared" si="19"/>
        <v>JACOBO GUTIERREZ JUAN FERNANDO</v>
      </c>
      <c r="N232" s="128" t="s">
        <v>6999</v>
      </c>
      <c r="O232" s="128" t="s">
        <v>4661</v>
      </c>
      <c r="P232" s="109" t="s">
        <v>1953</v>
      </c>
      <c r="Q232" s="112">
        <v>36249</v>
      </c>
      <c r="R232" s="125">
        <f t="shared" si="20"/>
        <v>30</v>
      </c>
      <c r="S232" s="125">
        <f t="shared" si="21"/>
        <v>3</v>
      </c>
      <c r="T232" s="125">
        <f t="shared" si="22"/>
        <v>1999</v>
      </c>
      <c r="U232" s="142">
        <f t="shared" ca="1" si="23"/>
        <v>27.556164383561644</v>
      </c>
      <c r="V232" s="114" t="s">
        <v>389</v>
      </c>
      <c r="W232" s="114" t="s">
        <v>2073</v>
      </c>
      <c r="X232" s="109" t="s">
        <v>1497</v>
      </c>
      <c r="Y232" s="109" t="s">
        <v>141</v>
      </c>
      <c r="Z232" s="109" t="s">
        <v>142</v>
      </c>
      <c r="AA232" s="109" t="s">
        <v>347</v>
      </c>
      <c r="AB232" s="109" t="s">
        <v>888</v>
      </c>
      <c r="AC232" s="109" t="s">
        <v>313</v>
      </c>
      <c r="AD232" s="109" t="s">
        <v>314</v>
      </c>
      <c r="AE232" s="109">
        <v>90</v>
      </c>
      <c r="AF232" s="114" t="s">
        <v>554</v>
      </c>
      <c r="AG232" s="109" t="s">
        <v>290</v>
      </c>
      <c r="AH232" s="115" t="s">
        <v>555</v>
      </c>
      <c r="AI232" s="109" t="s">
        <v>317</v>
      </c>
      <c r="AJ232" s="109" t="s">
        <v>318</v>
      </c>
      <c r="AK232" s="109" t="s">
        <v>2711</v>
      </c>
      <c r="AL232" s="115" t="s">
        <v>2979</v>
      </c>
      <c r="AM232" s="109" t="s">
        <v>2454</v>
      </c>
      <c r="AN232" s="109" t="s">
        <v>622</v>
      </c>
      <c r="AO232" s="109" t="s">
        <v>398</v>
      </c>
      <c r="AP232" s="109"/>
      <c r="AQ232" s="109" t="s">
        <v>3259</v>
      </c>
      <c r="AR232" s="109">
        <v>23</v>
      </c>
      <c r="AS232" s="109">
        <v>73</v>
      </c>
      <c r="AT232" s="109" t="s">
        <v>140</v>
      </c>
      <c r="AU232" s="109" t="s">
        <v>140</v>
      </c>
      <c r="AV232" s="109">
        <v>76150</v>
      </c>
      <c r="AW232" s="109" t="s">
        <v>357</v>
      </c>
      <c r="AX232" s="109" t="s">
        <v>357</v>
      </c>
      <c r="AY232" s="109" t="s">
        <v>357</v>
      </c>
      <c r="AZ232" s="109"/>
      <c r="BA232" s="109"/>
      <c r="BB232" s="109"/>
      <c r="BC232" s="109"/>
      <c r="BD232" s="109" t="s">
        <v>2454</v>
      </c>
      <c r="BE232" s="109" t="s">
        <v>622</v>
      </c>
      <c r="BF232" s="109" t="s">
        <v>3661</v>
      </c>
      <c r="BG232" s="109" t="s">
        <v>333</v>
      </c>
      <c r="BH232" s="109" t="s">
        <v>334</v>
      </c>
      <c r="BI232" s="109" t="s">
        <v>3831</v>
      </c>
      <c r="BJ232" s="109" t="s">
        <v>3888</v>
      </c>
      <c r="BK232" s="109" t="s">
        <v>571</v>
      </c>
      <c r="BL232" s="111" t="s">
        <v>3924</v>
      </c>
      <c r="BM232" s="109"/>
      <c r="BN232" s="109">
        <v>0</v>
      </c>
      <c r="BO232" s="111">
        <v>0</v>
      </c>
      <c r="BP232" s="109"/>
      <c r="BQ232" s="109">
        <v>0</v>
      </c>
      <c r="BR232" s="109">
        <v>0</v>
      </c>
      <c r="BS232" s="109"/>
      <c r="BT232" s="109">
        <v>0</v>
      </c>
      <c r="BU232" s="109">
        <v>0</v>
      </c>
      <c r="BV232" s="109"/>
      <c r="BW232" s="109">
        <v>0</v>
      </c>
      <c r="BX232" s="109">
        <v>0</v>
      </c>
      <c r="BY232" s="109"/>
      <c r="BZ232" s="109">
        <v>0</v>
      </c>
      <c r="CA232" s="109"/>
      <c r="CB232" s="109"/>
      <c r="CC232" s="109"/>
      <c r="CD232" s="110"/>
    </row>
    <row r="233" spans="1:82" ht="13.9" customHeight="1" x14ac:dyDescent="0.2">
      <c r="A233" s="12">
        <v>678</v>
      </c>
      <c r="B233" s="12" t="s">
        <v>4013</v>
      </c>
      <c r="C233" s="104" t="s">
        <v>564</v>
      </c>
      <c r="D233" s="107" t="s">
        <v>81</v>
      </c>
      <c r="E233" s="99" t="s">
        <v>1693</v>
      </c>
      <c r="F233" s="100">
        <v>45481</v>
      </c>
      <c r="G233" s="100">
        <v>45481</v>
      </c>
      <c r="H233" s="101">
        <f t="shared" si="18"/>
        <v>45571</v>
      </c>
      <c r="I233" s="101" t="s">
        <v>291</v>
      </c>
      <c r="J233" s="12" t="s">
        <v>384</v>
      </c>
      <c r="K233" s="12" t="s">
        <v>4415</v>
      </c>
      <c r="L233" s="12" t="s">
        <v>1926</v>
      </c>
      <c r="M233" s="102" t="str">
        <f t="shared" si="19"/>
        <v>SANCHEZ NAVARRO JUAN PEDRO</v>
      </c>
      <c r="N233" s="102" t="s">
        <v>7000</v>
      </c>
      <c r="O233" s="102" t="s">
        <v>4832</v>
      </c>
      <c r="P233" s="12" t="s">
        <v>1953</v>
      </c>
      <c r="Q233" s="100">
        <v>29280</v>
      </c>
      <c r="R233" s="77">
        <f t="shared" si="20"/>
        <v>29</v>
      </c>
      <c r="S233" s="77">
        <f t="shared" si="21"/>
        <v>2</v>
      </c>
      <c r="T233" s="77">
        <f t="shared" si="22"/>
        <v>1980</v>
      </c>
      <c r="U233" s="103">
        <f t="shared" ca="1" si="23"/>
        <v>46.649315068493152</v>
      </c>
      <c r="V233" s="13" t="s">
        <v>342</v>
      </c>
      <c r="W233" s="13" t="s">
        <v>2243</v>
      </c>
      <c r="X233" s="12" t="s">
        <v>1497</v>
      </c>
      <c r="Y233" s="108" t="s">
        <v>261</v>
      </c>
      <c r="Z233" s="12" t="s">
        <v>260</v>
      </c>
      <c r="AA233" s="12" t="s">
        <v>532</v>
      </c>
      <c r="AB233" s="12" t="s">
        <v>637</v>
      </c>
      <c r="AC233" s="12" t="s">
        <v>313</v>
      </c>
      <c r="AD233" s="12" t="s">
        <v>314</v>
      </c>
      <c r="AE233" s="12">
        <v>90</v>
      </c>
      <c r="AF233" s="13" t="s">
        <v>710</v>
      </c>
      <c r="AG233" s="12" t="s">
        <v>291</v>
      </c>
      <c r="AH233" s="104" t="s">
        <v>575</v>
      </c>
      <c r="AI233" s="12" t="s">
        <v>317</v>
      </c>
      <c r="AJ233" s="12" t="s">
        <v>318</v>
      </c>
      <c r="AK233" s="12" t="s">
        <v>2843</v>
      </c>
      <c r="AL233" s="104" t="s">
        <v>3147</v>
      </c>
      <c r="AM233" s="12" t="s">
        <v>2614</v>
      </c>
      <c r="AN233" s="12" t="s">
        <v>3189</v>
      </c>
      <c r="AO233" s="12" t="s">
        <v>398</v>
      </c>
      <c r="AP233" s="12"/>
      <c r="AQ233" s="12" t="s">
        <v>3338</v>
      </c>
      <c r="AR233" s="12" t="s">
        <v>3367</v>
      </c>
      <c r="AS233" s="12" t="s">
        <v>328</v>
      </c>
      <c r="AT233" s="12" t="s">
        <v>624</v>
      </c>
      <c r="AU233" s="12" t="s">
        <v>583</v>
      </c>
      <c r="AV233" s="12">
        <v>45680</v>
      </c>
      <c r="AW233" s="12" t="s">
        <v>357</v>
      </c>
      <c r="AX233" s="12" t="s">
        <v>357</v>
      </c>
      <c r="AY233" s="12" t="s">
        <v>3420</v>
      </c>
      <c r="AZ233" s="12"/>
      <c r="BA233" s="12"/>
      <c r="BB233" s="12"/>
      <c r="BC233" s="12"/>
      <c r="BD233" s="12" t="s">
        <v>3567</v>
      </c>
      <c r="BE233" s="12" t="s">
        <v>381</v>
      </c>
      <c r="BF233" s="12" t="s">
        <v>3795</v>
      </c>
      <c r="BG233" s="12" t="s">
        <v>333</v>
      </c>
      <c r="BH233" s="12" t="s">
        <v>334</v>
      </c>
      <c r="BI233" s="12" t="s">
        <v>3831</v>
      </c>
      <c r="BJ233" s="12" t="s">
        <v>3888</v>
      </c>
      <c r="BK233" s="12" t="s">
        <v>571</v>
      </c>
      <c r="BL233" s="105" t="s">
        <v>3929</v>
      </c>
      <c r="BM233" s="12"/>
      <c r="BN233" s="12" t="s">
        <v>3911</v>
      </c>
      <c r="BO233" s="105" t="s">
        <v>3930</v>
      </c>
      <c r="BP233" s="12"/>
      <c r="BQ233" s="12" t="s">
        <v>3911</v>
      </c>
      <c r="BR233" s="12" t="s">
        <v>3913</v>
      </c>
      <c r="BS233" s="12"/>
      <c r="BT233" s="12">
        <v>0</v>
      </c>
      <c r="BU233" s="12">
        <v>0</v>
      </c>
      <c r="BV233" s="12"/>
      <c r="BW233" s="12">
        <v>0</v>
      </c>
      <c r="BX233" s="12">
        <v>0</v>
      </c>
      <c r="BY233" s="12"/>
      <c r="BZ233" s="12">
        <v>0</v>
      </c>
      <c r="CA233" s="12"/>
      <c r="CB233" s="12"/>
      <c r="CC233" s="12"/>
      <c r="CD233" s="78"/>
    </row>
    <row r="234" spans="1:82" ht="13.9" customHeight="1" x14ac:dyDescent="0.2">
      <c r="A234" s="12">
        <v>680</v>
      </c>
      <c r="B234" s="12" t="s">
        <v>4061</v>
      </c>
      <c r="C234" s="78" t="s">
        <v>335</v>
      </c>
      <c r="D234" s="99" t="s">
        <v>127</v>
      </c>
      <c r="E234" s="99" t="s">
        <v>6599</v>
      </c>
      <c r="F234" s="100">
        <v>45481</v>
      </c>
      <c r="G234" s="100">
        <v>45481</v>
      </c>
      <c r="H234" s="101">
        <f t="shared" si="18"/>
        <v>45571</v>
      </c>
      <c r="I234" s="101" t="s">
        <v>290</v>
      </c>
      <c r="J234" s="12" t="s">
        <v>870</v>
      </c>
      <c r="K234" s="12" t="s">
        <v>4357</v>
      </c>
      <c r="L234" s="12" t="s">
        <v>1785</v>
      </c>
      <c r="M234" s="102" t="str">
        <f t="shared" si="19"/>
        <v>ALVARADO MOLINA JOSE PORFIRIO</v>
      </c>
      <c r="N234" s="102" t="s">
        <v>7001</v>
      </c>
      <c r="O234" s="102" t="s">
        <v>4650</v>
      </c>
      <c r="P234" s="12" t="s">
        <v>1953</v>
      </c>
      <c r="Q234" s="100">
        <v>30177</v>
      </c>
      <c r="R234" s="77">
        <f t="shared" si="20"/>
        <v>14</v>
      </c>
      <c r="S234" s="77">
        <f t="shared" si="21"/>
        <v>8</v>
      </c>
      <c r="T234" s="77">
        <f t="shared" si="22"/>
        <v>1982</v>
      </c>
      <c r="U234" s="103">
        <f t="shared" ca="1" si="23"/>
        <v>44.19178082191781</v>
      </c>
      <c r="V234" s="13" t="s">
        <v>342</v>
      </c>
      <c r="W234" s="13" t="s">
        <v>2062</v>
      </c>
      <c r="X234" s="12" t="s">
        <v>1497</v>
      </c>
      <c r="Y234" s="12" t="s">
        <v>132</v>
      </c>
      <c r="Z234" s="12" t="s">
        <v>128</v>
      </c>
      <c r="AA234" s="12" t="s">
        <v>532</v>
      </c>
      <c r="AB234" s="12" t="s">
        <v>2289</v>
      </c>
      <c r="AC234" s="12" t="s">
        <v>313</v>
      </c>
      <c r="AD234" s="12" t="s">
        <v>314</v>
      </c>
      <c r="AE234" s="12">
        <v>90</v>
      </c>
      <c r="AF234" s="13" t="s">
        <v>413</v>
      </c>
      <c r="AG234" s="12" t="s">
        <v>290</v>
      </c>
      <c r="AH234" s="104" t="s">
        <v>2339</v>
      </c>
      <c r="AI234" s="12" t="s">
        <v>317</v>
      </c>
      <c r="AJ234" s="12" t="s">
        <v>318</v>
      </c>
      <c r="AK234" s="12" t="s">
        <v>2707</v>
      </c>
      <c r="AL234" s="104" t="s">
        <v>2968</v>
      </c>
      <c r="AM234" s="12" t="s">
        <v>2444</v>
      </c>
      <c r="AN234" s="12" t="s">
        <v>381</v>
      </c>
      <c r="AO234" s="12" t="s">
        <v>327</v>
      </c>
      <c r="AP234" s="12"/>
      <c r="AQ234" s="12" t="s">
        <v>3253</v>
      </c>
      <c r="AR234" s="12">
        <v>609</v>
      </c>
      <c r="AS234" s="12" t="s">
        <v>328</v>
      </c>
      <c r="AT234" s="12" t="s">
        <v>127</v>
      </c>
      <c r="AU234" s="12" t="s">
        <v>483</v>
      </c>
      <c r="AV234" s="12">
        <v>78819</v>
      </c>
      <c r="AW234" s="12" t="s">
        <v>357</v>
      </c>
      <c r="AX234" s="12">
        <v>0</v>
      </c>
      <c r="AY234" s="12" t="s">
        <v>357</v>
      </c>
      <c r="AZ234" s="12"/>
      <c r="BA234" s="12"/>
      <c r="BB234" s="12"/>
      <c r="BC234" s="12"/>
      <c r="BD234" s="12" t="s">
        <v>2444</v>
      </c>
      <c r="BE234" s="12" t="s">
        <v>381</v>
      </c>
      <c r="BF234" s="12" t="s">
        <v>3655</v>
      </c>
      <c r="BG234" s="12" t="s">
        <v>1349</v>
      </c>
      <c r="BH234" s="12" t="s">
        <v>334</v>
      </c>
      <c r="BI234" s="12" t="s">
        <v>3831</v>
      </c>
      <c r="BJ234" s="12" t="s">
        <v>3831</v>
      </c>
      <c r="BK234" s="12"/>
      <c r="BL234" s="105"/>
      <c r="BM234" s="12"/>
      <c r="BN234" s="12"/>
      <c r="BO234" s="105"/>
      <c r="BP234" s="12"/>
      <c r="BQ234" s="12"/>
      <c r="BR234" s="12"/>
      <c r="BS234" s="12"/>
      <c r="BT234" s="12"/>
      <c r="BU234" s="12"/>
      <c r="BV234" s="12"/>
      <c r="BW234" s="12"/>
      <c r="BX234" s="12"/>
      <c r="BY234" s="12"/>
      <c r="BZ234" s="12"/>
      <c r="CA234" s="12"/>
      <c r="CB234" s="12"/>
      <c r="CC234" s="12"/>
      <c r="CD234" s="78"/>
    </row>
    <row r="235" spans="1:82" s="116" customFormat="1" ht="13.9" customHeight="1" x14ac:dyDescent="0.2">
      <c r="A235" s="109">
        <v>924</v>
      </c>
      <c r="B235" s="109" t="s">
        <v>4252</v>
      </c>
      <c r="C235" s="115" t="s">
        <v>299</v>
      </c>
      <c r="D235" s="111" t="s">
        <v>80</v>
      </c>
      <c r="E235" s="111" t="s">
        <v>6600</v>
      </c>
      <c r="F235" s="112">
        <v>45481</v>
      </c>
      <c r="G235" s="112">
        <v>45481</v>
      </c>
      <c r="H235" s="113">
        <f t="shared" si="18"/>
        <v>45571</v>
      </c>
      <c r="I235" s="113" t="s">
        <v>291</v>
      </c>
      <c r="J235" s="109" t="s">
        <v>1408</v>
      </c>
      <c r="K235" s="109" t="s">
        <v>1239</v>
      </c>
      <c r="L235" s="109" t="s">
        <v>1871</v>
      </c>
      <c r="M235" s="128" t="str">
        <f t="shared" si="19"/>
        <v>RUIZ VAZQUEZ SAUL TRINIDAD</v>
      </c>
      <c r="N235" s="128" t="s">
        <v>7002</v>
      </c>
      <c r="O235" s="128" t="s">
        <v>4755</v>
      </c>
      <c r="P235" s="109" t="s">
        <v>1953</v>
      </c>
      <c r="Q235" s="112">
        <v>25854</v>
      </c>
      <c r="R235" s="125">
        <f t="shared" si="20"/>
        <v>13</v>
      </c>
      <c r="S235" s="125">
        <f t="shared" si="21"/>
        <v>10</v>
      </c>
      <c r="T235" s="125">
        <f t="shared" si="22"/>
        <v>1970</v>
      </c>
      <c r="U235" s="142">
        <f t="shared" ca="1" si="23"/>
        <v>56.035616438356165</v>
      </c>
      <c r="V235" s="114" t="s">
        <v>389</v>
      </c>
      <c r="W235" s="114" t="s">
        <v>2166</v>
      </c>
      <c r="X235" s="109" t="s">
        <v>1497</v>
      </c>
      <c r="Y235" s="123" t="s">
        <v>200</v>
      </c>
      <c r="Z235" s="109" t="s">
        <v>196</v>
      </c>
      <c r="AA235" s="109" t="s">
        <v>2273</v>
      </c>
      <c r="AB235" s="109" t="s">
        <v>2288</v>
      </c>
      <c r="AC235" s="109" t="s">
        <v>313</v>
      </c>
      <c r="AD235" s="109" t="s">
        <v>314</v>
      </c>
      <c r="AE235" s="109">
        <v>90</v>
      </c>
      <c r="AF235" s="114" t="s">
        <v>315</v>
      </c>
      <c r="AG235" s="109" t="s">
        <v>291</v>
      </c>
      <c r="AH235" s="115" t="s">
        <v>1329</v>
      </c>
      <c r="AI235" s="109" t="s">
        <v>317</v>
      </c>
      <c r="AJ235" s="109" t="s">
        <v>318</v>
      </c>
      <c r="AK235" s="109" t="s">
        <v>2780</v>
      </c>
      <c r="AL235" s="115" t="s">
        <v>3072</v>
      </c>
      <c r="AM235" s="109" t="s">
        <v>2543</v>
      </c>
      <c r="AN235" s="109" t="s">
        <v>832</v>
      </c>
      <c r="AO235" s="109" t="s">
        <v>398</v>
      </c>
      <c r="AP235" s="109"/>
      <c r="AQ235" s="109" t="s">
        <v>127</v>
      </c>
      <c r="AR235" s="109">
        <v>835</v>
      </c>
      <c r="AS235" s="109" t="s">
        <v>328</v>
      </c>
      <c r="AT235" s="109" t="s">
        <v>482</v>
      </c>
      <c r="AU235" s="109" t="s">
        <v>483</v>
      </c>
      <c r="AV235" s="109">
        <v>78433</v>
      </c>
      <c r="AW235" s="109" t="s">
        <v>357</v>
      </c>
      <c r="AX235" s="109">
        <v>0</v>
      </c>
      <c r="AY235" s="109" t="s">
        <v>357</v>
      </c>
      <c r="AZ235" s="109"/>
      <c r="BA235" s="109"/>
      <c r="BB235" s="109"/>
      <c r="BC235" s="109"/>
      <c r="BD235" s="109" t="s">
        <v>3530</v>
      </c>
      <c r="BE235" s="109" t="s">
        <v>401</v>
      </c>
      <c r="BF235" s="109" t="s">
        <v>3734</v>
      </c>
      <c r="BG235" s="109" t="s">
        <v>333</v>
      </c>
      <c r="BH235" s="109" t="s">
        <v>334</v>
      </c>
      <c r="BI235" s="109" t="s">
        <v>3831</v>
      </c>
      <c r="BJ235" s="109" t="s">
        <v>3888</v>
      </c>
      <c r="BK235" s="109" t="s">
        <v>3911</v>
      </c>
      <c r="BL235" s="111" t="s">
        <v>3929</v>
      </c>
      <c r="BM235" s="109"/>
      <c r="BN235" s="109" t="s">
        <v>3911</v>
      </c>
      <c r="BO235" s="111" t="s">
        <v>3943</v>
      </c>
      <c r="BP235" s="109"/>
      <c r="BQ235" s="109">
        <v>0</v>
      </c>
      <c r="BR235" s="109">
        <v>0</v>
      </c>
      <c r="BS235" s="109"/>
      <c r="BT235" s="109">
        <v>0</v>
      </c>
      <c r="BU235" s="109">
        <v>0</v>
      </c>
      <c r="BV235" s="109"/>
      <c r="BW235" s="109">
        <v>0</v>
      </c>
      <c r="BX235" s="109">
        <v>0</v>
      </c>
      <c r="BY235" s="109"/>
      <c r="BZ235" s="109">
        <v>0</v>
      </c>
      <c r="CA235" s="109"/>
      <c r="CB235" s="109"/>
      <c r="CC235" s="109"/>
      <c r="CD235" s="110"/>
    </row>
    <row r="236" spans="1:82" s="116" customFormat="1" ht="13.9" customHeight="1" x14ac:dyDescent="0.2">
      <c r="A236" s="109">
        <v>686</v>
      </c>
      <c r="B236" s="109" t="s">
        <v>4072</v>
      </c>
      <c r="C236" s="110" t="s">
        <v>335</v>
      </c>
      <c r="D236" s="111" t="s">
        <v>140</v>
      </c>
      <c r="E236" s="111" t="s">
        <v>6601</v>
      </c>
      <c r="F236" s="112">
        <v>45488</v>
      </c>
      <c r="G236" s="112">
        <v>45488</v>
      </c>
      <c r="H236" s="113">
        <f t="shared" si="18"/>
        <v>45578</v>
      </c>
      <c r="I236" s="113" t="s">
        <v>290</v>
      </c>
      <c r="J236" s="109" t="s">
        <v>4361</v>
      </c>
      <c r="K236" s="109" t="s">
        <v>4363</v>
      </c>
      <c r="L236" s="109" t="s">
        <v>426</v>
      </c>
      <c r="M236" s="128" t="str">
        <f t="shared" si="19"/>
        <v>MENDOZA OLVERA FERNANDO</v>
      </c>
      <c r="N236" s="128" t="s">
        <v>7003</v>
      </c>
      <c r="O236" s="128" t="s">
        <v>4662</v>
      </c>
      <c r="P236" s="109" t="s">
        <v>1953</v>
      </c>
      <c r="Q236" s="112">
        <v>30595</v>
      </c>
      <c r="R236" s="125">
        <f t="shared" si="20"/>
        <v>6</v>
      </c>
      <c r="S236" s="125">
        <f t="shared" si="21"/>
        <v>10</v>
      </c>
      <c r="T236" s="125">
        <f t="shared" si="22"/>
        <v>1983</v>
      </c>
      <c r="U236" s="142">
        <f t="shared" ca="1" si="23"/>
        <v>43.046575342465751</v>
      </c>
      <c r="V236" s="114" t="s">
        <v>342</v>
      </c>
      <c r="W236" s="114" t="s">
        <v>2074</v>
      </c>
      <c r="X236" s="109" t="s">
        <v>1497</v>
      </c>
      <c r="Y236" s="109" t="s">
        <v>141</v>
      </c>
      <c r="Z236" s="109" t="s">
        <v>142</v>
      </c>
      <c r="AA236" s="109" t="s">
        <v>347</v>
      </c>
      <c r="AB236" s="109" t="s">
        <v>888</v>
      </c>
      <c r="AC236" s="109" t="s">
        <v>313</v>
      </c>
      <c r="AD236" s="109" t="s">
        <v>314</v>
      </c>
      <c r="AE236" s="109">
        <v>90</v>
      </c>
      <c r="AF236" s="114" t="s">
        <v>554</v>
      </c>
      <c r="AG236" s="109" t="s">
        <v>290</v>
      </c>
      <c r="AH236" s="115" t="s">
        <v>555</v>
      </c>
      <c r="AI236" s="109" t="s">
        <v>317</v>
      </c>
      <c r="AJ236" s="109" t="s">
        <v>318</v>
      </c>
      <c r="AK236" s="109" t="s">
        <v>2712</v>
      </c>
      <c r="AL236" s="115" t="s">
        <v>2980</v>
      </c>
      <c r="AM236" s="109" t="s">
        <v>2455</v>
      </c>
      <c r="AN236" s="109" t="s">
        <v>560</v>
      </c>
      <c r="AO236" s="109" t="s">
        <v>398</v>
      </c>
      <c r="AP236" s="109"/>
      <c r="AQ236" s="109" t="s">
        <v>3260</v>
      </c>
      <c r="AR236" s="109">
        <v>72</v>
      </c>
      <c r="AS236" s="109" t="s">
        <v>328</v>
      </c>
      <c r="AT236" s="109" t="s">
        <v>3390</v>
      </c>
      <c r="AU236" s="109" t="s">
        <v>1066</v>
      </c>
      <c r="AV236" s="109">
        <v>55340</v>
      </c>
      <c r="AW236" s="109" t="s">
        <v>357</v>
      </c>
      <c r="AX236" s="109" t="s">
        <v>357</v>
      </c>
      <c r="AY236" s="109" t="s">
        <v>357</v>
      </c>
      <c r="AZ236" s="109"/>
      <c r="BA236" s="109"/>
      <c r="BB236" s="109"/>
      <c r="BC236" s="109"/>
      <c r="BD236" s="109" t="s">
        <v>2455</v>
      </c>
      <c r="BE236" s="109" t="s">
        <v>381</v>
      </c>
      <c r="BF236" s="109" t="s">
        <v>3662</v>
      </c>
      <c r="BG236" s="109" t="s">
        <v>333</v>
      </c>
      <c r="BH236" s="109" t="s">
        <v>334</v>
      </c>
      <c r="BI236" s="109" t="s">
        <v>3831</v>
      </c>
      <c r="BJ236" s="109" t="s">
        <v>3888</v>
      </c>
      <c r="BK236" s="109" t="s">
        <v>571</v>
      </c>
      <c r="BL236" s="111" t="s">
        <v>3917</v>
      </c>
      <c r="BM236" s="109"/>
      <c r="BN236" s="109" t="s">
        <v>571</v>
      </c>
      <c r="BO236" s="111" t="s">
        <v>3924</v>
      </c>
      <c r="BP236" s="109"/>
      <c r="BQ236" s="109">
        <v>0</v>
      </c>
      <c r="BR236" s="109">
        <v>0</v>
      </c>
      <c r="BS236" s="109"/>
      <c r="BT236" s="109">
        <v>0</v>
      </c>
      <c r="BU236" s="109">
        <v>0</v>
      </c>
      <c r="BV236" s="109"/>
      <c r="BW236" s="109">
        <v>0</v>
      </c>
      <c r="BX236" s="109">
        <v>0</v>
      </c>
      <c r="BY236" s="109"/>
      <c r="BZ236" s="109">
        <v>0</v>
      </c>
      <c r="CA236" s="109"/>
      <c r="CB236" s="109"/>
      <c r="CC236" s="109"/>
      <c r="CD236" s="110"/>
    </row>
    <row r="237" spans="1:82" ht="13.9" customHeight="1" x14ac:dyDescent="0.2">
      <c r="A237" s="12">
        <v>691</v>
      </c>
      <c r="B237" s="12" t="s">
        <v>4100</v>
      </c>
      <c r="C237" s="78" t="s">
        <v>335</v>
      </c>
      <c r="D237" s="99" t="s">
        <v>86</v>
      </c>
      <c r="E237" s="99" t="s">
        <v>6602</v>
      </c>
      <c r="F237" s="100">
        <v>45498</v>
      </c>
      <c r="G237" s="100">
        <v>45498</v>
      </c>
      <c r="H237" s="101">
        <f t="shared" si="18"/>
        <v>45588</v>
      </c>
      <c r="I237" s="101" t="s">
        <v>290</v>
      </c>
      <c r="J237" s="12" t="s">
        <v>4312</v>
      </c>
      <c r="K237" s="12" t="s">
        <v>1044</v>
      </c>
      <c r="L237" s="12" t="s">
        <v>1820</v>
      </c>
      <c r="M237" s="102" t="str">
        <f t="shared" si="19"/>
        <v>SANTILLAN RODRIGUEZ GRISELDA ELIZABETH</v>
      </c>
      <c r="N237" s="102" t="s">
        <v>7004</v>
      </c>
      <c r="O237" s="102" t="s">
        <v>4697</v>
      </c>
      <c r="P237" s="12" t="s">
        <v>1953</v>
      </c>
      <c r="Q237" s="100">
        <v>34119</v>
      </c>
      <c r="R237" s="77">
        <f t="shared" si="20"/>
        <v>30</v>
      </c>
      <c r="S237" s="77">
        <f t="shared" si="21"/>
        <v>5</v>
      </c>
      <c r="T237" s="77">
        <f t="shared" si="22"/>
        <v>1993</v>
      </c>
      <c r="U237" s="103">
        <f t="shared" ca="1" si="23"/>
        <v>33.391780821917806</v>
      </c>
      <c r="V237" s="13" t="s">
        <v>308</v>
      </c>
      <c r="W237" s="13" t="s">
        <v>2108</v>
      </c>
      <c r="X237" s="12" t="s">
        <v>1497</v>
      </c>
      <c r="Y237" s="12" t="s">
        <v>157</v>
      </c>
      <c r="Z237" s="12" t="s">
        <v>158</v>
      </c>
      <c r="AA237" s="12" t="s">
        <v>636</v>
      </c>
      <c r="AB237" s="12" t="s">
        <v>2295</v>
      </c>
      <c r="AC237" s="12" t="s">
        <v>313</v>
      </c>
      <c r="AD237" s="12" t="s">
        <v>314</v>
      </c>
      <c r="AE237" s="12">
        <v>90</v>
      </c>
      <c r="AF237" s="13" t="s">
        <v>315</v>
      </c>
      <c r="AG237" s="12" t="s">
        <v>290</v>
      </c>
      <c r="AH237" s="104" t="s">
        <v>843</v>
      </c>
      <c r="AI237" s="12" t="s">
        <v>317</v>
      </c>
      <c r="AJ237" s="12" t="s">
        <v>318</v>
      </c>
      <c r="AK237" s="12" t="s">
        <v>2733</v>
      </c>
      <c r="AL237" s="104" t="s">
        <v>3014</v>
      </c>
      <c r="AM237" s="12" t="s">
        <v>2485</v>
      </c>
      <c r="AN237" s="12" t="s">
        <v>325</v>
      </c>
      <c r="AO237" s="12" t="s">
        <v>398</v>
      </c>
      <c r="AP237" s="12"/>
      <c r="AQ237" s="12" t="s">
        <v>3277</v>
      </c>
      <c r="AR237" s="12" t="s">
        <v>328</v>
      </c>
      <c r="AS237" s="12">
        <v>1020</v>
      </c>
      <c r="AT237" s="12" t="s">
        <v>482</v>
      </c>
      <c r="AU237" s="12" t="s">
        <v>483</v>
      </c>
      <c r="AV237" s="12">
        <v>78437</v>
      </c>
      <c r="AW237" s="12" t="s">
        <v>357</v>
      </c>
      <c r="AX237" s="12" t="s">
        <v>357</v>
      </c>
      <c r="AY237" s="12" t="s">
        <v>357</v>
      </c>
      <c r="AZ237" s="12"/>
      <c r="BA237" s="12"/>
      <c r="BB237" s="12"/>
      <c r="BC237" s="12"/>
      <c r="BD237" s="12" t="s">
        <v>2485</v>
      </c>
      <c r="BE237" s="12" t="s">
        <v>325</v>
      </c>
      <c r="BF237" s="12" t="s">
        <v>3687</v>
      </c>
      <c r="BG237" s="12" t="s">
        <v>748</v>
      </c>
      <c r="BH237" s="12" t="s">
        <v>334</v>
      </c>
      <c r="BI237" s="12" t="s">
        <v>3831</v>
      </c>
      <c r="BJ237" s="12" t="s">
        <v>3888</v>
      </c>
      <c r="BK237" s="12" t="s">
        <v>571</v>
      </c>
      <c r="BL237" s="105" t="s">
        <v>3921</v>
      </c>
      <c r="BM237" s="12"/>
      <c r="BN237" s="12">
        <v>0</v>
      </c>
      <c r="BO237" s="105">
        <v>0</v>
      </c>
      <c r="BP237" s="12"/>
      <c r="BQ237" s="12">
        <v>0</v>
      </c>
      <c r="BR237" s="12">
        <v>0</v>
      </c>
      <c r="BS237" s="12"/>
      <c r="BT237" s="12">
        <v>0</v>
      </c>
      <c r="BU237" s="12">
        <v>0</v>
      </c>
      <c r="BV237" s="12"/>
      <c r="BW237" s="12">
        <v>0</v>
      </c>
      <c r="BX237" s="12">
        <v>0</v>
      </c>
      <c r="BY237" s="12"/>
      <c r="BZ237" s="12">
        <v>0</v>
      </c>
      <c r="CA237" s="12"/>
      <c r="CB237" s="12"/>
      <c r="CC237" s="12"/>
      <c r="CD237" s="78"/>
    </row>
    <row r="238" spans="1:82" s="116" customFormat="1" ht="13.9" customHeight="1" x14ac:dyDescent="0.2">
      <c r="A238" s="109">
        <v>340</v>
      </c>
      <c r="B238" s="109" t="s">
        <v>4033</v>
      </c>
      <c r="C238" s="110" t="s">
        <v>363</v>
      </c>
      <c r="D238" s="109" t="s">
        <v>98</v>
      </c>
      <c r="E238" s="111" t="s">
        <v>1641</v>
      </c>
      <c r="F238" s="112">
        <v>45502</v>
      </c>
      <c r="G238" s="112">
        <v>45502</v>
      </c>
      <c r="H238" s="113">
        <f t="shared" si="18"/>
        <v>45592</v>
      </c>
      <c r="I238" s="113" t="s">
        <v>290</v>
      </c>
      <c r="J238" s="109" t="s">
        <v>1134</v>
      </c>
      <c r="K238" s="109" t="s">
        <v>4465</v>
      </c>
      <c r="L238" s="109" t="s">
        <v>1710</v>
      </c>
      <c r="M238" s="128" t="str">
        <f t="shared" si="19"/>
        <v>CHAVEZ DE AVILA FRANCISCO JAVIER</v>
      </c>
      <c r="N238" s="128" t="s">
        <v>7005</v>
      </c>
      <c r="O238" s="128" t="s">
        <v>4616</v>
      </c>
      <c r="P238" s="109" t="s">
        <v>1953</v>
      </c>
      <c r="Q238" s="112">
        <v>29738</v>
      </c>
      <c r="R238" s="125">
        <f t="shared" si="20"/>
        <v>1</v>
      </c>
      <c r="S238" s="125">
        <f t="shared" si="21"/>
        <v>6</v>
      </c>
      <c r="T238" s="125">
        <f t="shared" si="22"/>
        <v>1981</v>
      </c>
      <c r="U238" s="142">
        <f t="shared" ca="1" si="23"/>
        <v>45.394520547945206</v>
      </c>
      <c r="V238" s="114" t="s">
        <v>342</v>
      </c>
      <c r="W238" s="114" t="s">
        <v>2027</v>
      </c>
      <c r="X238" s="109" t="s">
        <v>1497</v>
      </c>
      <c r="Y238" s="120" t="s">
        <v>89</v>
      </c>
      <c r="Z238" s="109" t="s">
        <v>90</v>
      </c>
      <c r="AA238" s="109" t="s">
        <v>455</v>
      </c>
      <c r="AB238" s="109" t="s">
        <v>596</v>
      </c>
      <c r="AC238" s="109" t="s">
        <v>313</v>
      </c>
      <c r="AD238" s="109" t="s">
        <v>314</v>
      </c>
      <c r="AE238" s="109">
        <v>90</v>
      </c>
      <c r="AF238" s="114" t="s">
        <v>597</v>
      </c>
      <c r="AG238" s="109" t="s">
        <v>290</v>
      </c>
      <c r="AH238" s="115" t="s">
        <v>598</v>
      </c>
      <c r="AI238" s="109" t="s">
        <v>317</v>
      </c>
      <c r="AJ238" s="109" t="s">
        <v>318</v>
      </c>
      <c r="AK238" s="109" t="s">
        <v>2679</v>
      </c>
      <c r="AL238" s="115" t="s">
        <v>2933</v>
      </c>
      <c r="AM238" s="109" t="s">
        <v>2415</v>
      </c>
      <c r="AN238" s="109" t="s">
        <v>560</v>
      </c>
      <c r="AO238" s="109" t="s">
        <v>398</v>
      </c>
      <c r="AP238" s="109"/>
      <c r="AQ238" s="109" t="s">
        <v>3231</v>
      </c>
      <c r="AR238" s="109">
        <v>1297</v>
      </c>
      <c r="AS238" s="109" t="s">
        <v>3369</v>
      </c>
      <c r="AT238" s="109" t="s">
        <v>116</v>
      </c>
      <c r="AU238" s="109" t="s">
        <v>583</v>
      </c>
      <c r="AV238" s="109">
        <v>44630</v>
      </c>
      <c r="AW238" s="109" t="s">
        <v>329</v>
      </c>
      <c r="AX238" s="109">
        <v>0</v>
      </c>
      <c r="AY238" s="109" t="s">
        <v>329</v>
      </c>
      <c r="AZ238" s="109" t="s">
        <v>484</v>
      </c>
      <c r="BA238" s="109" t="s">
        <v>3432</v>
      </c>
      <c r="BB238" s="109"/>
      <c r="BC238" s="109"/>
      <c r="BD238" s="109" t="s">
        <v>2415</v>
      </c>
      <c r="BE238" s="109" t="s">
        <v>560</v>
      </c>
      <c r="BF238" s="109" t="s">
        <v>3628</v>
      </c>
      <c r="BG238" s="109" t="s">
        <v>488</v>
      </c>
      <c r="BH238" s="109" t="s">
        <v>334</v>
      </c>
      <c r="BI238" s="109" t="s">
        <v>3831</v>
      </c>
      <c r="BJ238" s="109" t="s">
        <v>3831</v>
      </c>
      <c r="BK238" s="109"/>
      <c r="BL238" s="111"/>
      <c r="BM238" s="109"/>
      <c r="BN238" s="109"/>
      <c r="BO238" s="111"/>
      <c r="BP238" s="109"/>
      <c r="BQ238" s="109"/>
      <c r="BR238" s="109"/>
      <c r="BS238" s="109"/>
      <c r="BT238" s="109"/>
      <c r="BU238" s="109"/>
      <c r="BV238" s="109"/>
      <c r="BW238" s="109"/>
      <c r="BX238" s="109"/>
      <c r="BY238" s="109"/>
      <c r="BZ238" s="109"/>
      <c r="CA238" s="109"/>
      <c r="CB238" s="109"/>
      <c r="CC238" s="109"/>
      <c r="CD238" s="110"/>
    </row>
    <row r="239" spans="1:82" ht="13.9" customHeight="1" x14ac:dyDescent="0.2">
      <c r="A239" s="12">
        <v>696</v>
      </c>
      <c r="B239" s="12" t="s">
        <v>4102</v>
      </c>
      <c r="C239" s="78" t="s">
        <v>335</v>
      </c>
      <c r="D239" s="99" t="s">
        <v>86</v>
      </c>
      <c r="E239" s="99" t="s">
        <v>6603</v>
      </c>
      <c r="F239" s="100">
        <v>45504</v>
      </c>
      <c r="G239" s="100">
        <v>45504</v>
      </c>
      <c r="H239" s="101">
        <f t="shared" si="18"/>
        <v>45534</v>
      </c>
      <c r="I239" s="101" t="s">
        <v>290</v>
      </c>
      <c r="J239" s="12" t="s">
        <v>4376</v>
      </c>
      <c r="K239" s="12" t="s">
        <v>4429</v>
      </c>
      <c r="L239" s="12" t="s">
        <v>1821</v>
      </c>
      <c r="M239" s="102" t="str">
        <f t="shared" si="19"/>
        <v>QUIROZ ESPINOZA FABIAN MICHEL</v>
      </c>
      <c r="N239" s="102" t="s">
        <v>7006</v>
      </c>
      <c r="O239" s="102" t="s">
        <v>4698</v>
      </c>
      <c r="P239" s="12" t="s">
        <v>1953</v>
      </c>
      <c r="Q239" s="100">
        <v>37598</v>
      </c>
      <c r="R239" s="77">
        <f t="shared" si="20"/>
        <v>8</v>
      </c>
      <c r="S239" s="77">
        <f t="shared" si="21"/>
        <v>12</v>
      </c>
      <c r="T239" s="77">
        <f t="shared" si="22"/>
        <v>2002</v>
      </c>
      <c r="U239" s="103">
        <f t="shared" ca="1" si="23"/>
        <v>23.860273972602741</v>
      </c>
      <c r="V239" s="13" t="s">
        <v>452</v>
      </c>
      <c r="W239" s="13" t="s">
        <v>2109</v>
      </c>
      <c r="X239" s="12" t="s">
        <v>1497</v>
      </c>
      <c r="Y239" s="12" t="s">
        <v>156</v>
      </c>
      <c r="Z239" s="12" t="s">
        <v>153</v>
      </c>
      <c r="AA239" s="12" t="s">
        <v>347</v>
      </c>
      <c r="AB239" s="12" t="s">
        <v>842</v>
      </c>
      <c r="AC239" s="12" t="s">
        <v>313</v>
      </c>
      <c r="AD239" s="12" t="s">
        <v>314</v>
      </c>
      <c r="AE239" s="12">
        <v>30</v>
      </c>
      <c r="AF239" s="13" t="s">
        <v>315</v>
      </c>
      <c r="AG239" s="12" t="s">
        <v>290</v>
      </c>
      <c r="AH239" s="104" t="s">
        <v>843</v>
      </c>
      <c r="AI239" s="12" t="s">
        <v>317</v>
      </c>
      <c r="AJ239" s="12" t="s">
        <v>318</v>
      </c>
      <c r="AK239" s="12" t="s">
        <v>2734</v>
      </c>
      <c r="AL239" s="104" t="s">
        <v>3015</v>
      </c>
      <c r="AM239" s="12" t="s">
        <v>2486</v>
      </c>
      <c r="AN239" s="12" t="s">
        <v>325</v>
      </c>
      <c r="AO239" s="12" t="s">
        <v>398</v>
      </c>
      <c r="AP239" s="12"/>
      <c r="AQ239" s="12" t="s">
        <v>3278</v>
      </c>
      <c r="AR239" s="12">
        <v>111</v>
      </c>
      <c r="AS239" s="12" t="s">
        <v>328</v>
      </c>
      <c r="AT239" s="12" t="s">
        <v>482</v>
      </c>
      <c r="AU239" s="12" t="s">
        <v>483</v>
      </c>
      <c r="AV239" s="12">
        <v>78433</v>
      </c>
      <c r="AW239" s="12" t="s">
        <v>357</v>
      </c>
      <c r="AX239" s="12" t="s">
        <v>357</v>
      </c>
      <c r="AY239" s="12" t="s">
        <v>357</v>
      </c>
      <c r="AZ239" s="12"/>
      <c r="BA239" s="12"/>
      <c r="BB239" s="12"/>
      <c r="BC239" s="12"/>
      <c r="BD239" s="12" t="s">
        <v>2486</v>
      </c>
      <c r="BE239" s="12" t="s">
        <v>325</v>
      </c>
      <c r="BF239" s="12">
        <v>0</v>
      </c>
      <c r="BG239" s="12" t="s">
        <v>333</v>
      </c>
      <c r="BH239" s="12" t="s">
        <v>334</v>
      </c>
      <c r="BI239" s="12" t="s">
        <v>3831</v>
      </c>
      <c r="BJ239" s="12" t="s">
        <v>3888</v>
      </c>
      <c r="BK239" s="12" t="s">
        <v>3911</v>
      </c>
      <c r="BL239" s="105" t="s">
        <v>3947</v>
      </c>
      <c r="BM239" s="12"/>
      <c r="BN239" s="12">
        <v>0</v>
      </c>
      <c r="BO239" s="105">
        <v>0</v>
      </c>
      <c r="BP239" s="12"/>
      <c r="BQ239" s="12">
        <v>0</v>
      </c>
      <c r="BR239" s="12">
        <v>0</v>
      </c>
      <c r="BS239" s="12"/>
      <c r="BT239" s="12">
        <v>0</v>
      </c>
      <c r="BU239" s="12">
        <v>0</v>
      </c>
      <c r="BV239" s="12"/>
      <c r="BW239" s="12">
        <v>0</v>
      </c>
      <c r="BX239" s="12">
        <v>0</v>
      </c>
      <c r="BY239" s="12"/>
      <c r="BZ239" s="12">
        <v>0</v>
      </c>
      <c r="CA239" s="12"/>
      <c r="CB239" s="12"/>
      <c r="CC239" s="12"/>
      <c r="CD239" s="78"/>
    </row>
    <row r="240" spans="1:82" ht="13.9" customHeight="1" x14ac:dyDescent="0.2">
      <c r="A240" s="107">
        <v>698</v>
      </c>
      <c r="B240" s="107" t="s">
        <v>3997</v>
      </c>
      <c r="C240" s="104" t="s">
        <v>564</v>
      </c>
      <c r="D240" s="107" t="s">
        <v>81</v>
      </c>
      <c r="E240" s="99" t="s">
        <v>6604</v>
      </c>
      <c r="F240" s="100">
        <v>45504</v>
      </c>
      <c r="G240" s="100">
        <v>45504</v>
      </c>
      <c r="H240" s="101">
        <f t="shared" si="18"/>
        <v>45594</v>
      </c>
      <c r="I240" s="101" t="s">
        <v>290</v>
      </c>
      <c r="J240" s="12" t="s">
        <v>4324</v>
      </c>
      <c r="K240" s="12" t="s">
        <v>4450</v>
      </c>
      <c r="L240" s="12" t="s">
        <v>338</v>
      </c>
      <c r="M240" s="102" t="str">
        <f t="shared" si="19"/>
        <v>VILLALOBOS AVELAR JUAN CARLOS</v>
      </c>
      <c r="N240" s="102" t="s">
        <v>7007</v>
      </c>
      <c r="O240" s="102" t="s">
        <v>4580</v>
      </c>
      <c r="P240" s="12" t="s">
        <v>1953</v>
      </c>
      <c r="Q240" s="100">
        <v>34177</v>
      </c>
      <c r="R240" s="77">
        <f t="shared" si="20"/>
        <v>27</v>
      </c>
      <c r="S240" s="77">
        <f t="shared" si="21"/>
        <v>7</v>
      </c>
      <c r="T240" s="77">
        <f t="shared" si="22"/>
        <v>1993</v>
      </c>
      <c r="U240" s="103">
        <f t="shared" ca="1" si="23"/>
        <v>33.232876712328768</v>
      </c>
      <c r="V240" s="13" t="s">
        <v>452</v>
      </c>
      <c r="W240" s="13" t="s">
        <v>1990</v>
      </c>
      <c r="X240" s="12" t="s">
        <v>1497</v>
      </c>
      <c r="Y240" s="12" t="s">
        <v>297</v>
      </c>
      <c r="Z240" s="12" t="s">
        <v>84</v>
      </c>
      <c r="AA240" s="12" t="s">
        <v>532</v>
      </c>
      <c r="AB240" s="12" t="s">
        <v>574</v>
      </c>
      <c r="AC240" s="12" t="s">
        <v>313</v>
      </c>
      <c r="AD240" s="12" t="s">
        <v>314</v>
      </c>
      <c r="AE240" s="12">
        <v>90</v>
      </c>
      <c r="AF240" s="13" t="s">
        <v>710</v>
      </c>
      <c r="AG240" s="12" t="s">
        <v>290</v>
      </c>
      <c r="AH240" s="104" t="s">
        <v>575</v>
      </c>
      <c r="AI240" s="12" t="s">
        <v>317</v>
      </c>
      <c r="AJ240" s="12" t="s">
        <v>318</v>
      </c>
      <c r="AK240" s="12" t="s">
        <v>2660</v>
      </c>
      <c r="AL240" s="104" t="s">
        <v>2897</v>
      </c>
      <c r="AM240" s="12" t="s">
        <v>2379</v>
      </c>
      <c r="AN240" s="12" t="s">
        <v>560</v>
      </c>
      <c r="AO240" s="12" t="s">
        <v>327</v>
      </c>
      <c r="AP240" s="12"/>
      <c r="AQ240" s="12" t="s">
        <v>3208</v>
      </c>
      <c r="AR240" s="12">
        <v>24</v>
      </c>
      <c r="AS240" s="12">
        <v>301</v>
      </c>
      <c r="AT240" s="12" t="s">
        <v>116</v>
      </c>
      <c r="AU240" s="12" t="s">
        <v>583</v>
      </c>
      <c r="AV240" s="12">
        <v>44421</v>
      </c>
      <c r="AW240" s="12" t="s">
        <v>357</v>
      </c>
      <c r="AX240" s="12" t="s">
        <v>357</v>
      </c>
      <c r="AY240" s="12" t="s">
        <v>357</v>
      </c>
      <c r="AZ240" s="12"/>
      <c r="BA240" s="12"/>
      <c r="BB240" s="12"/>
      <c r="BC240" s="12"/>
      <c r="BD240" s="12" t="s">
        <v>2379</v>
      </c>
      <c r="BE240" s="12" t="s">
        <v>560</v>
      </c>
      <c r="BF240" s="12" t="s">
        <v>3608</v>
      </c>
      <c r="BG240" s="12" t="s">
        <v>333</v>
      </c>
      <c r="BH240" s="12" t="s">
        <v>334</v>
      </c>
      <c r="BI240" s="12" t="s">
        <v>3831</v>
      </c>
      <c r="BJ240" s="12" t="s">
        <v>3888</v>
      </c>
      <c r="BK240" s="12" t="s">
        <v>571</v>
      </c>
      <c r="BL240" s="105" t="s">
        <v>3930</v>
      </c>
      <c r="BM240" s="12"/>
      <c r="BN240" s="12" t="s">
        <v>571</v>
      </c>
      <c r="BO240" s="105" t="s">
        <v>3913</v>
      </c>
      <c r="BP240" s="12"/>
      <c r="BQ240" s="12" t="s">
        <v>571</v>
      </c>
      <c r="BR240" s="12" t="s">
        <v>3927</v>
      </c>
      <c r="BS240" s="12"/>
      <c r="BT240" s="12">
        <v>0</v>
      </c>
      <c r="BU240" s="12">
        <v>0</v>
      </c>
      <c r="BV240" s="12"/>
      <c r="BW240" s="12">
        <v>0</v>
      </c>
      <c r="BX240" s="12">
        <v>0</v>
      </c>
      <c r="BY240" s="12"/>
      <c r="BZ240" s="12">
        <v>0</v>
      </c>
      <c r="CA240" s="12"/>
      <c r="CB240" s="12"/>
      <c r="CC240" s="12"/>
      <c r="CD240" s="78"/>
    </row>
    <row r="241" spans="1:82" ht="13.9" customHeight="1" x14ac:dyDescent="0.2">
      <c r="A241" s="107">
        <v>944</v>
      </c>
      <c r="B241" s="107" t="s">
        <v>3972</v>
      </c>
      <c r="C241" s="104" t="s">
        <v>299</v>
      </c>
      <c r="D241" s="99" t="s">
        <v>80</v>
      </c>
      <c r="E241" s="99" t="s">
        <v>6605</v>
      </c>
      <c r="F241" s="100">
        <v>45505</v>
      </c>
      <c r="G241" s="117">
        <v>45505</v>
      </c>
      <c r="H241" s="101">
        <f t="shared" si="18"/>
        <v>45595</v>
      </c>
      <c r="I241" s="101" t="s">
        <v>290</v>
      </c>
      <c r="J241" s="12" t="s">
        <v>4312</v>
      </c>
      <c r="K241" s="12" t="s">
        <v>4438</v>
      </c>
      <c r="L241" s="12" t="s">
        <v>1709</v>
      </c>
      <c r="M241" s="102" t="str">
        <f t="shared" si="19"/>
        <v>SANTILLAN MIRANDA PEDRO ANGEL</v>
      </c>
      <c r="N241" s="102" t="s">
        <v>7008</v>
      </c>
      <c r="O241" s="102" t="s">
        <v>4558</v>
      </c>
      <c r="P241" s="12" t="s">
        <v>1953</v>
      </c>
      <c r="Q241" s="100">
        <v>35141</v>
      </c>
      <c r="R241" s="77">
        <f t="shared" si="20"/>
        <v>17</v>
      </c>
      <c r="S241" s="77">
        <f t="shared" si="21"/>
        <v>3</v>
      </c>
      <c r="T241" s="77">
        <f t="shared" si="22"/>
        <v>1996</v>
      </c>
      <c r="U241" s="103">
        <f t="shared" ca="1" si="23"/>
        <v>30.591780821917808</v>
      </c>
      <c r="V241" s="13" t="s">
        <v>452</v>
      </c>
      <c r="W241" s="13" t="s">
        <v>1968</v>
      </c>
      <c r="X241" s="12" t="s">
        <v>1497</v>
      </c>
      <c r="Y241" s="108" t="s">
        <v>77</v>
      </c>
      <c r="Z241" s="12" t="s">
        <v>73</v>
      </c>
      <c r="AA241" s="12" t="s">
        <v>311</v>
      </c>
      <c r="AB241" s="12" t="s">
        <v>312</v>
      </c>
      <c r="AC241" s="12" t="s">
        <v>313</v>
      </c>
      <c r="AD241" s="12" t="s">
        <v>314</v>
      </c>
      <c r="AE241" s="12">
        <v>90</v>
      </c>
      <c r="AF241" s="13" t="s">
        <v>315</v>
      </c>
      <c r="AG241" s="12" t="s">
        <v>290</v>
      </c>
      <c r="AH241" s="104" t="s">
        <v>1329</v>
      </c>
      <c r="AI241" s="12" t="s">
        <v>317</v>
      </c>
      <c r="AJ241" s="12" t="s">
        <v>318</v>
      </c>
      <c r="AK241" s="12" t="s">
        <v>2643</v>
      </c>
      <c r="AL241" s="104" t="s">
        <v>2876</v>
      </c>
      <c r="AM241" s="12" t="s">
        <v>2359</v>
      </c>
      <c r="AN241" s="12" t="s">
        <v>560</v>
      </c>
      <c r="AO241" s="12" t="s">
        <v>398</v>
      </c>
      <c r="AP241" s="12"/>
      <c r="AQ241" s="12" t="s">
        <v>3190</v>
      </c>
      <c r="AR241" s="12">
        <v>65</v>
      </c>
      <c r="AS241" s="12" t="s">
        <v>328</v>
      </c>
      <c r="AT241" s="12" t="s">
        <v>680</v>
      </c>
      <c r="AU241" s="12" t="s">
        <v>681</v>
      </c>
      <c r="AV241" s="12" t="s">
        <v>3407</v>
      </c>
      <c r="AW241" s="12" t="s">
        <v>329</v>
      </c>
      <c r="AX241" s="12">
        <v>0</v>
      </c>
      <c r="AY241" s="12" t="s">
        <v>329</v>
      </c>
      <c r="AZ241" s="12"/>
      <c r="BA241" s="12"/>
      <c r="BB241" s="12"/>
      <c r="BC241" s="12"/>
      <c r="BD241" s="12" t="s">
        <v>3458</v>
      </c>
      <c r="BE241" s="12" t="s">
        <v>622</v>
      </c>
      <c r="BF241" s="12" t="s">
        <v>3591</v>
      </c>
      <c r="BG241" s="12" t="s">
        <v>488</v>
      </c>
      <c r="BH241" s="12" t="s">
        <v>334</v>
      </c>
      <c r="BI241" s="12" t="s">
        <v>3831</v>
      </c>
      <c r="BJ241" s="12" t="s">
        <v>3831</v>
      </c>
      <c r="BK241" s="12"/>
      <c r="BL241" s="105"/>
      <c r="BM241" s="12"/>
      <c r="BN241" s="12"/>
      <c r="BO241" s="105"/>
      <c r="BP241" s="12"/>
      <c r="BQ241" s="12"/>
      <c r="BR241" s="12"/>
      <c r="BS241" s="12"/>
      <c r="BT241" s="12"/>
      <c r="BU241" s="12"/>
      <c r="BV241" s="12"/>
      <c r="BW241" s="12"/>
      <c r="BX241" s="12"/>
      <c r="BY241" s="12"/>
      <c r="BZ241" s="12"/>
      <c r="CA241" s="12"/>
      <c r="CB241" s="12"/>
      <c r="CC241" s="12"/>
      <c r="CD241" s="78"/>
    </row>
    <row r="242" spans="1:82" ht="13.9" customHeight="1" x14ac:dyDescent="0.2">
      <c r="A242" s="12">
        <v>705</v>
      </c>
      <c r="B242" s="12" t="s">
        <v>4193</v>
      </c>
      <c r="C242" s="78" t="s">
        <v>363</v>
      </c>
      <c r="D242" s="107" t="s">
        <v>98</v>
      </c>
      <c r="E242" s="99" t="s">
        <v>1642</v>
      </c>
      <c r="F242" s="100">
        <v>45521</v>
      </c>
      <c r="G242" s="100">
        <v>45521</v>
      </c>
      <c r="H242" s="101">
        <f t="shared" si="18"/>
        <v>45611</v>
      </c>
      <c r="I242" s="101" t="s">
        <v>290</v>
      </c>
      <c r="J242" s="12" t="s">
        <v>793</v>
      </c>
      <c r="K242" s="12" t="s">
        <v>1236</v>
      </c>
      <c r="L242" s="12" t="s">
        <v>1757</v>
      </c>
      <c r="M242" s="102" t="str">
        <f t="shared" si="19"/>
        <v>LOPEZ GUERRERO CRISTIAN EDUARDO</v>
      </c>
      <c r="N242" s="102" t="s">
        <v>7009</v>
      </c>
      <c r="O242" s="102" t="s">
        <v>4617</v>
      </c>
      <c r="P242" s="12" t="s">
        <v>1953</v>
      </c>
      <c r="Q242" s="100">
        <v>35600</v>
      </c>
      <c r="R242" s="77">
        <f t="shared" si="20"/>
        <v>19</v>
      </c>
      <c r="S242" s="77">
        <f t="shared" si="21"/>
        <v>6</v>
      </c>
      <c r="T242" s="77">
        <f t="shared" si="22"/>
        <v>1997</v>
      </c>
      <c r="U242" s="103">
        <f t="shared" ca="1" si="23"/>
        <v>29.334246575342465</v>
      </c>
      <c r="V242" s="13" t="s">
        <v>452</v>
      </c>
      <c r="W242" s="13" t="s">
        <v>2028</v>
      </c>
      <c r="X242" s="12" t="s">
        <v>1497</v>
      </c>
      <c r="Y242" s="107" t="s">
        <v>91</v>
      </c>
      <c r="Z242" s="12" t="s">
        <v>99</v>
      </c>
      <c r="AA242" s="12" t="s">
        <v>392</v>
      </c>
      <c r="AB242" s="12" t="s">
        <v>596</v>
      </c>
      <c r="AC242" s="12" t="s">
        <v>313</v>
      </c>
      <c r="AD242" s="12" t="s">
        <v>314</v>
      </c>
      <c r="AE242" s="12">
        <v>90</v>
      </c>
      <c r="AF242" s="13" t="s">
        <v>597</v>
      </c>
      <c r="AG242" s="12" t="s">
        <v>290</v>
      </c>
      <c r="AH242" s="104" t="s">
        <v>598</v>
      </c>
      <c r="AI242" s="12" t="s">
        <v>317</v>
      </c>
      <c r="AJ242" s="12" t="s">
        <v>318</v>
      </c>
      <c r="AK242" s="12" t="s">
        <v>2680</v>
      </c>
      <c r="AL242" s="104" t="s">
        <v>2934</v>
      </c>
      <c r="AM242" s="12" t="s">
        <v>2416</v>
      </c>
      <c r="AN242" s="12" t="s">
        <v>560</v>
      </c>
      <c r="AO242" s="12" t="s">
        <v>398</v>
      </c>
      <c r="AP242" s="12"/>
      <c r="AQ242" s="12" t="s">
        <v>3232</v>
      </c>
      <c r="AR242" s="12">
        <v>12</v>
      </c>
      <c r="AS242" s="12" t="s">
        <v>328</v>
      </c>
      <c r="AT242" s="12" t="s">
        <v>606</v>
      </c>
      <c r="AU242" s="12" t="s">
        <v>583</v>
      </c>
      <c r="AV242" s="12">
        <v>45628</v>
      </c>
      <c r="AW242" s="12" t="s">
        <v>329</v>
      </c>
      <c r="AX242" s="12">
        <v>0</v>
      </c>
      <c r="AY242" s="12" t="s">
        <v>329</v>
      </c>
      <c r="AZ242" s="12"/>
      <c r="BA242" s="12"/>
      <c r="BB242" s="12"/>
      <c r="BC242" s="12"/>
      <c r="BD242" s="12" t="s">
        <v>2416</v>
      </c>
      <c r="BE242" s="12" t="s">
        <v>560</v>
      </c>
      <c r="BF242" s="12" t="s">
        <v>3629</v>
      </c>
      <c r="BG242" s="12" t="s">
        <v>488</v>
      </c>
      <c r="BH242" s="12" t="s">
        <v>334</v>
      </c>
      <c r="BI242" s="12" t="s">
        <v>3831</v>
      </c>
      <c r="BJ242" s="12" t="s">
        <v>3888</v>
      </c>
      <c r="BK242" s="12" t="s">
        <v>571</v>
      </c>
      <c r="BL242" s="105" t="s">
        <v>3919</v>
      </c>
      <c r="BM242" s="12"/>
      <c r="BN242" s="12">
        <v>0</v>
      </c>
      <c r="BO242" s="105">
        <v>0</v>
      </c>
      <c r="BP242" s="12"/>
      <c r="BQ242" s="12">
        <v>0</v>
      </c>
      <c r="BR242" s="12">
        <v>0</v>
      </c>
      <c r="BS242" s="12"/>
      <c r="BT242" s="12">
        <v>0</v>
      </c>
      <c r="BU242" s="12">
        <v>0</v>
      </c>
      <c r="BV242" s="12"/>
      <c r="BW242" s="12">
        <v>0</v>
      </c>
      <c r="BX242" s="12">
        <v>0</v>
      </c>
      <c r="BY242" s="12"/>
      <c r="BZ242" s="12">
        <v>0</v>
      </c>
      <c r="CA242" s="12"/>
      <c r="CB242" s="12"/>
      <c r="CC242" s="12"/>
      <c r="CD242" s="78"/>
    </row>
    <row r="243" spans="1:82" ht="13.9" customHeight="1" x14ac:dyDescent="0.2">
      <c r="A243" s="12">
        <v>952</v>
      </c>
      <c r="B243" s="12" t="s">
        <v>4253</v>
      </c>
      <c r="C243" s="104" t="s">
        <v>299</v>
      </c>
      <c r="D243" s="99" t="s">
        <v>80</v>
      </c>
      <c r="E243" s="99" t="s">
        <v>6606</v>
      </c>
      <c r="F243" s="100">
        <v>45523</v>
      </c>
      <c r="G243" s="100">
        <v>45523</v>
      </c>
      <c r="H243" s="101">
        <f t="shared" si="18"/>
        <v>45613</v>
      </c>
      <c r="I243" s="101" t="s">
        <v>291</v>
      </c>
      <c r="J243" s="12" t="s">
        <v>704</v>
      </c>
      <c r="K243" s="12" t="s">
        <v>1212</v>
      </c>
      <c r="L243" s="12" t="s">
        <v>1872</v>
      </c>
      <c r="M243" s="102" t="str">
        <f t="shared" si="19"/>
        <v>GONZALEZ ALVAREZ SAIDE LIZETT</v>
      </c>
      <c r="N243" s="102" t="s">
        <v>7010</v>
      </c>
      <c r="O243" s="102" t="s">
        <v>4756</v>
      </c>
      <c r="P243" s="12" t="s">
        <v>1953</v>
      </c>
      <c r="Q243" s="100">
        <v>30088</v>
      </c>
      <c r="R243" s="77">
        <f t="shared" si="20"/>
        <v>17</v>
      </c>
      <c r="S243" s="77">
        <f t="shared" si="21"/>
        <v>5</v>
      </c>
      <c r="T243" s="77">
        <f t="shared" si="22"/>
        <v>1982</v>
      </c>
      <c r="U243" s="103">
        <f t="shared" ca="1" si="23"/>
        <v>44.435616438356163</v>
      </c>
      <c r="V243" s="13" t="s">
        <v>1450</v>
      </c>
      <c r="W243" s="13" t="s">
        <v>2167</v>
      </c>
      <c r="X243" s="12" t="s">
        <v>1497</v>
      </c>
      <c r="Y243" s="12" t="s">
        <v>207</v>
      </c>
      <c r="Z243" s="12" t="s">
        <v>183</v>
      </c>
      <c r="AA243" s="12" t="s">
        <v>311</v>
      </c>
      <c r="AB243" s="12" t="s">
        <v>1414</v>
      </c>
      <c r="AC243" s="12" t="s">
        <v>313</v>
      </c>
      <c r="AD243" s="12" t="s">
        <v>314</v>
      </c>
      <c r="AE243" s="12">
        <v>90</v>
      </c>
      <c r="AF243" s="13" t="s">
        <v>315</v>
      </c>
      <c r="AG243" s="12" t="s">
        <v>291</v>
      </c>
      <c r="AH243" s="104" t="s">
        <v>1329</v>
      </c>
      <c r="AI243" s="12" t="s">
        <v>317</v>
      </c>
      <c r="AJ243" s="12" t="s">
        <v>318</v>
      </c>
      <c r="AK243" s="12" t="s">
        <v>2781</v>
      </c>
      <c r="AL243" s="104" t="s">
        <v>3073</v>
      </c>
      <c r="AM243" s="12" t="s">
        <v>2544</v>
      </c>
      <c r="AN243" s="12" t="s">
        <v>3178</v>
      </c>
      <c r="AO243" s="12" t="s">
        <v>398</v>
      </c>
      <c r="AP243" s="12"/>
      <c r="AQ243" s="12" t="s">
        <v>3293</v>
      </c>
      <c r="AR243" s="12" t="s">
        <v>3365</v>
      </c>
      <c r="AS243" s="12">
        <v>104</v>
      </c>
      <c r="AT243" s="12" t="s">
        <v>482</v>
      </c>
      <c r="AU243" s="12" t="s">
        <v>483</v>
      </c>
      <c r="AV243" s="12">
        <v>78434</v>
      </c>
      <c r="AW243" s="12" t="s">
        <v>329</v>
      </c>
      <c r="AX243" s="12">
        <v>0</v>
      </c>
      <c r="AY243" s="12" t="s">
        <v>329</v>
      </c>
      <c r="AZ243" s="12"/>
      <c r="BA243" s="12"/>
      <c r="BB243" s="12"/>
      <c r="BC243" s="12"/>
      <c r="BD243" s="12" t="s">
        <v>2544</v>
      </c>
      <c r="BE243" s="12" t="s">
        <v>3178</v>
      </c>
      <c r="BF243" s="12" t="s">
        <v>3735</v>
      </c>
      <c r="BG243" s="12" t="s">
        <v>444</v>
      </c>
      <c r="BH243" s="12" t="s">
        <v>334</v>
      </c>
      <c r="BI243" s="12" t="s">
        <v>3831</v>
      </c>
      <c r="BJ243" s="12" t="s">
        <v>3888</v>
      </c>
      <c r="BK243" s="12" t="s">
        <v>3911</v>
      </c>
      <c r="BL243" s="105" t="s">
        <v>3929</v>
      </c>
      <c r="BM243" s="12"/>
      <c r="BN243" s="12" t="s">
        <v>3911</v>
      </c>
      <c r="BO243" s="105" t="s">
        <v>3912</v>
      </c>
      <c r="BP243" s="12"/>
      <c r="BQ243" s="12">
        <v>0</v>
      </c>
      <c r="BR243" s="12">
        <v>0</v>
      </c>
      <c r="BS243" s="12"/>
      <c r="BT243" s="12">
        <v>0</v>
      </c>
      <c r="BU243" s="12">
        <v>0</v>
      </c>
      <c r="BV243" s="12"/>
      <c r="BW243" s="12">
        <v>0</v>
      </c>
      <c r="BX243" s="12">
        <v>0</v>
      </c>
      <c r="BY243" s="12"/>
      <c r="BZ243" s="12">
        <v>0</v>
      </c>
      <c r="CA243" s="12"/>
      <c r="CB243" s="12"/>
      <c r="CC243" s="12"/>
      <c r="CD243" s="78"/>
    </row>
    <row r="244" spans="1:82" ht="13.9" customHeight="1" x14ac:dyDescent="0.2">
      <c r="A244" s="12">
        <v>357</v>
      </c>
      <c r="B244" s="12" t="s">
        <v>7271</v>
      </c>
      <c r="C244" s="78" t="s">
        <v>335</v>
      </c>
      <c r="D244" s="99" t="s">
        <v>133</v>
      </c>
      <c r="E244" s="99" t="s">
        <v>6607</v>
      </c>
      <c r="F244" s="100">
        <v>45524</v>
      </c>
      <c r="G244" s="100">
        <v>45524</v>
      </c>
      <c r="H244" s="101">
        <f t="shared" si="18"/>
        <v>45614</v>
      </c>
      <c r="I244" s="101" t="s">
        <v>290</v>
      </c>
      <c r="J244" s="12" t="s">
        <v>366</v>
      </c>
      <c r="K244" s="12" t="s">
        <v>4480</v>
      </c>
      <c r="L244" s="12" t="s">
        <v>1791</v>
      </c>
      <c r="M244" s="102" t="str">
        <f t="shared" si="19"/>
        <v>HERNANDEZ DE LA ROSA EMILIO</v>
      </c>
      <c r="N244" s="102" t="s">
        <v>7011</v>
      </c>
      <c r="O244" s="102" t="s">
        <v>4656</v>
      </c>
      <c r="P244" s="12" t="s">
        <v>1953</v>
      </c>
      <c r="Q244" s="100">
        <v>33349</v>
      </c>
      <c r="R244" s="77">
        <f t="shared" si="20"/>
        <v>21</v>
      </c>
      <c r="S244" s="77">
        <f t="shared" si="21"/>
        <v>4</v>
      </c>
      <c r="T244" s="77">
        <f t="shared" si="22"/>
        <v>1991</v>
      </c>
      <c r="U244" s="103">
        <f t="shared" ca="1" si="23"/>
        <v>35.5013698630137</v>
      </c>
      <c r="V244" s="13" t="s">
        <v>452</v>
      </c>
      <c r="W244" s="13" t="s">
        <v>2068</v>
      </c>
      <c r="X244" s="12" t="s">
        <v>1497</v>
      </c>
      <c r="Y244" s="12" t="s">
        <v>137</v>
      </c>
      <c r="Z244" s="12" t="s">
        <v>136</v>
      </c>
      <c r="AA244" s="12" t="s">
        <v>347</v>
      </c>
      <c r="AB244" s="12" t="s">
        <v>670</v>
      </c>
      <c r="AC244" s="12" t="s">
        <v>313</v>
      </c>
      <c r="AD244" s="12" t="s">
        <v>314</v>
      </c>
      <c r="AE244" s="12">
        <v>90</v>
      </c>
      <c r="AF244" s="13" t="s">
        <v>671</v>
      </c>
      <c r="AG244" s="12" t="s">
        <v>290</v>
      </c>
      <c r="AH244" s="104" t="s">
        <v>672</v>
      </c>
      <c r="AI244" s="12" t="s">
        <v>317</v>
      </c>
      <c r="AJ244" s="12" t="s">
        <v>318</v>
      </c>
      <c r="AK244" s="12" t="s">
        <v>2709</v>
      </c>
      <c r="AL244" s="104" t="s">
        <v>2974</v>
      </c>
      <c r="AM244" s="12" t="s">
        <v>2450</v>
      </c>
      <c r="AN244" s="12" t="s">
        <v>325</v>
      </c>
      <c r="AO244" s="12" t="s">
        <v>327</v>
      </c>
      <c r="AP244" s="12"/>
      <c r="AQ244" s="12" t="s">
        <v>1224</v>
      </c>
      <c r="AR244" s="12">
        <v>132</v>
      </c>
      <c r="AS244" s="12">
        <v>0</v>
      </c>
      <c r="AT244" s="12" t="s">
        <v>1590</v>
      </c>
      <c r="AU244" s="12" t="s">
        <v>912</v>
      </c>
      <c r="AV244" s="12">
        <v>66055</v>
      </c>
      <c r="AW244" s="12" t="s">
        <v>329</v>
      </c>
      <c r="AX244" s="12">
        <v>0</v>
      </c>
      <c r="AY244" s="12" t="s">
        <v>329</v>
      </c>
      <c r="AZ244" s="12" t="s">
        <v>484</v>
      </c>
      <c r="BA244" s="12" t="s">
        <v>3437</v>
      </c>
      <c r="BB244" s="12"/>
      <c r="BC244" s="12"/>
      <c r="BD244" s="12" t="s">
        <v>3493</v>
      </c>
      <c r="BE244" s="12" t="s">
        <v>560</v>
      </c>
      <c r="BF244" s="12" t="s">
        <v>2709</v>
      </c>
      <c r="BG244" s="12" t="s">
        <v>685</v>
      </c>
      <c r="BH244" s="12" t="s">
        <v>334</v>
      </c>
      <c r="BI244" s="12" t="s">
        <v>3831</v>
      </c>
      <c r="BJ244" s="12" t="s">
        <v>3888</v>
      </c>
      <c r="BK244" s="12" t="s">
        <v>3911</v>
      </c>
      <c r="BL244" s="105" t="s">
        <v>3918</v>
      </c>
      <c r="BM244" s="12"/>
      <c r="BN244" s="12">
        <v>0</v>
      </c>
      <c r="BO244" s="105">
        <v>0</v>
      </c>
      <c r="BP244" s="12"/>
      <c r="BQ244" s="12">
        <v>0</v>
      </c>
      <c r="BR244" s="12">
        <v>0</v>
      </c>
      <c r="BS244" s="12"/>
      <c r="BT244" s="12">
        <v>0</v>
      </c>
      <c r="BU244" s="12">
        <v>0</v>
      </c>
      <c r="BV244" s="12"/>
      <c r="BW244" s="12">
        <v>0</v>
      </c>
      <c r="BX244" s="12">
        <v>0</v>
      </c>
      <c r="BY244" s="12"/>
      <c r="BZ244" s="12">
        <v>0</v>
      </c>
      <c r="CA244" s="12"/>
      <c r="CB244" s="12"/>
      <c r="CC244" s="12"/>
      <c r="CD244" s="78"/>
    </row>
    <row r="245" spans="1:82" s="116" customFormat="1" ht="13.9" customHeight="1" x14ac:dyDescent="0.2">
      <c r="A245" s="109">
        <v>707</v>
      </c>
      <c r="B245" s="109" t="s">
        <v>4194</v>
      </c>
      <c r="C245" s="110" t="s">
        <v>363</v>
      </c>
      <c r="D245" s="109" t="s">
        <v>98</v>
      </c>
      <c r="E245" s="111" t="s">
        <v>1643</v>
      </c>
      <c r="F245" s="112">
        <v>45532</v>
      </c>
      <c r="G245" s="112">
        <v>45532</v>
      </c>
      <c r="H245" s="113">
        <f t="shared" si="18"/>
        <v>45622</v>
      </c>
      <c r="I245" s="113" t="s">
        <v>290</v>
      </c>
      <c r="J245" s="109" t="s">
        <v>4340</v>
      </c>
      <c r="K245" s="109" t="s">
        <v>4466</v>
      </c>
      <c r="L245" s="109" t="s">
        <v>1758</v>
      </c>
      <c r="M245" s="128" t="str">
        <f t="shared" si="19"/>
        <v>IBARRA MANRIQUE ALEJANDRO</v>
      </c>
      <c r="N245" s="128" t="s">
        <v>7012</v>
      </c>
      <c r="O245" s="128" t="s">
        <v>4618</v>
      </c>
      <c r="P245" s="109" t="s">
        <v>1953</v>
      </c>
      <c r="Q245" s="112">
        <v>33627</v>
      </c>
      <c r="R245" s="125">
        <f t="shared" si="20"/>
        <v>24</v>
      </c>
      <c r="S245" s="125">
        <f t="shared" si="21"/>
        <v>1</v>
      </c>
      <c r="T245" s="125">
        <f t="shared" si="22"/>
        <v>1992</v>
      </c>
      <c r="U245" s="142">
        <f t="shared" ca="1" si="23"/>
        <v>34.739726027397261</v>
      </c>
      <c r="V245" s="114" t="s">
        <v>452</v>
      </c>
      <c r="W245" s="114" t="s">
        <v>2029</v>
      </c>
      <c r="X245" s="109" t="s">
        <v>1497</v>
      </c>
      <c r="Y245" s="109" t="s">
        <v>87</v>
      </c>
      <c r="Z245" s="109" t="s">
        <v>99</v>
      </c>
      <c r="AA245" s="109" t="s">
        <v>392</v>
      </c>
      <c r="AB245" s="109" t="s">
        <v>596</v>
      </c>
      <c r="AC245" s="109" t="s">
        <v>313</v>
      </c>
      <c r="AD245" s="109" t="s">
        <v>314</v>
      </c>
      <c r="AE245" s="109">
        <v>90</v>
      </c>
      <c r="AF245" s="114" t="s">
        <v>597</v>
      </c>
      <c r="AG245" s="109" t="s">
        <v>290</v>
      </c>
      <c r="AH245" s="115" t="s">
        <v>598</v>
      </c>
      <c r="AI245" s="109" t="s">
        <v>317</v>
      </c>
      <c r="AJ245" s="109" t="s">
        <v>318</v>
      </c>
      <c r="AK245" s="109" t="s">
        <v>2681</v>
      </c>
      <c r="AL245" s="115" t="s">
        <v>2935</v>
      </c>
      <c r="AM245" s="109" t="s">
        <v>2417</v>
      </c>
      <c r="AN245" s="109" t="s">
        <v>560</v>
      </c>
      <c r="AO245" s="109" t="s">
        <v>398</v>
      </c>
      <c r="AP245" s="109"/>
      <c r="AQ245" s="109" t="s">
        <v>3233</v>
      </c>
      <c r="AR245" s="109">
        <v>86</v>
      </c>
      <c r="AS245" s="109" t="s">
        <v>328</v>
      </c>
      <c r="AT245" s="109" t="s">
        <v>606</v>
      </c>
      <c r="AU245" s="109" t="s">
        <v>583</v>
      </c>
      <c r="AV245" s="109">
        <v>45595</v>
      </c>
      <c r="AW245" s="109" t="s">
        <v>329</v>
      </c>
      <c r="AX245" s="109">
        <v>0</v>
      </c>
      <c r="AY245" s="109" t="s">
        <v>329</v>
      </c>
      <c r="AZ245" s="109"/>
      <c r="BA245" s="109"/>
      <c r="BB245" s="109"/>
      <c r="BC245" s="109"/>
      <c r="BD245" s="109" t="s">
        <v>2417</v>
      </c>
      <c r="BE245" s="109" t="s">
        <v>560</v>
      </c>
      <c r="BF245" s="109" t="s">
        <v>3630</v>
      </c>
      <c r="BG245" s="109" t="s">
        <v>333</v>
      </c>
      <c r="BH245" s="109" t="s">
        <v>334</v>
      </c>
      <c r="BI245" s="109" t="s">
        <v>3831</v>
      </c>
      <c r="BJ245" s="109" t="s">
        <v>3888</v>
      </c>
      <c r="BK245" s="109" t="s">
        <v>3911</v>
      </c>
      <c r="BL245" s="111" t="s">
        <v>3933</v>
      </c>
      <c r="BM245" s="109"/>
      <c r="BN245" s="109">
        <v>0</v>
      </c>
      <c r="BO245" s="111">
        <v>0</v>
      </c>
      <c r="BP245" s="109"/>
      <c r="BQ245" s="109">
        <v>0</v>
      </c>
      <c r="BR245" s="109">
        <v>0</v>
      </c>
      <c r="BS245" s="109"/>
      <c r="BT245" s="109">
        <v>0</v>
      </c>
      <c r="BU245" s="109">
        <v>0</v>
      </c>
      <c r="BV245" s="109"/>
      <c r="BW245" s="109">
        <v>0</v>
      </c>
      <c r="BX245" s="109">
        <v>0</v>
      </c>
      <c r="BY245" s="109"/>
      <c r="BZ245" s="109">
        <v>0</v>
      </c>
      <c r="CA245" s="109"/>
      <c r="CB245" s="109"/>
      <c r="CC245" s="109"/>
      <c r="CD245" s="110"/>
    </row>
    <row r="246" spans="1:82" s="116" customFormat="1" ht="13.9" customHeight="1" x14ac:dyDescent="0.2">
      <c r="A246" s="109">
        <v>972</v>
      </c>
      <c r="B246" s="109" t="s">
        <v>4254</v>
      </c>
      <c r="C246" s="115" t="s">
        <v>299</v>
      </c>
      <c r="D246" s="111" t="s">
        <v>80</v>
      </c>
      <c r="E246" s="111" t="s">
        <v>6608</v>
      </c>
      <c r="F246" s="112">
        <v>45558</v>
      </c>
      <c r="G246" s="112">
        <v>45558</v>
      </c>
      <c r="H246" s="113">
        <f t="shared" si="18"/>
        <v>45648</v>
      </c>
      <c r="I246" s="113" t="s">
        <v>291</v>
      </c>
      <c r="J246" s="109" t="s">
        <v>4397</v>
      </c>
      <c r="K246" s="109" t="s">
        <v>4412</v>
      </c>
      <c r="L246" s="109" t="s">
        <v>1873</v>
      </c>
      <c r="M246" s="128" t="str">
        <f t="shared" si="19"/>
        <v>ARANDA GARZA JIMENA</v>
      </c>
      <c r="N246" s="128" t="s">
        <v>7013</v>
      </c>
      <c r="O246" s="128" t="s">
        <v>4757</v>
      </c>
      <c r="P246" s="109" t="s">
        <v>1953</v>
      </c>
      <c r="Q246" s="112">
        <v>35397</v>
      </c>
      <c r="R246" s="125">
        <f t="shared" si="20"/>
        <v>28</v>
      </c>
      <c r="S246" s="125">
        <f t="shared" si="21"/>
        <v>11</v>
      </c>
      <c r="T246" s="125">
        <f t="shared" si="22"/>
        <v>1996</v>
      </c>
      <c r="U246" s="142">
        <f t="shared" ca="1" si="23"/>
        <v>29.890410958904109</v>
      </c>
      <c r="V246" s="114" t="s">
        <v>308</v>
      </c>
      <c r="W246" s="114" t="s">
        <v>2168</v>
      </c>
      <c r="X246" s="109" t="s">
        <v>1497</v>
      </c>
      <c r="Y246" s="109" t="s">
        <v>181</v>
      </c>
      <c r="Z246" s="109" t="s">
        <v>170</v>
      </c>
      <c r="AA246" s="109" t="s">
        <v>636</v>
      </c>
      <c r="AB246" s="109" t="s">
        <v>2282</v>
      </c>
      <c r="AC246" s="109" t="s">
        <v>313</v>
      </c>
      <c r="AD246" s="109" t="s">
        <v>314</v>
      </c>
      <c r="AE246" s="109">
        <v>90</v>
      </c>
      <c r="AF246" s="114" t="s">
        <v>315</v>
      </c>
      <c r="AG246" s="109" t="s">
        <v>291</v>
      </c>
      <c r="AH246" s="115" t="s">
        <v>1329</v>
      </c>
      <c r="AI246" s="109" t="s">
        <v>317</v>
      </c>
      <c r="AJ246" s="109" t="s">
        <v>318</v>
      </c>
      <c r="AK246" s="109" t="s">
        <v>2782</v>
      </c>
      <c r="AL246" s="115" t="s">
        <v>3074</v>
      </c>
      <c r="AM246" s="109" t="s">
        <v>2545</v>
      </c>
      <c r="AN246" s="109" t="s">
        <v>325</v>
      </c>
      <c r="AO246" s="109" t="s">
        <v>398</v>
      </c>
      <c r="AP246" s="109"/>
      <c r="AQ246" s="109" t="s">
        <v>3302</v>
      </c>
      <c r="AR246" s="109">
        <v>157</v>
      </c>
      <c r="AS246" s="109" t="s">
        <v>328</v>
      </c>
      <c r="AT246" s="109" t="s">
        <v>483</v>
      </c>
      <c r="AU246" s="109" t="s">
        <v>483</v>
      </c>
      <c r="AV246" s="109">
        <v>78395</v>
      </c>
      <c r="AW246" s="109" t="s">
        <v>357</v>
      </c>
      <c r="AX246" s="109">
        <v>0</v>
      </c>
      <c r="AY246" s="109" t="s">
        <v>329</v>
      </c>
      <c r="AZ246" s="109"/>
      <c r="BA246" s="109"/>
      <c r="BB246" s="109"/>
      <c r="BC246" s="109"/>
      <c r="BD246" s="109" t="s">
        <v>2545</v>
      </c>
      <c r="BE246" s="109" t="s">
        <v>325</v>
      </c>
      <c r="BF246" s="109" t="s">
        <v>3736</v>
      </c>
      <c r="BG246" s="109" t="s">
        <v>333</v>
      </c>
      <c r="BH246" s="109" t="s">
        <v>334</v>
      </c>
      <c r="BI246" s="109" t="s">
        <v>3831</v>
      </c>
      <c r="BJ246" s="109" t="s">
        <v>3831</v>
      </c>
      <c r="BK246" s="109"/>
      <c r="BL246" s="111"/>
      <c r="BM246" s="109"/>
      <c r="BN246" s="109"/>
      <c r="BO246" s="111"/>
      <c r="BP246" s="109"/>
      <c r="BQ246" s="109"/>
      <c r="BR246" s="109"/>
      <c r="BS246" s="109"/>
      <c r="BT246" s="109"/>
      <c r="BU246" s="109"/>
      <c r="BV246" s="109"/>
      <c r="BW246" s="109"/>
      <c r="BX246" s="109"/>
      <c r="BY246" s="109"/>
      <c r="BZ246" s="109"/>
      <c r="CA246" s="109"/>
      <c r="CB246" s="109"/>
      <c r="CC246" s="109"/>
      <c r="CD246" s="110"/>
    </row>
    <row r="247" spans="1:82" ht="13.9" customHeight="1" x14ac:dyDescent="0.2">
      <c r="A247" s="107">
        <v>719</v>
      </c>
      <c r="B247" s="107" t="s">
        <v>7257</v>
      </c>
      <c r="C247" s="104" t="s">
        <v>363</v>
      </c>
      <c r="D247" s="107" t="s">
        <v>86</v>
      </c>
      <c r="E247" s="99" t="s">
        <v>6762</v>
      </c>
      <c r="F247" s="100">
        <v>45560</v>
      </c>
      <c r="G247" s="117">
        <v>45560</v>
      </c>
      <c r="H247" s="101">
        <f t="shared" si="18"/>
        <v>45650</v>
      </c>
      <c r="I247" s="101" t="s">
        <v>290</v>
      </c>
      <c r="J247" s="12" t="s">
        <v>4336</v>
      </c>
      <c r="K247" s="12" t="s">
        <v>4462</v>
      </c>
      <c r="L247" s="12" t="s">
        <v>1748</v>
      </c>
      <c r="M247" s="102" t="str">
        <f t="shared" si="19"/>
        <v>REYNAGA MALDONADO  FRANCISCO</v>
      </c>
      <c r="N247" s="102" t="s">
        <v>7174</v>
      </c>
      <c r="O247" s="102" t="s">
        <v>4607</v>
      </c>
      <c r="P247" s="12" t="s">
        <v>1953</v>
      </c>
      <c r="Q247" s="100">
        <v>25366</v>
      </c>
      <c r="R247" s="77">
        <f t="shared" si="20"/>
        <v>12</v>
      </c>
      <c r="S247" s="77">
        <f t="shared" si="21"/>
        <v>6</v>
      </c>
      <c r="T247" s="77">
        <f t="shared" si="22"/>
        <v>1969</v>
      </c>
      <c r="U247" s="103">
        <f t="shared" ca="1" si="23"/>
        <v>57.372602739726027</v>
      </c>
      <c r="V247" s="13" t="s">
        <v>342</v>
      </c>
      <c r="W247" s="13" t="s">
        <v>2018</v>
      </c>
      <c r="X247" s="12" t="s">
        <v>1497</v>
      </c>
      <c r="Y247" s="12" t="s">
        <v>87</v>
      </c>
      <c r="Z247" s="12" t="s">
        <v>88</v>
      </c>
      <c r="AA247" s="12" t="s">
        <v>392</v>
      </c>
      <c r="AB247" s="12" t="s">
        <v>374</v>
      </c>
      <c r="AC247" s="12" t="s">
        <v>313</v>
      </c>
      <c r="AD247" s="12" t="s">
        <v>314</v>
      </c>
      <c r="AE247" s="12">
        <v>90</v>
      </c>
      <c r="AF247" s="13" t="s">
        <v>375</v>
      </c>
      <c r="AG247" s="12" t="s">
        <v>290</v>
      </c>
      <c r="AH247" s="104" t="s">
        <v>473</v>
      </c>
      <c r="AI247" s="12" t="s">
        <v>317</v>
      </c>
      <c r="AJ247" s="12" t="s">
        <v>318</v>
      </c>
      <c r="AK247" s="12" t="s">
        <v>2673</v>
      </c>
      <c r="AL247" s="104" t="s">
        <v>2925</v>
      </c>
      <c r="AM247" s="12" t="s">
        <v>2406</v>
      </c>
      <c r="AN247" s="12" t="s">
        <v>560</v>
      </c>
      <c r="AO247" s="12" t="s">
        <v>327</v>
      </c>
      <c r="AP247" s="12"/>
      <c r="AQ247" s="12" t="s">
        <v>3224</v>
      </c>
      <c r="AR247" s="12">
        <v>3005</v>
      </c>
      <c r="AS247" s="12" t="s">
        <v>328</v>
      </c>
      <c r="AT247" s="12" t="s">
        <v>483</v>
      </c>
      <c r="AU247" s="12" t="s">
        <v>483</v>
      </c>
      <c r="AV247" s="12">
        <v>78110</v>
      </c>
      <c r="AW247" s="12" t="s">
        <v>357</v>
      </c>
      <c r="AX247" s="12">
        <v>0</v>
      </c>
      <c r="AY247" s="12" t="s">
        <v>357</v>
      </c>
      <c r="AZ247" s="12"/>
      <c r="BA247" s="12"/>
      <c r="BB247" s="12"/>
      <c r="BC247" s="12"/>
      <c r="BD247" s="12" t="s">
        <v>2406</v>
      </c>
      <c r="BE247" s="12" t="s">
        <v>560</v>
      </c>
      <c r="BF247" s="12" t="s">
        <v>3621</v>
      </c>
      <c r="BG247" s="12" t="s">
        <v>1349</v>
      </c>
      <c r="BH247" s="12" t="s">
        <v>334</v>
      </c>
      <c r="BI247" s="12" t="s">
        <v>3831</v>
      </c>
      <c r="BJ247" s="12" t="s">
        <v>3888</v>
      </c>
      <c r="BK247" s="12" t="s">
        <v>571</v>
      </c>
      <c r="BL247" s="105" t="s">
        <v>3916</v>
      </c>
      <c r="BM247" s="12"/>
      <c r="BN247" s="12" t="s">
        <v>571</v>
      </c>
      <c r="BO247" s="105" t="s">
        <v>3916</v>
      </c>
      <c r="BP247" s="12"/>
      <c r="BQ247" s="12" t="s">
        <v>571</v>
      </c>
      <c r="BR247" s="12" t="s">
        <v>3917</v>
      </c>
      <c r="BS247" s="12"/>
      <c r="BT247" s="12" t="s">
        <v>3911</v>
      </c>
      <c r="BU247" s="12"/>
      <c r="BV247" s="12"/>
      <c r="BW247" s="12" t="s">
        <v>3911</v>
      </c>
      <c r="BX247" s="12">
        <v>0</v>
      </c>
      <c r="BY247" s="12"/>
      <c r="BZ247" s="12">
        <v>0</v>
      </c>
      <c r="CA247" s="12"/>
      <c r="CB247" s="12"/>
      <c r="CC247" s="12"/>
      <c r="CD247" s="78"/>
    </row>
    <row r="248" spans="1:82" ht="13.9" customHeight="1" x14ac:dyDescent="0.2">
      <c r="A248" s="12">
        <v>720</v>
      </c>
      <c r="B248" s="12" t="s">
        <v>4195</v>
      </c>
      <c r="C248" s="78" t="s">
        <v>363</v>
      </c>
      <c r="D248" s="107" t="s">
        <v>98</v>
      </c>
      <c r="E248" s="99" t="s">
        <v>6609</v>
      </c>
      <c r="F248" s="100">
        <v>45560</v>
      </c>
      <c r="G248" s="100">
        <v>45560</v>
      </c>
      <c r="H248" s="101">
        <f t="shared" si="18"/>
        <v>45650</v>
      </c>
      <c r="I248" s="101" t="s">
        <v>290</v>
      </c>
      <c r="J248" s="12" t="s">
        <v>4327</v>
      </c>
      <c r="K248" s="12" t="s">
        <v>4355</v>
      </c>
      <c r="L248" s="12" t="s">
        <v>1759</v>
      </c>
      <c r="M248" s="102" t="str">
        <f t="shared" si="19"/>
        <v>VARGAS SANDOVAL MAURICIO DE JESUS</v>
      </c>
      <c r="N248" s="102" t="s">
        <v>7014</v>
      </c>
      <c r="O248" s="102" t="s">
        <v>4619</v>
      </c>
      <c r="P248" s="12" t="s">
        <v>1953</v>
      </c>
      <c r="Q248" s="100">
        <v>37031</v>
      </c>
      <c r="R248" s="77">
        <f t="shared" si="20"/>
        <v>20</v>
      </c>
      <c r="S248" s="77">
        <f t="shared" si="21"/>
        <v>5</v>
      </c>
      <c r="T248" s="77">
        <f t="shared" si="22"/>
        <v>2001</v>
      </c>
      <c r="U248" s="103">
        <f t="shared" ca="1" si="23"/>
        <v>25.413698630136988</v>
      </c>
      <c r="V248" s="13" t="s">
        <v>389</v>
      </c>
      <c r="W248" s="13" t="s">
        <v>2030</v>
      </c>
      <c r="X248" s="12" t="s">
        <v>1497</v>
      </c>
      <c r="Y248" s="107" t="s">
        <v>87</v>
      </c>
      <c r="Z248" s="12" t="s">
        <v>99</v>
      </c>
      <c r="AA248" s="12" t="s">
        <v>392</v>
      </c>
      <c r="AB248" s="12" t="s">
        <v>596</v>
      </c>
      <c r="AC248" s="12" t="s">
        <v>313</v>
      </c>
      <c r="AD248" s="12" t="s">
        <v>314</v>
      </c>
      <c r="AE248" s="12">
        <v>90</v>
      </c>
      <c r="AF248" s="13" t="s">
        <v>597</v>
      </c>
      <c r="AG248" s="12" t="s">
        <v>290</v>
      </c>
      <c r="AH248" s="104" t="s">
        <v>598</v>
      </c>
      <c r="AI248" s="12" t="s">
        <v>317</v>
      </c>
      <c r="AJ248" s="12" t="s">
        <v>318</v>
      </c>
      <c r="AK248" s="12" t="s">
        <v>2682</v>
      </c>
      <c r="AL248" s="104" t="s">
        <v>2936</v>
      </c>
      <c r="AM248" s="12" t="s">
        <v>2418</v>
      </c>
      <c r="AN248" s="12" t="s">
        <v>325</v>
      </c>
      <c r="AO248" s="12" t="s">
        <v>327</v>
      </c>
      <c r="AP248" s="12"/>
      <c r="AQ248" s="12" t="s">
        <v>3234</v>
      </c>
      <c r="AR248" s="12" t="s">
        <v>3354</v>
      </c>
      <c r="AS248" s="12" t="s">
        <v>328</v>
      </c>
      <c r="AT248" s="12" t="s">
        <v>606</v>
      </c>
      <c r="AU248" s="12" t="s">
        <v>583</v>
      </c>
      <c r="AV248" s="12">
        <v>45599</v>
      </c>
      <c r="AW248" s="12" t="s">
        <v>329</v>
      </c>
      <c r="AX248" s="12">
        <v>0</v>
      </c>
      <c r="AY248" s="12" t="s">
        <v>329</v>
      </c>
      <c r="AZ248" s="12"/>
      <c r="BA248" s="12"/>
      <c r="BB248" s="12"/>
      <c r="BC248" s="12"/>
      <c r="BD248" s="12" t="s">
        <v>2418</v>
      </c>
      <c r="BE248" s="12" t="s">
        <v>325</v>
      </c>
      <c r="BF248" s="12" t="s">
        <v>3631</v>
      </c>
      <c r="BG248" s="12" t="s">
        <v>333</v>
      </c>
      <c r="BH248" s="12" t="s">
        <v>334</v>
      </c>
      <c r="BI248" s="12" t="s">
        <v>3831</v>
      </c>
      <c r="BJ248" s="12" t="s">
        <v>3888</v>
      </c>
      <c r="BK248" s="12" t="s">
        <v>571</v>
      </c>
      <c r="BL248" s="105" t="s">
        <v>3927</v>
      </c>
      <c r="BM248" s="12"/>
      <c r="BN248" s="12">
        <v>0</v>
      </c>
      <c r="BO248" s="105">
        <v>0</v>
      </c>
      <c r="BP248" s="12"/>
      <c r="BQ248" s="12">
        <v>0</v>
      </c>
      <c r="BR248" s="12">
        <v>0</v>
      </c>
      <c r="BS248" s="12"/>
      <c r="BT248" s="12">
        <v>0</v>
      </c>
      <c r="BU248" s="12">
        <v>0</v>
      </c>
      <c r="BV248" s="12"/>
      <c r="BW248" s="12">
        <v>0</v>
      </c>
      <c r="BX248" s="12">
        <v>0</v>
      </c>
      <c r="BY248" s="12"/>
      <c r="BZ248" s="12">
        <v>0</v>
      </c>
      <c r="CA248" s="12"/>
      <c r="CB248" s="12"/>
      <c r="CC248" s="12"/>
      <c r="CD248" s="78"/>
    </row>
    <row r="249" spans="1:82" s="116" customFormat="1" ht="13.9" customHeight="1" x14ac:dyDescent="0.2">
      <c r="A249" s="109">
        <v>721</v>
      </c>
      <c r="B249" s="109" t="s">
        <v>3998</v>
      </c>
      <c r="C249" s="115" t="s">
        <v>564</v>
      </c>
      <c r="D249" s="109" t="s">
        <v>81</v>
      </c>
      <c r="E249" s="111" t="s">
        <v>1630</v>
      </c>
      <c r="F249" s="112">
        <v>45561</v>
      </c>
      <c r="G249" s="112">
        <v>45561</v>
      </c>
      <c r="H249" s="113">
        <f t="shared" si="18"/>
        <v>45651</v>
      </c>
      <c r="I249" s="113" t="s">
        <v>290</v>
      </c>
      <c r="J249" s="109" t="s">
        <v>4325</v>
      </c>
      <c r="K249" s="109" t="s">
        <v>4451</v>
      </c>
      <c r="L249" s="109" t="s">
        <v>1723</v>
      </c>
      <c r="M249" s="128" t="str">
        <f t="shared" si="19"/>
        <v>TRANQUILINO ENRIQUEZ JOSE MARTIN</v>
      </c>
      <c r="N249" s="128" t="s">
        <v>7015</v>
      </c>
      <c r="O249" s="128" t="s">
        <v>4581</v>
      </c>
      <c r="P249" s="109" t="s">
        <v>1953</v>
      </c>
      <c r="Q249" s="112">
        <v>30022</v>
      </c>
      <c r="R249" s="125">
        <f t="shared" si="20"/>
        <v>12</v>
      </c>
      <c r="S249" s="125">
        <f t="shared" si="21"/>
        <v>3</v>
      </c>
      <c r="T249" s="125">
        <f t="shared" si="22"/>
        <v>1982</v>
      </c>
      <c r="U249" s="142">
        <f t="shared" ca="1" si="23"/>
        <v>44.61643835616438</v>
      </c>
      <c r="V249" s="114" t="s">
        <v>452</v>
      </c>
      <c r="W249" s="114" t="s">
        <v>1991</v>
      </c>
      <c r="X249" s="109" t="s">
        <v>1497</v>
      </c>
      <c r="Y249" s="109" t="s">
        <v>297</v>
      </c>
      <c r="Z249" s="109" t="s">
        <v>84</v>
      </c>
      <c r="AA249" s="109" t="s">
        <v>532</v>
      </c>
      <c r="AB249" s="109" t="s">
        <v>574</v>
      </c>
      <c r="AC249" s="109" t="s">
        <v>313</v>
      </c>
      <c r="AD249" s="109" t="s">
        <v>314</v>
      </c>
      <c r="AE249" s="109">
        <v>90</v>
      </c>
      <c r="AF249" s="114" t="s">
        <v>710</v>
      </c>
      <c r="AG249" s="109" t="s">
        <v>290</v>
      </c>
      <c r="AH249" s="115" t="s">
        <v>575</v>
      </c>
      <c r="AI249" s="109" t="s">
        <v>317</v>
      </c>
      <c r="AJ249" s="109" t="s">
        <v>318</v>
      </c>
      <c r="AK249" s="109" t="s">
        <v>2661</v>
      </c>
      <c r="AL249" s="115" t="s">
        <v>2898</v>
      </c>
      <c r="AM249" s="109" t="s">
        <v>2380</v>
      </c>
      <c r="AN249" s="109" t="s">
        <v>560</v>
      </c>
      <c r="AO249" s="109" t="s">
        <v>327</v>
      </c>
      <c r="AP249" s="109"/>
      <c r="AQ249" s="109" t="s">
        <v>3209</v>
      </c>
      <c r="AR249" s="109">
        <v>1300</v>
      </c>
      <c r="AS249" s="109" t="s">
        <v>328</v>
      </c>
      <c r="AT249" s="109" t="s">
        <v>116</v>
      </c>
      <c r="AU249" s="109" t="s">
        <v>583</v>
      </c>
      <c r="AV249" s="109">
        <v>44300</v>
      </c>
      <c r="AW249" s="109" t="s">
        <v>329</v>
      </c>
      <c r="AX249" s="109" t="s">
        <v>357</v>
      </c>
      <c r="AY249" s="109" t="s">
        <v>329</v>
      </c>
      <c r="AZ249" s="109"/>
      <c r="BA249" s="109"/>
      <c r="BB249" s="109"/>
      <c r="BC249" s="109"/>
      <c r="BD249" s="109" t="s">
        <v>2380</v>
      </c>
      <c r="BE249" s="109" t="s">
        <v>560</v>
      </c>
      <c r="BF249" s="109" t="s">
        <v>3609</v>
      </c>
      <c r="BG249" s="109" t="s">
        <v>685</v>
      </c>
      <c r="BH249" s="109" t="s">
        <v>334</v>
      </c>
      <c r="BI249" s="109" t="s">
        <v>3831</v>
      </c>
      <c r="BJ249" s="109" t="s">
        <v>3888</v>
      </c>
      <c r="BK249" s="109" t="s">
        <v>3911</v>
      </c>
      <c r="BL249" s="111" t="s">
        <v>3931</v>
      </c>
      <c r="BM249" s="109"/>
      <c r="BN249" s="109">
        <v>0</v>
      </c>
      <c r="BO249" s="111">
        <v>0</v>
      </c>
      <c r="BP249" s="109"/>
      <c r="BQ249" s="109">
        <v>0</v>
      </c>
      <c r="BR249" s="109">
        <v>0</v>
      </c>
      <c r="BS249" s="109"/>
      <c r="BT249" s="109">
        <v>0</v>
      </c>
      <c r="BU249" s="109">
        <v>0</v>
      </c>
      <c r="BV249" s="109"/>
      <c r="BW249" s="109">
        <v>0</v>
      </c>
      <c r="BX249" s="109">
        <v>0</v>
      </c>
      <c r="BY249" s="109"/>
      <c r="BZ249" s="109">
        <v>0</v>
      </c>
      <c r="CA249" s="109"/>
      <c r="CB249" s="109"/>
      <c r="CC249" s="109"/>
      <c r="CD249" s="110"/>
    </row>
    <row r="250" spans="1:82" ht="13.9" customHeight="1" x14ac:dyDescent="0.2">
      <c r="A250" s="12">
        <v>725</v>
      </c>
      <c r="B250" s="12" t="s">
        <v>4103</v>
      </c>
      <c r="C250" s="78" t="s">
        <v>335</v>
      </c>
      <c r="D250" s="99" t="s">
        <v>86</v>
      </c>
      <c r="E250" s="99" t="s">
        <v>6763</v>
      </c>
      <c r="F250" s="100">
        <v>45572</v>
      </c>
      <c r="G250" s="100">
        <v>45572</v>
      </c>
      <c r="H250" s="101">
        <f t="shared" si="18"/>
        <v>45662</v>
      </c>
      <c r="I250" s="101" t="s">
        <v>290</v>
      </c>
      <c r="J250" s="12" t="s">
        <v>4377</v>
      </c>
      <c r="K250" s="12" t="s">
        <v>1606</v>
      </c>
      <c r="L250" s="12" t="s">
        <v>1822</v>
      </c>
      <c r="M250" s="102" t="str">
        <f t="shared" si="19"/>
        <v>SALAZAR  MARQUEZ JOSE CONSTANTINO ROMAN</v>
      </c>
      <c r="N250" s="102" t="s">
        <v>7175</v>
      </c>
      <c r="O250" s="102" t="s">
        <v>4699</v>
      </c>
      <c r="P250" s="12" t="s">
        <v>1953</v>
      </c>
      <c r="Q250" s="100">
        <v>33617</v>
      </c>
      <c r="R250" s="77">
        <f t="shared" si="20"/>
        <v>14</v>
      </c>
      <c r="S250" s="77">
        <f t="shared" si="21"/>
        <v>1</v>
      </c>
      <c r="T250" s="77">
        <f t="shared" si="22"/>
        <v>1992</v>
      </c>
      <c r="U250" s="103">
        <f t="shared" ca="1" si="23"/>
        <v>34.767123287671232</v>
      </c>
      <c r="V250" s="13" t="s">
        <v>389</v>
      </c>
      <c r="W250" s="13" t="s">
        <v>2110</v>
      </c>
      <c r="X250" s="12" t="s">
        <v>454</v>
      </c>
      <c r="Y250" s="12" t="s">
        <v>150</v>
      </c>
      <c r="Z250" s="12" t="s">
        <v>153</v>
      </c>
      <c r="AA250" s="12" t="s">
        <v>347</v>
      </c>
      <c r="AB250" s="12" t="s">
        <v>842</v>
      </c>
      <c r="AC250" s="12" t="s">
        <v>313</v>
      </c>
      <c r="AD250" s="12" t="s">
        <v>314</v>
      </c>
      <c r="AE250" s="12">
        <v>90</v>
      </c>
      <c r="AF250" s="13" t="s">
        <v>315</v>
      </c>
      <c r="AG250" s="12" t="s">
        <v>290</v>
      </c>
      <c r="AH250" s="104" t="s">
        <v>843</v>
      </c>
      <c r="AI250" s="12" t="s">
        <v>317</v>
      </c>
      <c r="AJ250" s="12" t="s">
        <v>318</v>
      </c>
      <c r="AK250" s="12">
        <v>4446423527</v>
      </c>
      <c r="AL250" s="104" t="s">
        <v>3016</v>
      </c>
      <c r="AM250" s="12" t="s">
        <v>2487</v>
      </c>
      <c r="AN250" s="12" t="s">
        <v>401</v>
      </c>
      <c r="AO250" s="12" t="s">
        <v>398</v>
      </c>
      <c r="AP250" s="12"/>
      <c r="AQ250" s="12" t="s">
        <v>1014</v>
      </c>
      <c r="AR250" s="12">
        <v>703</v>
      </c>
      <c r="AS250" s="12" t="s">
        <v>328</v>
      </c>
      <c r="AT250" s="12" t="s">
        <v>482</v>
      </c>
      <c r="AU250" s="12" t="s">
        <v>483</v>
      </c>
      <c r="AV250" s="12">
        <v>78430</v>
      </c>
      <c r="AW250" s="12" t="s">
        <v>329</v>
      </c>
      <c r="AX250" s="12">
        <v>0</v>
      </c>
      <c r="AY250" s="12" t="s">
        <v>329</v>
      </c>
      <c r="AZ250" s="12"/>
      <c r="BA250" s="12"/>
      <c r="BB250" s="12"/>
      <c r="BC250" s="12"/>
      <c r="BD250" s="12" t="s">
        <v>3506</v>
      </c>
      <c r="BE250" s="12" t="s">
        <v>401</v>
      </c>
      <c r="BF250" s="12">
        <v>44446423527</v>
      </c>
      <c r="BG250" s="12" t="s">
        <v>333</v>
      </c>
      <c r="BH250" s="12" t="s">
        <v>334</v>
      </c>
      <c r="BI250" s="12" t="s">
        <v>3831</v>
      </c>
      <c r="BJ250" s="12" t="s">
        <v>3831</v>
      </c>
      <c r="BK250" s="12"/>
      <c r="BL250" s="105"/>
      <c r="BM250" s="12"/>
      <c r="BN250" s="12"/>
      <c r="BO250" s="105"/>
      <c r="BP250" s="12"/>
      <c r="BQ250" s="12"/>
      <c r="BR250" s="12"/>
      <c r="BS250" s="12"/>
      <c r="BT250" s="12"/>
      <c r="BU250" s="12"/>
      <c r="BV250" s="12"/>
      <c r="BW250" s="12"/>
      <c r="BX250" s="12"/>
      <c r="BY250" s="12"/>
      <c r="BZ250" s="12"/>
      <c r="CA250" s="12"/>
      <c r="CB250" s="12"/>
      <c r="CC250" s="12"/>
      <c r="CD250" s="78"/>
    </row>
    <row r="251" spans="1:82" ht="13.9" customHeight="1" x14ac:dyDescent="0.2">
      <c r="A251" s="12">
        <v>731</v>
      </c>
      <c r="B251" s="12" t="s">
        <v>4062</v>
      </c>
      <c r="C251" s="78" t="s">
        <v>335</v>
      </c>
      <c r="D251" s="99" t="s">
        <v>127</v>
      </c>
      <c r="E251" s="99" t="s">
        <v>6764</v>
      </c>
      <c r="F251" s="100">
        <v>45579</v>
      </c>
      <c r="G251" s="100">
        <v>45579</v>
      </c>
      <c r="H251" s="101">
        <f t="shared" si="18"/>
        <v>45669</v>
      </c>
      <c r="I251" s="101" t="s">
        <v>290</v>
      </c>
      <c r="J251" s="12" t="s">
        <v>851</v>
      </c>
      <c r="K251" s="12" t="s">
        <v>4357</v>
      </c>
      <c r="L251" s="12" t="s">
        <v>1786</v>
      </c>
      <c r="M251" s="102" t="str">
        <f t="shared" si="19"/>
        <v>LOPEZ  MOLINA HECTOR OSWALDO</v>
      </c>
      <c r="N251" s="102" t="s">
        <v>7176</v>
      </c>
      <c r="O251" s="102" t="s">
        <v>4651</v>
      </c>
      <c r="P251" s="12" t="s">
        <v>1953</v>
      </c>
      <c r="Q251" s="100">
        <v>34261</v>
      </c>
      <c r="R251" s="77">
        <f t="shared" si="20"/>
        <v>19</v>
      </c>
      <c r="S251" s="77">
        <f t="shared" si="21"/>
        <v>10</v>
      </c>
      <c r="T251" s="77">
        <f t="shared" si="22"/>
        <v>1993</v>
      </c>
      <c r="U251" s="103">
        <f t="shared" ca="1" si="23"/>
        <v>33.0027397260274</v>
      </c>
      <c r="V251" s="13" t="s">
        <v>452</v>
      </c>
      <c r="W251" s="13" t="s">
        <v>2063</v>
      </c>
      <c r="X251" s="12" t="s">
        <v>454</v>
      </c>
      <c r="Y251" s="12" t="s">
        <v>114</v>
      </c>
      <c r="Z251" s="12" t="s">
        <v>130</v>
      </c>
      <c r="AA251" s="12" t="s">
        <v>347</v>
      </c>
      <c r="AB251" s="12" t="s">
        <v>2289</v>
      </c>
      <c r="AC251" s="12" t="s">
        <v>313</v>
      </c>
      <c r="AD251" s="12" t="s">
        <v>314</v>
      </c>
      <c r="AE251" s="12">
        <v>90</v>
      </c>
      <c r="AF251" s="13" t="s">
        <v>413</v>
      </c>
      <c r="AG251" s="12" t="s">
        <v>290</v>
      </c>
      <c r="AH251" s="104" t="s">
        <v>2339</v>
      </c>
      <c r="AI251" s="12" t="s">
        <v>317</v>
      </c>
      <c r="AJ251" s="12" t="s">
        <v>318</v>
      </c>
      <c r="AK251" s="12">
        <v>4882595473</v>
      </c>
      <c r="AL251" s="104" t="s">
        <v>2969</v>
      </c>
      <c r="AM251" s="12" t="s">
        <v>2445</v>
      </c>
      <c r="AN251" s="12" t="s">
        <v>602</v>
      </c>
      <c r="AO251" s="12" t="s">
        <v>398</v>
      </c>
      <c r="AP251" s="12"/>
      <c r="AQ251" s="12" t="s">
        <v>3254</v>
      </c>
      <c r="AR251" s="12">
        <v>104</v>
      </c>
      <c r="AS251" s="12" t="s">
        <v>328</v>
      </c>
      <c r="AT251" s="12" t="s">
        <v>127</v>
      </c>
      <c r="AU251" s="12" t="s">
        <v>483</v>
      </c>
      <c r="AV251" s="12">
        <v>78780</v>
      </c>
      <c r="AW251" s="12" t="s">
        <v>329</v>
      </c>
      <c r="AX251" s="12">
        <v>0</v>
      </c>
      <c r="AY251" s="12" t="s">
        <v>357</v>
      </c>
      <c r="AZ251" s="12"/>
      <c r="BA251" s="12"/>
      <c r="BB251" s="12"/>
      <c r="BC251" s="12"/>
      <c r="BD251" s="12" t="s">
        <v>2445</v>
      </c>
      <c r="BE251" s="12" t="s">
        <v>602</v>
      </c>
      <c r="BF251" s="12">
        <v>4881436416</v>
      </c>
      <c r="BG251" s="12" t="s">
        <v>333</v>
      </c>
      <c r="BH251" s="12" t="s">
        <v>334</v>
      </c>
      <c r="BI251" s="12" t="s">
        <v>3831</v>
      </c>
      <c r="BJ251" s="12" t="s">
        <v>3888</v>
      </c>
      <c r="BK251" s="12" t="s">
        <v>3911</v>
      </c>
      <c r="BL251" s="105">
        <v>1</v>
      </c>
      <c r="BM251" s="12"/>
      <c r="BN251" s="12">
        <v>0</v>
      </c>
      <c r="BO251" s="105">
        <v>0</v>
      </c>
      <c r="BP251" s="12"/>
      <c r="BQ251" s="12">
        <v>0</v>
      </c>
      <c r="BR251" s="12">
        <v>0</v>
      </c>
      <c r="BS251" s="12"/>
      <c r="BT251" s="12">
        <v>0</v>
      </c>
      <c r="BU251" s="12">
        <v>0</v>
      </c>
      <c r="BV251" s="12"/>
      <c r="BW251" s="12">
        <v>0</v>
      </c>
      <c r="BX251" s="12">
        <v>0</v>
      </c>
      <c r="BY251" s="12"/>
      <c r="BZ251" s="12">
        <v>0</v>
      </c>
      <c r="CA251" s="12"/>
      <c r="CB251" s="12"/>
      <c r="CC251" s="12"/>
      <c r="CD251" s="78"/>
    </row>
    <row r="252" spans="1:82" ht="13.9" customHeight="1" x14ac:dyDescent="0.2">
      <c r="A252" s="107">
        <v>732</v>
      </c>
      <c r="B252" s="107" t="s">
        <v>3999</v>
      </c>
      <c r="C252" s="104" t="s">
        <v>564</v>
      </c>
      <c r="D252" s="107" t="s">
        <v>81</v>
      </c>
      <c r="E252" s="99" t="s">
        <v>6765</v>
      </c>
      <c r="F252" s="100">
        <v>45579</v>
      </c>
      <c r="G252" s="100">
        <v>45579</v>
      </c>
      <c r="H252" s="101">
        <f t="shared" si="18"/>
        <v>45669</v>
      </c>
      <c r="I252" s="101" t="s">
        <v>290</v>
      </c>
      <c r="J252" s="12" t="s">
        <v>4326</v>
      </c>
      <c r="K252" s="12" t="s">
        <v>4452</v>
      </c>
      <c r="L252" s="12" t="s">
        <v>1724</v>
      </c>
      <c r="M252" s="102" t="str">
        <f t="shared" si="19"/>
        <v>DELGADO  ARTEAGA JOSE ANGEL</v>
      </c>
      <c r="N252" s="102" t="s">
        <v>7177</v>
      </c>
      <c r="O252" s="102" t="s">
        <v>7239</v>
      </c>
      <c r="P252" s="12" t="s">
        <v>1953</v>
      </c>
      <c r="Q252" s="100">
        <v>32315</v>
      </c>
      <c r="R252" s="77">
        <f t="shared" si="20"/>
        <v>21</v>
      </c>
      <c r="S252" s="77">
        <f t="shared" si="21"/>
        <v>6</v>
      </c>
      <c r="T252" s="77">
        <f t="shared" si="22"/>
        <v>1988</v>
      </c>
      <c r="U252" s="103">
        <f t="shared" ca="1" si="23"/>
        <v>38.334246575342469</v>
      </c>
      <c r="V252" s="13" t="s">
        <v>342</v>
      </c>
      <c r="W252" s="13" t="s">
        <v>1992</v>
      </c>
      <c r="X252" s="12" t="s">
        <v>530</v>
      </c>
      <c r="Y252" s="12" t="s">
        <v>297</v>
      </c>
      <c r="Z252" s="12" t="s">
        <v>84</v>
      </c>
      <c r="AA252" s="12" t="s">
        <v>532</v>
      </c>
      <c r="AB252" s="12" t="s">
        <v>574</v>
      </c>
      <c r="AC252" s="12" t="s">
        <v>313</v>
      </c>
      <c r="AD252" s="12" t="s">
        <v>314</v>
      </c>
      <c r="AE252" s="12">
        <v>90</v>
      </c>
      <c r="AF252" s="13" t="s">
        <v>710</v>
      </c>
      <c r="AG252" s="12" t="s">
        <v>290</v>
      </c>
      <c r="AH252" s="104" t="s">
        <v>575</v>
      </c>
      <c r="AI252" s="12" t="s">
        <v>317</v>
      </c>
      <c r="AJ252" s="12" t="s">
        <v>318</v>
      </c>
      <c r="AK252" s="12">
        <v>3317732583</v>
      </c>
      <c r="AL252" s="104" t="s">
        <v>2899</v>
      </c>
      <c r="AM252" s="12" t="s">
        <v>2381</v>
      </c>
      <c r="AN252" s="12" t="s">
        <v>776</v>
      </c>
      <c r="AO252" s="12" t="s">
        <v>398</v>
      </c>
      <c r="AP252" s="12"/>
      <c r="AQ252" s="12" t="s">
        <v>1374</v>
      </c>
      <c r="AR252" s="12">
        <v>78</v>
      </c>
      <c r="AS252" s="12" t="s">
        <v>328</v>
      </c>
      <c r="AT252" s="12" t="s">
        <v>1375</v>
      </c>
      <c r="AU252" s="12" t="s">
        <v>681</v>
      </c>
      <c r="AV252" s="12">
        <v>2770</v>
      </c>
      <c r="AW252" s="12" t="s">
        <v>357</v>
      </c>
      <c r="AX252" s="12">
        <v>0</v>
      </c>
      <c r="AY252" s="12" t="s">
        <v>357</v>
      </c>
      <c r="AZ252" s="12"/>
      <c r="BA252" s="12"/>
      <c r="BB252" s="12"/>
      <c r="BC252" s="12"/>
      <c r="BD252" s="12" t="s">
        <v>3464</v>
      </c>
      <c r="BE252" s="12" t="s">
        <v>1003</v>
      </c>
      <c r="BF252" s="12">
        <v>3327937744</v>
      </c>
      <c r="BG252" s="12" t="s">
        <v>333</v>
      </c>
      <c r="BH252" s="12" t="s">
        <v>334</v>
      </c>
      <c r="BI252" s="12" t="s">
        <v>3831</v>
      </c>
      <c r="BJ252" s="12" t="s">
        <v>3888</v>
      </c>
      <c r="BK252" s="12" t="s">
        <v>3911</v>
      </c>
      <c r="BL252" s="105">
        <v>14</v>
      </c>
      <c r="BM252" s="12"/>
      <c r="BN252" s="12" t="s">
        <v>3911</v>
      </c>
      <c r="BO252" s="105">
        <v>9</v>
      </c>
      <c r="BP252" s="12"/>
      <c r="BQ252" s="12">
        <v>0</v>
      </c>
      <c r="BR252" s="12">
        <v>0</v>
      </c>
      <c r="BS252" s="12"/>
      <c r="BT252" s="12">
        <v>0</v>
      </c>
      <c r="BU252" s="12">
        <v>0</v>
      </c>
      <c r="BV252" s="12"/>
      <c r="BW252" s="12">
        <v>0</v>
      </c>
      <c r="BX252" s="12">
        <v>0</v>
      </c>
      <c r="BY252" s="12"/>
      <c r="BZ252" s="12">
        <v>0</v>
      </c>
      <c r="CA252" s="12"/>
      <c r="CB252" s="12"/>
      <c r="CC252" s="12"/>
      <c r="CD252" s="78"/>
    </row>
    <row r="253" spans="1:82" s="116" customFormat="1" ht="13.9" customHeight="1" x14ac:dyDescent="0.2">
      <c r="A253" s="109">
        <v>734</v>
      </c>
      <c r="B253" s="109" t="s">
        <v>4009</v>
      </c>
      <c r="C253" s="115" t="s">
        <v>564</v>
      </c>
      <c r="D253" s="109" t="s">
        <v>81</v>
      </c>
      <c r="E253" s="111" t="s">
        <v>6766</v>
      </c>
      <c r="F253" s="112">
        <v>45580</v>
      </c>
      <c r="G253" s="112">
        <v>45580</v>
      </c>
      <c r="H253" s="113">
        <f t="shared" si="18"/>
        <v>45670</v>
      </c>
      <c r="I253" s="113" t="s">
        <v>290</v>
      </c>
      <c r="J253" s="109" t="s">
        <v>4337</v>
      </c>
      <c r="K253" s="109" t="s">
        <v>4410</v>
      </c>
      <c r="L253" s="109" t="s">
        <v>1749</v>
      </c>
      <c r="M253" s="128" t="str">
        <f t="shared" si="19"/>
        <v>CAMARILLO  BRIONES JOSE HIRVING</v>
      </c>
      <c r="N253" s="128" t="s">
        <v>7178</v>
      </c>
      <c r="O253" s="128" t="s">
        <v>4608</v>
      </c>
      <c r="P253" s="109" t="s">
        <v>1953</v>
      </c>
      <c r="Q253" s="112">
        <v>35360</v>
      </c>
      <c r="R253" s="125">
        <f t="shared" si="20"/>
        <v>22</v>
      </c>
      <c r="S253" s="125">
        <f t="shared" si="21"/>
        <v>10</v>
      </c>
      <c r="T253" s="125">
        <f t="shared" si="22"/>
        <v>1996</v>
      </c>
      <c r="U253" s="142">
        <f t="shared" ca="1" si="23"/>
        <v>29.991780821917807</v>
      </c>
      <c r="V253" s="114" t="s">
        <v>452</v>
      </c>
      <c r="W253" s="114" t="s">
        <v>2019</v>
      </c>
      <c r="X253" s="109" t="s">
        <v>454</v>
      </c>
      <c r="Y253" s="120" t="s">
        <v>87</v>
      </c>
      <c r="Z253" s="109" t="s">
        <v>88</v>
      </c>
      <c r="AA253" s="109" t="s">
        <v>392</v>
      </c>
      <c r="AB253" s="109" t="s">
        <v>374</v>
      </c>
      <c r="AC253" s="109" t="s">
        <v>313</v>
      </c>
      <c r="AD253" s="109" t="s">
        <v>314</v>
      </c>
      <c r="AE253" s="109">
        <v>90</v>
      </c>
      <c r="AF253" s="114" t="s">
        <v>375</v>
      </c>
      <c r="AG253" s="109" t="s">
        <v>290</v>
      </c>
      <c r="AH253" s="115" t="s">
        <v>473</v>
      </c>
      <c r="AI253" s="109" t="s">
        <v>317</v>
      </c>
      <c r="AJ253" s="109" t="s">
        <v>318</v>
      </c>
      <c r="AK253" s="109">
        <v>4443048528</v>
      </c>
      <c r="AL253" s="115" t="s">
        <v>2926</v>
      </c>
      <c r="AM253" s="109" t="s">
        <v>2407</v>
      </c>
      <c r="AN253" s="109" t="s">
        <v>776</v>
      </c>
      <c r="AO253" s="109" t="s">
        <v>398</v>
      </c>
      <c r="AP253" s="109"/>
      <c r="AQ253" s="109" t="s">
        <v>3225</v>
      </c>
      <c r="AR253" s="109">
        <v>109</v>
      </c>
      <c r="AS253" s="109" t="s">
        <v>642</v>
      </c>
      <c r="AT253" s="109" t="s">
        <v>482</v>
      </c>
      <c r="AU253" s="109" t="s">
        <v>483</v>
      </c>
      <c r="AV253" s="109">
        <v>78438</v>
      </c>
      <c r="AW253" s="109" t="s">
        <v>357</v>
      </c>
      <c r="AX253" s="109">
        <v>0</v>
      </c>
      <c r="AY253" s="109" t="s">
        <v>357</v>
      </c>
      <c r="AZ253" s="109"/>
      <c r="BA253" s="109"/>
      <c r="BB253" s="109"/>
      <c r="BC253" s="109"/>
      <c r="BD253" s="109" t="s">
        <v>2407</v>
      </c>
      <c r="BE253" s="109" t="s">
        <v>776</v>
      </c>
      <c r="BF253" s="109">
        <v>4448593861</v>
      </c>
      <c r="BG253" s="109" t="s">
        <v>488</v>
      </c>
      <c r="BH253" s="109" t="s">
        <v>334</v>
      </c>
      <c r="BI253" s="109" t="s">
        <v>3831</v>
      </c>
      <c r="BJ253" s="109" t="s">
        <v>3831</v>
      </c>
      <c r="BK253" s="109"/>
      <c r="BL253" s="111"/>
      <c r="BM253" s="109"/>
      <c r="BN253" s="109"/>
      <c r="BO253" s="111"/>
      <c r="BP253" s="109"/>
      <c r="BQ253" s="109"/>
      <c r="BR253" s="109"/>
      <c r="BS253" s="109"/>
      <c r="BT253" s="109"/>
      <c r="BU253" s="109"/>
      <c r="BV253" s="109"/>
      <c r="BW253" s="109"/>
      <c r="BX253" s="109"/>
      <c r="BY253" s="109"/>
      <c r="BZ253" s="109"/>
      <c r="CA253" s="109"/>
      <c r="CB253" s="109"/>
      <c r="CC253" s="109"/>
      <c r="CD253" s="110"/>
    </row>
    <row r="254" spans="1:82" s="116" customFormat="1" ht="13.9" customHeight="1" x14ac:dyDescent="0.2">
      <c r="A254" s="109">
        <v>735</v>
      </c>
      <c r="B254" s="109" t="s">
        <v>4000</v>
      </c>
      <c r="C254" s="115" t="s">
        <v>564</v>
      </c>
      <c r="D254" s="109" t="s">
        <v>81</v>
      </c>
      <c r="E254" s="111" t="s">
        <v>6610</v>
      </c>
      <c r="F254" s="112">
        <v>45580</v>
      </c>
      <c r="G254" s="112">
        <v>45580</v>
      </c>
      <c r="H254" s="113">
        <f t="shared" si="18"/>
        <v>45670</v>
      </c>
      <c r="I254" s="113" t="s">
        <v>290</v>
      </c>
      <c r="J254" s="109" t="s">
        <v>4327</v>
      </c>
      <c r="K254" s="109" t="s">
        <v>4317</v>
      </c>
      <c r="L254" s="109" t="s">
        <v>1725</v>
      </c>
      <c r="M254" s="128" t="str">
        <f t="shared" si="19"/>
        <v>VARGAS DIAZ PRUDENCIO</v>
      </c>
      <c r="N254" s="128" t="s">
        <v>7016</v>
      </c>
      <c r="O254" s="128" t="s">
        <v>4582</v>
      </c>
      <c r="P254" s="109" t="s">
        <v>1953</v>
      </c>
      <c r="Q254" s="112">
        <v>31895</v>
      </c>
      <c r="R254" s="125">
        <f t="shared" si="20"/>
        <v>28</v>
      </c>
      <c r="S254" s="125">
        <f t="shared" si="21"/>
        <v>4</v>
      </c>
      <c r="T254" s="125">
        <f t="shared" si="22"/>
        <v>1987</v>
      </c>
      <c r="U254" s="142">
        <f t="shared" ca="1" si="23"/>
        <v>39.484931506849314</v>
      </c>
      <c r="V254" s="114" t="s">
        <v>342</v>
      </c>
      <c r="W254" s="114" t="s">
        <v>1993</v>
      </c>
      <c r="X254" s="109" t="s">
        <v>454</v>
      </c>
      <c r="Y254" s="109" t="s">
        <v>83</v>
      </c>
      <c r="Z254" s="109" t="s">
        <v>84</v>
      </c>
      <c r="AA254" s="109" t="s">
        <v>532</v>
      </c>
      <c r="AB254" s="109" t="s">
        <v>574</v>
      </c>
      <c r="AC254" s="109" t="s">
        <v>313</v>
      </c>
      <c r="AD254" s="109" t="s">
        <v>314</v>
      </c>
      <c r="AE254" s="109">
        <v>90</v>
      </c>
      <c r="AF254" s="114" t="s">
        <v>710</v>
      </c>
      <c r="AG254" s="109" t="s">
        <v>290</v>
      </c>
      <c r="AH254" s="115" t="s">
        <v>575</v>
      </c>
      <c r="AI254" s="109" t="s">
        <v>317</v>
      </c>
      <c r="AJ254" s="109" t="s">
        <v>318</v>
      </c>
      <c r="AK254" s="109">
        <v>6311097416</v>
      </c>
      <c r="AL254" s="115" t="s">
        <v>2900</v>
      </c>
      <c r="AM254" s="109" t="s">
        <v>2382</v>
      </c>
      <c r="AN254" s="109" t="s">
        <v>381</v>
      </c>
      <c r="AO254" s="109" t="s">
        <v>327</v>
      </c>
      <c r="AP254" s="109"/>
      <c r="AQ254" s="109" t="s">
        <v>3210</v>
      </c>
      <c r="AR254" s="109">
        <v>6</v>
      </c>
      <c r="AS254" s="109" t="s">
        <v>328</v>
      </c>
      <c r="AT254" s="109" t="s">
        <v>3378</v>
      </c>
      <c r="AU254" s="109" t="s">
        <v>1066</v>
      </c>
      <c r="AV254" s="109">
        <v>53790</v>
      </c>
      <c r="AW254" s="109" t="s">
        <v>357</v>
      </c>
      <c r="AX254" s="109">
        <v>0</v>
      </c>
      <c r="AY254" s="109" t="s">
        <v>357</v>
      </c>
      <c r="AZ254" s="109"/>
      <c r="BA254" s="109"/>
      <c r="BB254" s="109"/>
      <c r="BC254" s="109"/>
      <c r="BD254" s="109" t="s">
        <v>2382</v>
      </c>
      <c r="BE254" s="109" t="s">
        <v>381</v>
      </c>
      <c r="BF254" s="109">
        <v>3334611582</v>
      </c>
      <c r="BG254" s="109" t="s">
        <v>333</v>
      </c>
      <c r="BH254" s="109" t="s">
        <v>334</v>
      </c>
      <c r="BI254" s="109" t="s">
        <v>3831</v>
      </c>
      <c r="BJ254" s="109" t="s">
        <v>3888</v>
      </c>
      <c r="BK254" s="109" t="s">
        <v>571</v>
      </c>
      <c r="BL254" s="111">
        <v>12</v>
      </c>
      <c r="BM254" s="109"/>
      <c r="BN254" s="109" t="s">
        <v>571</v>
      </c>
      <c r="BO254" s="111">
        <v>10</v>
      </c>
      <c r="BP254" s="109"/>
      <c r="BQ254" s="109" t="s">
        <v>3911</v>
      </c>
      <c r="BR254" s="109">
        <v>3</v>
      </c>
      <c r="BS254" s="109"/>
      <c r="BT254" s="109">
        <v>0</v>
      </c>
      <c r="BU254" s="109">
        <v>0</v>
      </c>
      <c r="BV254" s="109"/>
      <c r="BW254" s="109">
        <v>0</v>
      </c>
      <c r="BX254" s="109">
        <v>0</v>
      </c>
      <c r="BY254" s="109"/>
      <c r="BZ254" s="109">
        <v>0</v>
      </c>
      <c r="CA254" s="109"/>
      <c r="CB254" s="109"/>
      <c r="CC254" s="109"/>
      <c r="CD254" s="110"/>
    </row>
    <row r="255" spans="1:82" s="116" customFormat="1" ht="13.9" customHeight="1" x14ac:dyDescent="0.2">
      <c r="A255" s="109">
        <v>737</v>
      </c>
      <c r="B255" s="109" t="s">
        <v>4122</v>
      </c>
      <c r="C255" s="110" t="s">
        <v>335</v>
      </c>
      <c r="D255" s="111" t="s">
        <v>161</v>
      </c>
      <c r="E255" s="111" t="s">
        <v>6611</v>
      </c>
      <c r="F255" s="112">
        <v>45582</v>
      </c>
      <c r="G255" s="112">
        <v>45582</v>
      </c>
      <c r="H255" s="113">
        <f t="shared" si="18"/>
        <v>45672</v>
      </c>
      <c r="I255" s="113" t="s">
        <v>290</v>
      </c>
      <c r="J255" s="109" t="s">
        <v>366</v>
      </c>
      <c r="K255" s="109" t="s">
        <v>446</v>
      </c>
      <c r="L255" s="109" t="s">
        <v>1838</v>
      </c>
      <c r="M255" s="128" t="str">
        <f t="shared" si="19"/>
        <v>HERNANDEZ CRUZ LORENZO</v>
      </c>
      <c r="N255" s="128" t="s">
        <v>7017</v>
      </c>
      <c r="O255" s="128" t="s">
        <v>4718</v>
      </c>
      <c r="P255" s="109" t="s">
        <v>1953</v>
      </c>
      <c r="Q255" s="112">
        <v>32522</v>
      </c>
      <c r="R255" s="125">
        <f t="shared" si="20"/>
        <v>14</v>
      </c>
      <c r="S255" s="125">
        <f t="shared" si="21"/>
        <v>1</v>
      </c>
      <c r="T255" s="125">
        <f t="shared" si="22"/>
        <v>1989</v>
      </c>
      <c r="U255" s="142">
        <f t="shared" ca="1" si="23"/>
        <v>37.767123287671232</v>
      </c>
      <c r="V255" s="114" t="s">
        <v>452</v>
      </c>
      <c r="W255" s="114" t="s">
        <v>2129</v>
      </c>
      <c r="X255" s="109" t="s">
        <v>530</v>
      </c>
      <c r="Y255" s="109" t="s">
        <v>168</v>
      </c>
      <c r="Z255" s="109" t="s">
        <v>164</v>
      </c>
      <c r="AA255" s="109" t="s">
        <v>347</v>
      </c>
      <c r="AB255" s="109" t="s">
        <v>2297</v>
      </c>
      <c r="AC255" s="109" t="s">
        <v>313</v>
      </c>
      <c r="AD255" s="109" t="s">
        <v>314</v>
      </c>
      <c r="AE255" s="109">
        <v>90</v>
      </c>
      <c r="AF255" s="114" t="s">
        <v>2330</v>
      </c>
      <c r="AG255" s="109" t="s">
        <v>290</v>
      </c>
      <c r="AH255" s="115" t="s">
        <v>2343</v>
      </c>
      <c r="AI255" s="109" t="s">
        <v>317</v>
      </c>
      <c r="AJ255" s="109" t="s">
        <v>318</v>
      </c>
      <c r="AK255" s="109">
        <v>4811113327</v>
      </c>
      <c r="AL255" s="115" t="s">
        <v>3035</v>
      </c>
      <c r="AM255" s="109" t="s">
        <v>2506</v>
      </c>
      <c r="AN255" s="109" t="s">
        <v>401</v>
      </c>
      <c r="AO255" s="109" t="s">
        <v>398</v>
      </c>
      <c r="AP255" s="109"/>
      <c r="AQ255" s="109" t="s">
        <v>3287</v>
      </c>
      <c r="AR255" s="109">
        <v>717</v>
      </c>
      <c r="AS255" s="109" t="s">
        <v>328</v>
      </c>
      <c r="AT255" s="109" t="s">
        <v>3376</v>
      </c>
      <c r="AU255" s="109" t="s">
        <v>483</v>
      </c>
      <c r="AV255" s="109">
        <v>79028</v>
      </c>
      <c r="AW255" s="109" t="s">
        <v>357</v>
      </c>
      <c r="AX255" s="109">
        <v>0</v>
      </c>
      <c r="AY255" s="109" t="s">
        <v>357</v>
      </c>
      <c r="AZ255" s="109"/>
      <c r="BA255" s="109"/>
      <c r="BB255" s="109"/>
      <c r="BC255" s="109"/>
      <c r="BD255" s="109" t="s">
        <v>3513</v>
      </c>
      <c r="BE255" s="109" t="s">
        <v>560</v>
      </c>
      <c r="BF255" s="109">
        <v>4811113327</v>
      </c>
      <c r="BG255" s="109" t="s">
        <v>685</v>
      </c>
      <c r="BH255" s="109" t="s">
        <v>334</v>
      </c>
      <c r="BI255" s="109" t="s">
        <v>3831</v>
      </c>
      <c r="BJ255" s="109" t="s">
        <v>3888</v>
      </c>
      <c r="BK255" s="109" t="s">
        <v>3911</v>
      </c>
      <c r="BL255" s="111">
        <v>14</v>
      </c>
      <c r="BM255" s="109"/>
      <c r="BN255" s="109" t="s">
        <v>571</v>
      </c>
      <c r="BO255" s="111">
        <v>12</v>
      </c>
      <c r="BP255" s="109"/>
      <c r="BQ255" s="109" t="s">
        <v>3911</v>
      </c>
      <c r="BR255" s="109">
        <v>5</v>
      </c>
      <c r="BS255" s="109"/>
      <c r="BT255" s="109">
        <v>0</v>
      </c>
      <c r="BU255" s="109">
        <v>0</v>
      </c>
      <c r="BV255" s="109"/>
      <c r="BW255" s="109">
        <v>0</v>
      </c>
      <c r="BX255" s="109">
        <v>0</v>
      </c>
      <c r="BY255" s="109"/>
      <c r="BZ255" s="109">
        <v>0</v>
      </c>
      <c r="CA255" s="109"/>
      <c r="CB255" s="109"/>
      <c r="CC255" s="109"/>
      <c r="CD255" s="110"/>
    </row>
    <row r="256" spans="1:82" ht="13.9" customHeight="1" x14ac:dyDescent="0.2">
      <c r="A256" s="12">
        <v>738</v>
      </c>
      <c r="B256" s="12" t="s">
        <v>7263</v>
      </c>
      <c r="C256" s="78" t="s">
        <v>299</v>
      </c>
      <c r="D256" s="99" t="s">
        <v>80</v>
      </c>
      <c r="E256" s="99" t="s">
        <v>6612</v>
      </c>
      <c r="F256" s="100">
        <v>45583</v>
      </c>
      <c r="G256" s="100">
        <v>45583</v>
      </c>
      <c r="H256" s="101">
        <f t="shared" si="18"/>
        <v>45673</v>
      </c>
      <c r="I256" s="101" t="s">
        <v>291</v>
      </c>
      <c r="J256" s="12" t="s">
        <v>366</v>
      </c>
      <c r="K256" s="12" t="s">
        <v>4467</v>
      </c>
      <c r="L256" s="12" t="s">
        <v>1760</v>
      </c>
      <c r="M256" s="102" t="str">
        <f t="shared" si="19"/>
        <v>HERNANDEZ DORANTES MISAEL</v>
      </c>
      <c r="N256" s="102" t="s">
        <v>7018</v>
      </c>
      <c r="O256" s="102" t="s">
        <v>4620</v>
      </c>
      <c r="P256" s="12" t="s">
        <v>1953</v>
      </c>
      <c r="Q256" s="100">
        <v>32996</v>
      </c>
      <c r="R256" s="77">
        <f t="shared" si="20"/>
        <v>3</v>
      </c>
      <c r="S256" s="77">
        <f t="shared" si="21"/>
        <v>5</v>
      </c>
      <c r="T256" s="77">
        <f t="shared" si="22"/>
        <v>1990</v>
      </c>
      <c r="U256" s="103">
        <f t="shared" ca="1" si="23"/>
        <v>36.468493150684928</v>
      </c>
      <c r="V256" s="13" t="s">
        <v>389</v>
      </c>
      <c r="W256" s="13" t="s">
        <v>2031</v>
      </c>
      <c r="X256" s="12" t="s">
        <v>1497</v>
      </c>
      <c r="Y256" s="107" t="s">
        <v>87</v>
      </c>
      <c r="Z256" s="12" t="s">
        <v>99</v>
      </c>
      <c r="AA256" s="12" t="s">
        <v>636</v>
      </c>
      <c r="AB256" s="12" t="s">
        <v>2283</v>
      </c>
      <c r="AC256" s="12" t="s">
        <v>313</v>
      </c>
      <c r="AD256" s="12" t="s">
        <v>314</v>
      </c>
      <c r="AE256" s="12">
        <v>90</v>
      </c>
      <c r="AF256" s="13" t="s">
        <v>315</v>
      </c>
      <c r="AG256" s="12" t="s">
        <v>291</v>
      </c>
      <c r="AH256" s="104" t="s">
        <v>316</v>
      </c>
      <c r="AI256" s="12" t="s">
        <v>317</v>
      </c>
      <c r="AJ256" s="12" t="s">
        <v>318</v>
      </c>
      <c r="AK256" s="12" t="s">
        <v>2683</v>
      </c>
      <c r="AL256" s="104" t="s">
        <v>2937</v>
      </c>
      <c r="AM256" s="12" t="s">
        <v>2419</v>
      </c>
      <c r="AN256" s="12" t="s">
        <v>622</v>
      </c>
      <c r="AO256" s="12" t="s">
        <v>398</v>
      </c>
      <c r="AP256" s="12"/>
      <c r="AQ256" s="12" t="s">
        <v>3235</v>
      </c>
      <c r="AR256" s="12">
        <v>339</v>
      </c>
      <c r="AS256" s="12" t="s">
        <v>3370</v>
      </c>
      <c r="AT256" s="12" t="s">
        <v>483</v>
      </c>
      <c r="AU256" s="12" t="s">
        <v>483</v>
      </c>
      <c r="AV256" s="12">
        <v>78269</v>
      </c>
      <c r="AW256" s="12" t="s">
        <v>357</v>
      </c>
      <c r="AX256" s="12">
        <v>0</v>
      </c>
      <c r="AY256" s="12" t="s">
        <v>1377</v>
      </c>
      <c r="AZ256" s="12"/>
      <c r="BA256" s="12"/>
      <c r="BB256" s="12"/>
      <c r="BC256" s="12"/>
      <c r="BD256" s="12" t="s">
        <v>2419</v>
      </c>
      <c r="BE256" s="12" t="s">
        <v>622</v>
      </c>
      <c r="BF256" s="12" t="s">
        <v>3632</v>
      </c>
      <c r="BG256" s="12">
        <v>0</v>
      </c>
      <c r="BH256" s="12" t="s">
        <v>334</v>
      </c>
      <c r="BI256" s="12" t="s">
        <v>362</v>
      </c>
      <c r="BJ256" s="12" t="s">
        <v>3888</v>
      </c>
      <c r="BK256" s="12" t="s">
        <v>3911</v>
      </c>
      <c r="BL256" s="105">
        <v>0</v>
      </c>
      <c r="BM256" s="12"/>
      <c r="BN256" s="12">
        <v>0</v>
      </c>
      <c r="BO256" s="105">
        <v>0</v>
      </c>
      <c r="BP256" s="12"/>
      <c r="BQ256" s="12">
        <v>0</v>
      </c>
      <c r="BR256" s="12">
        <v>0</v>
      </c>
      <c r="BS256" s="12"/>
      <c r="BT256" s="12">
        <v>0</v>
      </c>
      <c r="BU256" s="12">
        <v>0</v>
      </c>
      <c r="BV256" s="12"/>
      <c r="BW256" s="12">
        <v>0</v>
      </c>
      <c r="BX256" s="12">
        <v>0</v>
      </c>
      <c r="BY256" s="12"/>
      <c r="BZ256" s="12">
        <v>0</v>
      </c>
      <c r="CA256" s="12"/>
      <c r="CB256" s="12"/>
      <c r="CC256" s="12"/>
      <c r="CD256" s="78"/>
    </row>
    <row r="257" spans="1:82" s="116" customFormat="1" ht="13.9" customHeight="1" x14ac:dyDescent="0.2">
      <c r="A257" s="109">
        <v>742</v>
      </c>
      <c r="B257" s="109" t="s">
        <v>4069</v>
      </c>
      <c r="C257" s="110" t="s">
        <v>335</v>
      </c>
      <c r="D257" s="111" t="s">
        <v>133</v>
      </c>
      <c r="E257" s="111" t="s">
        <v>6613</v>
      </c>
      <c r="F257" s="112">
        <v>45588</v>
      </c>
      <c r="G257" s="112">
        <v>45588</v>
      </c>
      <c r="H257" s="113">
        <f t="shared" si="18"/>
        <v>45678</v>
      </c>
      <c r="I257" s="113" t="s">
        <v>290</v>
      </c>
      <c r="J257" s="109" t="s">
        <v>1147</v>
      </c>
      <c r="K257" s="109" t="s">
        <v>4482</v>
      </c>
      <c r="L257" s="109" t="s">
        <v>1794</v>
      </c>
      <c r="M257" s="128" t="str">
        <f t="shared" si="19"/>
        <v>HERRERA AMARO CESAR ELIOMAR</v>
      </c>
      <c r="N257" s="128" t="s">
        <v>7019</v>
      </c>
      <c r="O257" s="128" t="s">
        <v>4659</v>
      </c>
      <c r="P257" s="109" t="s">
        <v>1953</v>
      </c>
      <c r="Q257" s="112">
        <v>38210</v>
      </c>
      <c r="R257" s="125">
        <f t="shared" si="20"/>
        <v>11</v>
      </c>
      <c r="S257" s="125">
        <f t="shared" si="21"/>
        <v>8</v>
      </c>
      <c r="T257" s="125">
        <f t="shared" si="22"/>
        <v>2004</v>
      </c>
      <c r="U257" s="142">
        <f t="shared" ca="1" si="23"/>
        <v>22.183561643835617</v>
      </c>
      <c r="V257" s="114" t="s">
        <v>389</v>
      </c>
      <c r="W257" s="114" t="s">
        <v>2071</v>
      </c>
      <c r="X257" s="109" t="s">
        <v>693</v>
      </c>
      <c r="Y257" s="109" t="s">
        <v>139</v>
      </c>
      <c r="Z257" s="109" t="s">
        <v>136</v>
      </c>
      <c r="AA257" s="109" t="s">
        <v>347</v>
      </c>
      <c r="AB257" s="109" t="s">
        <v>670</v>
      </c>
      <c r="AC257" s="109" t="s">
        <v>313</v>
      </c>
      <c r="AD257" s="109" t="s">
        <v>314</v>
      </c>
      <c r="AE257" s="109">
        <v>90</v>
      </c>
      <c r="AF257" s="114" t="s">
        <v>671</v>
      </c>
      <c r="AG257" s="109" t="s">
        <v>290</v>
      </c>
      <c r="AH257" s="115" t="s">
        <v>672</v>
      </c>
      <c r="AI257" s="109" t="s">
        <v>317</v>
      </c>
      <c r="AJ257" s="109" t="s">
        <v>318</v>
      </c>
      <c r="AK257" s="109">
        <v>8116892174</v>
      </c>
      <c r="AL257" s="115" t="s">
        <v>2977</v>
      </c>
      <c r="AM257" s="109" t="s">
        <v>2452</v>
      </c>
      <c r="AN257" s="109" t="s">
        <v>776</v>
      </c>
      <c r="AO257" s="109" t="s">
        <v>398</v>
      </c>
      <c r="AP257" s="109"/>
      <c r="AQ257" s="109" t="s">
        <v>3257</v>
      </c>
      <c r="AR257" s="109">
        <v>233</v>
      </c>
      <c r="AS257" s="109" t="s">
        <v>328</v>
      </c>
      <c r="AT257" s="109" t="s">
        <v>3388</v>
      </c>
      <c r="AU257" s="109" t="s">
        <v>912</v>
      </c>
      <c r="AV257" s="109">
        <v>66613</v>
      </c>
      <c r="AW257" s="109" t="s">
        <v>329</v>
      </c>
      <c r="AX257" s="109">
        <v>0</v>
      </c>
      <c r="AY257" s="109" t="s">
        <v>329</v>
      </c>
      <c r="AZ257" s="109"/>
      <c r="BA257" s="109"/>
      <c r="BB257" s="109"/>
      <c r="BC257" s="109"/>
      <c r="BD257" s="109" t="s">
        <v>2452</v>
      </c>
      <c r="BE257" s="109" t="s">
        <v>776</v>
      </c>
      <c r="BF257" s="109">
        <v>8128722438</v>
      </c>
      <c r="BG257" s="109" t="s">
        <v>333</v>
      </c>
      <c r="BH257" s="109" t="s">
        <v>334</v>
      </c>
      <c r="BI257" s="109" t="s">
        <v>3831</v>
      </c>
      <c r="BJ257" s="109" t="s">
        <v>3831</v>
      </c>
      <c r="BK257" s="109"/>
      <c r="BL257" s="111"/>
      <c r="BM257" s="109"/>
      <c r="BN257" s="109"/>
      <c r="BO257" s="111"/>
      <c r="BP257" s="109"/>
      <c r="BQ257" s="109"/>
      <c r="BR257" s="109"/>
      <c r="BS257" s="109"/>
      <c r="BT257" s="109"/>
      <c r="BU257" s="109"/>
      <c r="BV257" s="109"/>
      <c r="BW257" s="109"/>
      <c r="BX257" s="109"/>
      <c r="BY257" s="109"/>
      <c r="BZ257" s="109"/>
      <c r="CA257" s="109"/>
      <c r="CB257" s="109"/>
      <c r="CC257" s="109"/>
      <c r="CD257" s="110"/>
    </row>
    <row r="258" spans="1:82" ht="13.9" customHeight="1" x14ac:dyDescent="0.2">
      <c r="A258" s="12">
        <v>749</v>
      </c>
      <c r="B258" s="12" t="s">
        <v>4189</v>
      </c>
      <c r="C258" s="106" t="s">
        <v>1390</v>
      </c>
      <c r="D258" s="107" t="s">
        <v>281</v>
      </c>
      <c r="E258" s="99" t="s">
        <v>6614</v>
      </c>
      <c r="F258" s="100">
        <v>45595</v>
      </c>
      <c r="G258" s="100">
        <v>45595</v>
      </c>
      <c r="H258" s="101">
        <f t="shared" ref="H258:H321" si="24">+G258+AE258</f>
        <v>45685</v>
      </c>
      <c r="I258" s="101" t="s">
        <v>291</v>
      </c>
      <c r="J258" s="12" t="s">
        <v>4433</v>
      </c>
      <c r="K258" s="12" t="s">
        <v>507</v>
      </c>
      <c r="L258" s="12" t="s">
        <v>1945</v>
      </c>
      <c r="M258" s="102" t="str">
        <f t="shared" ref="M258:M321" si="25">_xlfn.CONCAT(J258," ",K258," ",L258)</f>
        <v>VERA MARTINEZ MARTHA MARIA</v>
      </c>
      <c r="N258" s="102" t="s">
        <v>7020</v>
      </c>
      <c r="O258" s="102" t="s">
        <v>4852</v>
      </c>
      <c r="P258" s="12" t="s">
        <v>1953</v>
      </c>
      <c r="Q258" s="100">
        <v>31458</v>
      </c>
      <c r="R258" s="77">
        <f t="shared" si="20"/>
        <v>15</v>
      </c>
      <c r="S258" s="77">
        <f t="shared" si="21"/>
        <v>2</v>
      </c>
      <c r="T258" s="77">
        <f t="shared" si="22"/>
        <v>1986</v>
      </c>
      <c r="U258" s="103">
        <f t="shared" ca="1" si="23"/>
        <v>40.682191780821917</v>
      </c>
      <c r="V258" s="13" t="s">
        <v>452</v>
      </c>
      <c r="W258" s="13" t="s">
        <v>2263</v>
      </c>
      <c r="X258" s="12" t="s">
        <v>310</v>
      </c>
      <c r="Y258" s="108" t="s">
        <v>280</v>
      </c>
      <c r="Z258" s="12" t="s">
        <v>263</v>
      </c>
      <c r="AA258" s="12" t="s">
        <v>636</v>
      </c>
      <c r="AB258" s="12" t="s">
        <v>1397</v>
      </c>
      <c r="AC258" s="12" t="s">
        <v>313</v>
      </c>
      <c r="AD258" s="12" t="s">
        <v>314</v>
      </c>
      <c r="AE258" s="12">
        <v>90</v>
      </c>
      <c r="AF258" s="13" t="s">
        <v>375</v>
      </c>
      <c r="AG258" s="12" t="s">
        <v>291</v>
      </c>
      <c r="AH258" s="104" t="s">
        <v>1398</v>
      </c>
      <c r="AI258" s="12" t="s">
        <v>317</v>
      </c>
      <c r="AJ258" s="12" t="s">
        <v>318</v>
      </c>
      <c r="AK258" s="12" t="s">
        <v>2861</v>
      </c>
      <c r="AL258" s="104" t="s">
        <v>3167</v>
      </c>
      <c r="AM258" s="12" t="s">
        <v>2624</v>
      </c>
      <c r="AN258" s="12" t="s">
        <v>560</v>
      </c>
      <c r="AO258" s="12" t="s">
        <v>398</v>
      </c>
      <c r="AP258" s="12"/>
      <c r="AQ258" s="12" t="s">
        <v>3344</v>
      </c>
      <c r="AR258" s="12">
        <v>380</v>
      </c>
      <c r="AS258" s="12" t="s">
        <v>328</v>
      </c>
      <c r="AT258" s="12" t="s">
        <v>483</v>
      </c>
      <c r="AU258" s="12" t="s">
        <v>483</v>
      </c>
      <c r="AV258" s="12">
        <v>78394</v>
      </c>
      <c r="AW258" s="12" t="s">
        <v>357</v>
      </c>
      <c r="AX258" s="12">
        <v>0</v>
      </c>
      <c r="AY258" s="12" t="s">
        <v>329</v>
      </c>
      <c r="AZ258" s="12"/>
      <c r="BA258" s="12"/>
      <c r="BB258" s="12"/>
      <c r="BC258" s="12"/>
      <c r="BD258" s="12" t="s">
        <v>2624</v>
      </c>
      <c r="BE258" s="12" t="s">
        <v>560</v>
      </c>
      <c r="BF258" s="12">
        <v>4444259948</v>
      </c>
      <c r="BG258" s="12" t="s">
        <v>444</v>
      </c>
      <c r="BH258" s="12" t="s">
        <v>334</v>
      </c>
      <c r="BI258" s="12" t="s">
        <v>3831</v>
      </c>
      <c r="BJ258" s="12" t="s">
        <v>3888</v>
      </c>
      <c r="BK258" s="12" t="s">
        <v>571</v>
      </c>
      <c r="BL258" s="105">
        <v>8</v>
      </c>
      <c r="BM258" s="12"/>
      <c r="BN258" s="12" t="s">
        <v>571</v>
      </c>
      <c r="BO258" s="105">
        <v>2</v>
      </c>
      <c r="BP258" s="12"/>
      <c r="BQ258" s="12" t="s">
        <v>3911</v>
      </c>
      <c r="BR258" s="12">
        <v>0</v>
      </c>
      <c r="BS258" s="12"/>
      <c r="BT258" s="12">
        <v>0</v>
      </c>
      <c r="BU258" s="12">
        <v>0</v>
      </c>
      <c r="BV258" s="12"/>
      <c r="BW258" s="12">
        <v>0</v>
      </c>
      <c r="BX258" s="12">
        <v>0</v>
      </c>
      <c r="BY258" s="12"/>
      <c r="BZ258" s="12">
        <v>0</v>
      </c>
      <c r="CA258" s="12"/>
      <c r="CB258" s="12"/>
      <c r="CC258" s="12"/>
      <c r="CD258" s="78"/>
    </row>
    <row r="259" spans="1:82" ht="13.9" customHeight="1" x14ac:dyDescent="0.2">
      <c r="A259" s="12">
        <v>754</v>
      </c>
      <c r="B259" s="12" t="s">
        <v>4154</v>
      </c>
      <c r="C259" s="78" t="s">
        <v>335</v>
      </c>
      <c r="D259" s="107" t="s">
        <v>127</v>
      </c>
      <c r="E259" s="99" t="s">
        <v>6615</v>
      </c>
      <c r="F259" s="100">
        <v>45600</v>
      </c>
      <c r="G259" s="100">
        <v>45600</v>
      </c>
      <c r="H259" s="101">
        <f t="shared" si="24"/>
        <v>45690</v>
      </c>
      <c r="I259" s="101" t="s">
        <v>291</v>
      </c>
      <c r="J259" s="12" t="s">
        <v>366</v>
      </c>
      <c r="K259" s="12" t="s">
        <v>4372</v>
      </c>
      <c r="L259" s="12" t="s">
        <v>1830</v>
      </c>
      <c r="M259" s="102" t="str">
        <f t="shared" si="25"/>
        <v>HERNANDEZ SALAZAR JESUS</v>
      </c>
      <c r="N259" s="102" t="s">
        <v>7021</v>
      </c>
      <c r="O259" s="102" t="s">
        <v>4798</v>
      </c>
      <c r="P259" s="12" t="s">
        <v>1953</v>
      </c>
      <c r="Q259" s="100">
        <v>35403</v>
      </c>
      <c r="R259" s="77">
        <f t="shared" ref="R259:R322" si="26">DAY(Q259)</f>
        <v>4</v>
      </c>
      <c r="S259" s="77">
        <f t="shared" ref="S259:S322" si="27">MONTH(Q259)</f>
        <v>12</v>
      </c>
      <c r="T259" s="77">
        <f t="shared" ref="T259:T322" si="28">YEAR(Q259)</f>
        <v>1996</v>
      </c>
      <c r="U259" s="103">
        <f t="shared" ref="U259:U322" ca="1" si="29">(+TODAY()-Q259)/365</f>
        <v>29.873972602739727</v>
      </c>
      <c r="V259" s="13" t="s">
        <v>389</v>
      </c>
      <c r="W259" s="13" t="s">
        <v>2207</v>
      </c>
      <c r="X259" s="12" t="s">
        <v>693</v>
      </c>
      <c r="Y259" s="108" t="s">
        <v>216</v>
      </c>
      <c r="Z259" s="12" t="s">
        <v>231</v>
      </c>
      <c r="AA259" s="12" t="s">
        <v>857</v>
      </c>
      <c r="AB259" s="12" t="s">
        <v>2289</v>
      </c>
      <c r="AC259" s="12" t="s">
        <v>313</v>
      </c>
      <c r="AD259" s="12" t="s">
        <v>314</v>
      </c>
      <c r="AE259" s="12">
        <v>90</v>
      </c>
      <c r="AF259" s="13" t="s">
        <v>413</v>
      </c>
      <c r="AG259" s="12" t="s">
        <v>291</v>
      </c>
      <c r="AH259" s="104" t="s">
        <v>2339</v>
      </c>
      <c r="AI259" s="12" t="s">
        <v>317</v>
      </c>
      <c r="AJ259" s="12" t="s">
        <v>318</v>
      </c>
      <c r="AK259" s="12" t="s">
        <v>2812</v>
      </c>
      <c r="AL259" s="104" t="s">
        <v>3111</v>
      </c>
      <c r="AM259" s="12" t="s">
        <v>2580</v>
      </c>
      <c r="AN259" s="12" t="s">
        <v>560</v>
      </c>
      <c r="AO259" s="12" t="s">
        <v>398</v>
      </c>
      <c r="AP259" s="12"/>
      <c r="AQ259" s="12" t="s">
        <v>3317</v>
      </c>
      <c r="AR259" s="12">
        <v>100</v>
      </c>
      <c r="AS259" s="12" t="s">
        <v>328</v>
      </c>
      <c r="AT259" s="12" t="s">
        <v>127</v>
      </c>
      <c r="AU259" s="12" t="s">
        <v>483</v>
      </c>
      <c r="AV259" s="12">
        <v>78779</v>
      </c>
      <c r="AW259" s="12" t="s">
        <v>329</v>
      </c>
      <c r="AX259" s="12">
        <v>0</v>
      </c>
      <c r="AY259" s="12" t="s">
        <v>329</v>
      </c>
      <c r="AZ259" s="12"/>
      <c r="BA259" s="12"/>
      <c r="BB259" s="12"/>
      <c r="BC259" s="12"/>
      <c r="BD259" s="12">
        <v>0</v>
      </c>
      <c r="BE259" s="12">
        <v>0</v>
      </c>
      <c r="BF259" s="12">
        <v>0</v>
      </c>
      <c r="BG259" s="12">
        <v>0</v>
      </c>
      <c r="BH259" s="12" t="s">
        <v>334</v>
      </c>
      <c r="BI259" s="12" t="s">
        <v>3831</v>
      </c>
      <c r="BJ259" s="12"/>
      <c r="BK259" s="12"/>
      <c r="BL259" s="105"/>
      <c r="BM259" s="12"/>
      <c r="BN259" s="12"/>
      <c r="BO259" s="105"/>
      <c r="BP259" s="12"/>
      <c r="BQ259" s="12"/>
      <c r="BR259" s="12"/>
      <c r="BS259" s="12"/>
      <c r="BT259" s="12"/>
      <c r="BU259" s="12"/>
      <c r="BV259" s="12"/>
      <c r="BW259" s="12"/>
      <c r="BX259" s="12"/>
      <c r="BY259" s="12"/>
      <c r="BZ259" s="12"/>
      <c r="CA259" s="12"/>
      <c r="CB259" s="12"/>
      <c r="CC259" s="12"/>
      <c r="CD259" s="78"/>
    </row>
    <row r="260" spans="1:82" s="116" customFormat="1" ht="13.9" customHeight="1" x14ac:dyDescent="0.2">
      <c r="A260" s="109">
        <v>758</v>
      </c>
      <c r="B260" s="109" t="s">
        <v>4073</v>
      </c>
      <c r="C260" s="110" t="s">
        <v>335</v>
      </c>
      <c r="D260" s="111" t="s">
        <v>140</v>
      </c>
      <c r="E260" s="111" t="s">
        <v>6767</v>
      </c>
      <c r="F260" s="112">
        <v>45603</v>
      </c>
      <c r="G260" s="112">
        <v>45603</v>
      </c>
      <c r="H260" s="113">
        <f t="shared" si="24"/>
        <v>45693</v>
      </c>
      <c r="I260" s="113" t="s">
        <v>290</v>
      </c>
      <c r="J260" s="109" t="s">
        <v>4362</v>
      </c>
      <c r="K260" s="109" t="s">
        <v>366</v>
      </c>
      <c r="L260" s="109" t="s">
        <v>1796</v>
      </c>
      <c r="M260" s="128" t="str">
        <f t="shared" si="25"/>
        <v>SEGUNDO  HERNANDEZ ANTONIO REYNALDO</v>
      </c>
      <c r="N260" s="128" t="s">
        <v>7179</v>
      </c>
      <c r="O260" s="128" t="s">
        <v>4663</v>
      </c>
      <c r="P260" s="109" t="s">
        <v>1953</v>
      </c>
      <c r="Q260" s="112">
        <v>35391</v>
      </c>
      <c r="R260" s="125">
        <f t="shared" si="26"/>
        <v>22</v>
      </c>
      <c r="S260" s="125">
        <f t="shared" si="27"/>
        <v>11</v>
      </c>
      <c r="T260" s="125">
        <f t="shared" si="28"/>
        <v>1996</v>
      </c>
      <c r="U260" s="142">
        <f t="shared" ca="1" si="29"/>
        <v>29.906849315068492</v>
      </c>
      <c r="V260" s="114" t="s">
        <v>452</v>
      </c>
      <c r="W260" s="114" t="s">
        <v>2075</v>
      </c>
      <c r="X260" s="109" t="s">
        <v>454</v>
      </c>
      <c r="Y260" s="109" t="s">
        <v>117</v>
      </c>
      <c r="Z260" s="109" t="s">
        <v>142</v>
      </c>
      <c r="AA260" s="109" t="s">
        <v>347</v>
      </c>
      <c r="AB260" s="109" t="s">
        <v>922</v>
      </c>
      <c r="AC260" s="109" t="s">
        <v>313</v>
      </c>
      <c r="AD260" s="109" t="s">
        <v>314</v>
      </c>
      <c r="AE260" s="109">
        <v>90</v>
      </c>
      <c r="AF260" s="114" t="s">
        <v>554</v>
      </c>
      <c r="AG260" s="109" t="s">
        <v>290</v>
      </c>
      <c r="AH260" s="115" t="s">
        <v>555</v>
      </c>
      <c r="AI260" s="109" t="s">
        <v>317</v>
      </c>
      <c r="AJ260" s="109" t="s">
        <v>318</v>
      </c>
      <c r="AK260" s="109">
        <v>7122232317</v>
      </c>
      <c r="AL260" s="115" t="s">
        <v>2981</v>
      </c>
      <c r="AM260" s="109" t="s">
        <v>2456</v>
      </c>
      <c r="AN260" s="109" t="s">
        <v>560</v>
      </c>
      <c r="AO260" s="109" t="s">
        <v>398</v>
      </c>
      <c r="AP260" s="109"/>
      <c r="AQ260" s="109" t="s">
        <v>3261</v>
      </c>
      <c r="AR260" s="109" t="s">
        <v>880</v>
      </c>
      <c r="AS260" s="109" t="s">
        <v>328</v>
      </c>
      <c r="AT260" s="109" t="s">
        <v>3391</v>
      </c>
      <c r="AU260" s="109" t="s">
        <v>1066</v>
      </c>
      <c r="AV260" s="109">
        <v>50840</v>
      </c>
      <c r="AW260" s="109" t="s">
        <v>357</v>
      </c>
      <c r="AX260" s="109">
        <v>0</v>
      </c>
      <c r="AY260" s="109" t="s">
        <v>357</v>
      </c>
      <c r="AZ260" s="109"/>
      <c r="BA260" s="109"/>
      <c r="BB260" s="109"/>
      <c r="BC260" s="109"/>
      <c r="BD260" s="109" t="s">
        <v>2456</v>
      </c>
      <c r="BE260" s="109" t="s">
        <v>560</v>
      </c>
      <c r="BF260" s="109">
        <v>4482018502</v>
      </c>
      <c r="BG260" s="109" t="s">
        <v>488</v>
      </c>
      <c r="BH260" s="109" t="s">
        <v>334</v>
      </c>
      <c r="BI260" s="109" t="s">
        <v>3831</v>
      </c>
      <c r="BJ260" s="109" t="s">
        <v>3888</v>
      </c>
      <c r="BK260" s="109" t="s">
        <v>571</v>
      </c>
      <c r="BL260" s="111">
        <v>3</v>
      </c>
      <c r="BM260" s="109"/>
      <c r="BN260" s="109">
        <v>0</v>
      </c>
      <c r="BO260" s="111">
        <v>0</v>
      </c>
      <c r="BP260" s="109"/>
      <c r="BQ260" s="109">
        <v>0</v>
      </c>
      <c r="BR260" s="109">
        <v>0</v>
      </c>
      <c r="BS260" s="109"/>
      <c r="BT260" s="109">
        <v>0</v>
      </c>
      <c r="BU260" s="109">
        <v>0</v>
      </c>
      <c r="BV260" s="109"/>
      <c r="BW260" s="109">
        <v>0</v>
      </c>
      <c r="BX260" s="109">
        <v>0</v>
      </c>
      <c r="BY260" s="109"/>
      <c r="BZ260" s="109">
        <v>0</v>
      </c>
      <c r="CA260" s="109"/>
      <c r="CB260" s="109"/>
      <c r="CC260" s="109"/>
      <c r="CD260" s="110"/>
    </row>
    <row r="261" spans="1:82" ht="13.9" customHeight="1" x14ac:dyDescent="0.2">
      <c r="A261" s="12">
        <v>761</v>
      </c>
      <c r="B261" s="12" t="s">
        <v>4055</v>
      </c>
      <c r="C261" s="78" t="s">
        <v>335</v>
      </c>
      <c r="D261" s="99" t="s">
        <v>116</v>
      </c>
      <c r="E261" s="99" t="s">
        <v>1648</v>
      </c>
      <c r="F261" s="100">
        <v>45607</v>
      </c>
      <c r="G261" s="100">
        <v>45607</v>
      </c>
      <c r="H261" s="101">
        <f t="shared" si="24"/>
        <v>45697</v>
      </c>
      <c r="I261" s="101" t="s">
        <v>290</v>
      </c>
      <c r="J261" s="12" t="s">
        <v>4353</v>
      </c>
      <c r="K261" s="12" t="s">
        <v>4476</v>
      </c>
      <c r="L261" s="12" t="s">
        <v>1777</v>
      </c>
      <c r="M261" s="102" t="str">
        <f t="shared" si="25"/>
        <v>ARAIZA SOBERANIS EMILIANO</v>
      </c>
      <c r="N261" s="102" t="s">
        <v>7022</v>
      </c>
      <c r="O261" s="102" t="s">
        <v>4642</v>
      </c>
      <c r="P261" s="12" t="s">
        <v>1953</v>
      </c>
      <c r="Q261" s="100">
        <v>35864</v>
      </c>
      <c r="R261" s="77">
        <f t="shared" si="26"/>
        <v>10</v>
      </c>
      <c r="S261" s="77">
        <f t="shared" si="27"/>
        <v>3</v>
      </c>
      <c r="T261" s="77">
        <f t="shared" si="28"/>
        <v>1998</v>
      </c>
      <c r="U261" s="103">
        <f t="shared" ca="1" si="29"/>
        <v>28.610958904109587</v>
      </c>
      <c r="V261" s="13" t="s">
        <v>452</v>
      </c>
      <c r="W261" s="13" t="s">
        <v>2054</v>
      </c>
      <c r="X261" s="12" t="s">
        <v>530</v>
      </c>
      <c r="Y261" s="107" t="s">
        <v>85</v>
      </c>
      <c r="Z261" s="12" t="s">
        <v>120</v>
      </c>
      <c r="AA261" s="12" t="s">
        <v>2271</v>
      </c>
      <c r="AB261" s="12" t="s">
        <v>348</v>
      </c>
      <c r="AC261" s="12" t="s">
        <v>313</v>
      </c>
      <c r="AD261" s="12" t="s">
        <v>349</v>
      </c>
      <c r="AE261" s="12">
        <v>90</v>
      </c>
      <c r="AF261" s="13" t="s">
        <v>350</v>
      </c>
      <c r="AG261" s="12" t="s">
        <v>290</v>
      </c>
      <c r="AH261" s="104" t="s">
        <v>351</v>
      </c>
      <c r="AI261" s="12" t="s">
        <v>317</v>
      </c>
      <c r="AJ261" s="12" t="s">
        <v>318</v>
      </c>
      <c r="AK261" s="12">
        <v>3317638585</v>
      </c>
      <c r="AL261" s="104" t="s">
        <v>2960</v>
      </c>
      <c r="AM261" s="12" t="s">
        <v>2436</v>
      </c>
      <c r="AN261" s="12" t="s">
        <v>602</v>
      </c>
      <c r="AO261" s="12" t="s">
        <v>398</v>
      </c>
      <c r="AP261" s="12"/>
      <c r="AQ261" s="12" t="s">
        <v>3247</v>
      </c>
      <c r="AR261" s="12">
        <v>217</v>
      </c>
      <c r="AS261" s="12">
        <v>0</v>
      </c>
      <c r="AT261" s="12" t="s">
        <v>1132</v>
      </c>
      <c r="AU261" s="12" t="s">
        <v>583</v>
      </c>
      <c r="AV261" s="12">
        <v>45134</v>
      </c>
      <c r="AW261" s="12" t="s">
        <v>329</v>
      </c>
      <c r="AX261" s="12">
        <v>0</v>
      </c>
      <c r="AY261" s="12" t="s">
        <v>329</v>
      </c>
      <c r="AZ261" s="12"/>
      <c r="BA261" s="12"/>
      <c r="BB261" s="12"/>
      <c r="BC261" s="12"/>
      <c r="BD261" s="12" t="s">
        <v>2436</v>
      </c>
      <c r="BE261" s="12" t="s">
        <v>602</v>
      </c>
      <c r="BF261" s="12">
        <v>3321815876</v>
      </c>
      <c r="BG261" s="12" t="s">
        <v>333</v>
      </c>
      <c r="BH261" s="12" t="s">
        <v>334</v>
      </c>
      <c r="BI261" s="12" t="s">
        <v>3831</v>
      </c>
      <c r="BJ261" s="12" t="s">
        <v>3888</v>
      </c>
      <c r="BK261" s="12" t="s">
        <v>571</v>
      </c>
      <c r="BL261" s="105">
        <v>4</v>
      </c>
      <c r="BM261" s="12"/>
      <c r="BN261" s="12">
        <v>0</v>
      </c>
      <c r="BO261" s="105">
        <v>0</v>
      </c>
      <c r="BP261" s="12"/>
      <c r="BQ261" s="12">
        <v>0</v>
      </c>
      <c r="BR261" s="12">
        <v>0</v>
      </c>
      <c r="BS261" s="12"/>
      <c r="BT261" s="12">
        <v>0</v>
      </c>
      <c r="BU261" s="12">
        <v>0</v>
      </c>
      <c r="BV261" s="12"/>
      <c r="BW261" s="12">
        <v>0</v>
      </c>
      <c r="BX261" s="12">
        <v>0</v>
      </c>
      <c r="BY261" s="12"/>
      <c r="BZ261" s="12">
        <v>0</v>
      </c>
      <c r="CA261" s="12"/>
      <c r="CB261" s="12"/>
      <c r="CC261" s="12"/>
      <c r="CD261" s="78"/>
    </row>
    <row r="262" spans="1:82" s="116" customFormat="1" ht="13.9" customHeight="1" x14ac:dyDescent="0.2">
      <c r="A262" s="109">
        <v>765</v>
      </c>
      <c r="B262" s="109" t="s">
        <v>4074</v>
      </c>
      <c r="C262" s="110" t="s">
        <v>335</v>
      </c>
      <c r="D262" s="111" t="s">
        <v>140</v>
      </c>
      <c r="E262" s="111" t="s">
        <v>6616</v>
      </c>
      <c r="F262" s="112">
        <v>45609</v>
      </c>
      <c r="G262" s="112">
        <v>45609</v>
      </c>
      <c r="H262" s="113">
        <f t="shared" si="24"/>
        <v>45699</v>
      </c>
      <c r="I262" s="113" t="s">
        <v>290</v>
      </c>
      <c r="J262" s="109" t="s">
        <v>4322</v>
      </c>
      <c r="K262" s="109" t="s">
        <v>405</v>
      </c>
      <c r="L262" s="109" t="s">
        <v>1797</v>
      </c>
      <c r="M262" s="128" t="str">
        <f t="shared" si="25"/>
        <v>CAMACHO REYES ARTURO</v>
      </c>
      <c r="N262" s="128" t="s">
        <v>7023</v>
      </c>
      <c r="O262" s="128" t="s">
        <v>4664</v>
      </c>
      <c r="P262" s="109" t="s">
        <v>1953</v>
      </c>
      <c r="Q262" s="112">
        <v>29739</v>
      </c>
      <c r="R262" s="125">
        <f t="shared" si="26"/>
        <v>2</v>
      </c>
      <c r="S262" s="125">
        <f t="shared" si="27"/>
        <v>6</v>
      </c>
      <c r="T262" s="125">
        <f t="shared" si="28"/>
        <v>1981</v>
      </c>
      <c r="U262" s="142">
        <f t="shared" ca="1" si="29"/>
        <v>45.391780821917806</v>
      </c>
      <c r="V262" s="114" t="s">
        <v>452</v>
      </c>
      <c r="W262" s="114" t="s">
        <v>2076</v>
      </c>
      <c r="X262" s="109" t="s">
        <v>454</v>
      </c>
      <c r="Y262" s="109" t="s">
        <v>121</v>
      </c>
      <c r="Z262" s="109" t="s">
        <v>143</v>
      </c>
      <c r="AA262" s="109" t="s">
        <v>347</v>
      </c>
      <c r="AB262" s="109" t="s">
        <v>922</v>
      </c>
      <c r="AC262" s="109" t="s">
        <v>313</v>
      </c>
      <c r="AD262" s="109" t="s">
        <v>314</v>
      </c>
      <c r="AE262" s="109">
        <v>90</v>
      </c>
      <c r="AF262" s="114" t="s">
        <v>554</v>
      </c>
      <c r="AG262" s="109" t="s">
        <v>290</v>
      </c>
      <c r="AH262" s="115" t="s">
        <v>555</v>
      </c>
      <c r="AI262" s="109" t="s">
        <v>317</v>
      </c>
      <c r="AJ262" s="109" t="s">
        <v>318</v>
      </c>
      <c r="AK262" s="109">
        <v>4427405196</v>
      </c>
      <c r="AL262" s="115" t="s">
        <v>2982</v>
      </c>
      <c r="AM262" s="109" t="s">
        <v>2457</v>
      </c>
      <c r="AN262" s="109" t="s">
        <v>381</v>
      </c>
      <c r="AO262" s="109" t="s">
        <v>398</v>
      </c>
      <c r="AP262" s="109"/>
      <c r="AQ262" s="109" t="s">
        <v>3262</v>
      </c>
      <c r="AR262" s="109" t="s">
        <v>3358</v>
      </c>
      <c r="AS262" s="109" t="s">
        <v>328</v>
      </c>
      <c r="AT262" s="109" t="s">
        <v>140</v>
      </c>
      <c r="AU262" s="109" t="s">
        <v>140</v>
      </c>
      <c r="AV262" s="109">
        <v>7600</v>
      </c>
      <c r="AW262" s="109" t="s">
        <v>357</v>
      </c>
      <c r="AX262" s="109">
        <v>0</v>
      </c>
      <c r="AY262" s="109" t="s">
        <v>357</v>
      </c>
      <c r="AZ262" s="109"/>
      <c r="BA262" s="109"/>
      <c r="BB262" s="109"/>
      <c r="BC262" s="109"/>
      <c r="BD262" s="109" t="s">
        <v>3494</v>
      </c>
      <c r="BE262" s="109" t="s">
        <v>381</v>
      </c>
      <c r="BF262" s="109">
        <v>4427390926</v>
      </c>
      <c r="BG262" s="109" t="s">
        <v>685</v>
      </c>
      <c r="BH262" s="109" t="s">
        <v>334</v>
      </c>
      <c r="BI262" s="109" t="s">
        <v>3831</v>
      </c>
      <c r="BJ262" s="109" t="s">
        <v>3888</v>
      </c>
      <c r="BK262" s="109" t="s">
        <v>3911</v>
      </c>
      <c r="BL262" s="111">
        <v>21</v>
      </c>
      <c r="BM262" s="109"/>
      <c r="BN262" s="109" t="s">
        <v>3911</v>
      </c>
      <c r="BO262" s="111">
        <v>16</v>
      </c>
      <c r="BP262" s="109"/>
      <c r="BQ262" s="109">
        <v>0</v>
      </c>
      <c r="BR262" s="109">
        <v>0</v>
      </c>
      <c r="BS262" s="109"/>
      <c r="BT262" s="109">
        <v>0</v>
      </c>
      <c r="BU262" s="109">
        <v>0</v>
      </c>
      <c r="BV262" s="109"/>
      <c r="BW262" s="109">
        <v>0</v>
      </c>
      <c r="BX262" s="109">
        <v>0</v>
      </c>
      <c r="BY262" s="109"/>
      <c r="BZ262" s="109">
        <v>0</v>
      </c>
      <c r="CA262" s="109"/>
      <c r="CB262" s="109"/>
      <c r="CC262" s="109"/>
      <c r="CD262" s="110"/>
    </row>
    <row r="263" spans="1:82" s="116" customFormat="1" ht="13.9" customHeight="1" x14ac:dyDescent="0.2">
      <c r="A263" s="109">
        <v>771</v>
      </c>
      <c r="B263" s="109" t="s">
        <v>4028</v>
      </c>
      <c r="C263" s="110" t="s">
        <v>363</v>
      </c>
      <c r="D263" s="109" t="s">
        <v>7242</v>
      </c>
      <c r="E263" s="111" t="s">
        <v>6617</v>
      </c>
      <c r="F263" s="112">
        <v>45628</v>
      </c>
      <c r="G263" s="112">
        <v>45628</v>
      </c>
      <c r="H263" s="113">
        <f t="shared" si="24"/>
        <v>45718</v>
      </c>
      <c r="I263" s="113" t="s">
        <v>290</v>
      </c>
      <c r="J263" s="109" t="s">
        <v>1044</v>
      </c>
      <c r="K263" s="109" t="s">
        <v>4434</v>
      </c>
      <c r="L263" s="109" t="s">
        <v>1751</v>
      </c>
      <c r="M263" s="128" t="str">
        <f t="shared" si="25"/>
        <v>RODRIGUEZ VANEGAS JOSE JORGE LUIS</v>
      </c>
      <c r="N263" s="128" t="s">
        <v>4543</v>
      </c>
      <c r="O263" s="128" t="s">
        <v>4610</v>
      </c>
      <c r="P263" s="109" t="s">
        <v>1953</v>
      </c>
      <c r="Q263" s="112">
        <v>29767</v>
      </c>
      <c r="R263" s="125">
        <f t="shared" si="26"/>
        <v>30</v>
      </c>
      <c r="S263" s="125">
        <f t="shared" si="27"/>
        <v>6</v>
      </c>
      <c r="T263" s="125">
        <f t="shared" si="28"/>
        <v>1981</v>
      </c>
      <c r="U263" s="142">
        <f t="shared" ca="1" si="29"/>
        <v>45.315068493150683</v>
      </c>
      <c r="V263" s="114" t="s">
        <v>342</v>
      </c>
      <c r="W263" s="114" t="s">
        <v>2021</v>
      </c>
      <c r="X263" s="109" t="s">
        <v>454</v>
      </c>
      <c r="Y263" s="109" t="s">
        <v>96</v>
      </c>
      <c r="Z263" s="109" t="s">
        <v>97</v>
      </c>
      <c r="AA263" s="109" t="s">
        <v>97</v>
      </c>
      <c r="AB263" s="109" t="s">
        <v>374</v>
      </c>
      <c r="AC263" s="109" t="s">
        <v>313</v>
      </c>
      <c r="AD263" s="109" t="s">
        <v>314</v>
      </c>
      <c r="AE263" s="109">
        <v>90</v>
      </c>
      <c r="AF263" s="114" t="s">
        <v>375</v>
      </c>
      <c r="AG263" s="109" t="s">
        <v>290</v>
      </c>
      <c r="AH263" s="115" t="s">
        <v>376</v>
      </c>
      <c r="AI263" s="109" t="s">
        <v>317</v>
      </c>
      <c r="AJ263" s="109" t="s">
        <v>318</v>
      </c>
      <c r="AK263" s="109">
        <v>4441255927</v>
      </c>
      <c r="AL263" s="115">
        <v>0</v>
      </c>
      <c r="AM263" s="109" t="s">
        <v>2409</v>
      </c>
      <c r="AN263" s="109" t="s">
        <v>381</v>
      </c>
      <c r="AO263" s="109" t="s">
        <v>398</v>
      </c>
      <c r="AP263" s="109"/>
      <c r="AQ263" s="109" t="s">
        <v>3227</v>
      </c>
      <c r="AR263" s="109">
        <v>890</v>
      </c>
      <c r="AS263" s="109">
        <v>0</v>
      </c>
      <c r="AT263" s="109" t="s">
        <v>483</v>
      </c>
      <c r="AU263" s="109" t="s">
        <v>483</v>
      </c>
      <c r="AV263" s="109">
        <v>78233</v>
      </c>
      <c r="AW263" s="109" t="s">
        <v>329</v>
      </c>
      <c r="AX263" s="109">
        <v>0</v>
      </c>
      <c r="AY263" s="109" t="s">
        <v>329</v>
      </c>
      <c r="AZ263" s="109"/>
      <c r="BA263" s="109"/>
      <c r="BB263" s="109"/>
      <c r="BC263" s="109"/>
      <c r="BD263" s="109" t="s">
        <v>2409</v>
      </c>
      <c r="BE263" s="109" t="s">
        <v>381</v>
      </c>
      <c r="BF263" s="109">
        <v>4441269933</v>
      </c>
      <c r="BG263" s="109" t="s">
        <v>685</v>
      </c>
      <c r="BH263" s="109" t="s">
        <v>334</v>
      </c>
      <c r="BI263" s="109" t="s">
        <v>3831</v>
      </c>
      <c r="BJ263" s="109" t="s">
        <v>3888</v>
      </c>
      <c r="BK263" s="109" t="s">
        <v>3911</v>
      </c>
      <c r="BL263" s="111">
        <v>15</v>
      </c>
      <c r="BM263" s="109"/>
      <c r="BN263" s="109">
        <v>0</v>
      </c>
      <c r="BO263" s="111">
        <v>0</v>
      </c>
      <c r="BP263" s="109"/>
      <c r="BQ263" s="109">
        <v>0</v>
      </c>
      <c r="BR263" s="109">
        <v>0</v>
      </c>
      <c r="BS263" s="109"/>
      <c r="BT263" s="109">
        <v>0</v>
      </c>
      <c r="BU263" s="109">
        <v>0</v>
      </c>
      <c r="BV263" s="109"/>
      <c r="BW263" s="109">
        <v>0</v>
      </c>
      <c r="BX263" s="109">
        <v>0</v>
      </c>
      <c r="BY263" s="109"/>
      <c r="BZ263" s="109">
        <v>0</v>
      </c>
      <c r="CA263" s="109"/>
      <c r="CB263" s="109"/>
      <c r="CC263" s="109"/>
      <c r="CD263" s="110"/>
    </row>
    <row r="264" spans="1:82" ht="13.9" customHeight="1" x14ac:dyDescent="0.2">
      <c r="A264" s="12">
        <v>1006</v>
      </c>
      <c r="B264" s="12" t="s">
        <v>4255</v>
      </c>
      <c r="C264" s="104" t="s">
        <v>299</v>
      </c>
      <c r="D264" s="99" t="s">
        <v>80</v>
      </c>
      <c r="E264" s="99" t="s">
        <v>6618</v>
      </c>
      <c r="F264" s="100">
        <v>45628</v>
      </c>
      <c r="G264" s="100">
        <v>45628</v>
      </c>
      <c r="H264" s="101">
        <f t="shared" si="24"/>
        <v>45718</v>
      </c>
      <c r="I264" s="101" t="s">
        <v>291</v>
      </c>
      <c r="J264" s="12" t="s">
        <v>960</v>
      </c>
      <c r="K264" s="12" t="s">
        <v>4509</v>
      </c>
      <c r="L264" s="12" t="s">
        <v>1874</v>
      </c>
      <c r="M264" s="102" t="str">
        <f t="shared" si="25"/>
        <v>TORRES CUADROS KARINA ESMERALDA</v>
      </c>
      <c r="N264" s="102" t="s">
        <v>7024</v>
      </c>
      <c r="O264" s="102" t="s">
        <v>4758</v>
      </c>
      <c r="P264" s="12" t="s">
        <v>1953</v>
      </c>
      <c r="Q264" s="100">
        <v>34968</v>
      </c>
      <c r="R264" s="77">
        <f t="shared" si="26"/>
        <v>26</v>
      </c>
      <c r="S264" s="77">
        <f t="shared" si="27"/>
        <v>9</v>
      </c>
      <c r="T264" s="77">
        <f t="shared" si="28"/>
        <v>1995</v>
      </c>
      <c r="U264" s="103">
        <f t="shared" ca="1" si="29"/>
        <v>31.065753424657533</v>
      </c>
      <c r="V264" s="13" t="s">
        <v>308</v>
      </c>
      <c r="W264" s="13" t="s">
        <v>2169</v>
      </c>
      <c r="X264" s="12" t="s">
        <v>530</v>
      </c>
      <c r="Y264" s="119" t="s">
        <v>189</v>
      </c>
      <c r="Z264" s="12" t="s">
        <v>174</v>
      </c>
      <c r="AA264" s="12" t="s">
        <v>432</v>
      </c>
      <c r="AB264" s="12" t="s">
        <v>2280</v>
      </c>
      <c r="AC264" s="12" t="s">
        <v>313</v>
      </c>
      <c r="AD264" s="12" t="s">
        <v>314</v>
      </c>
      <c r="AE264" s="12">
        <v>90</v>
      </c>
      <c r="AF264" s="13" t="s">
        <v>315</v>
      </c>
      <c r="AG264" s="12" t="s">
        <v>291</v>
      </c>
      <c r="AH264" s="104" t="s">
        <v>1329</v>
      </c>
      <c r="AI264" s="12" t="s">
        <v>317</v>
      </c>
      <c r="AJ264" s="12" t="s">
        <v>318</v>
      </c>
      <c r="AK264" s="12">
        <v>4445513308</v>
      </c>
      <c r="AL264" s="104">
        <v>0</v>
      </c>
      <c r="AM264" s="12" t="s">
        <v>2546</v>
      </c>
      <c r="AN264" s="12" t="s">
        <v>776</v>
      </c>
      <c r="AO264" s="12" t="s">
        <v>398</v>
      </c>
      <c r="AP264" s="12"/>
      <c r="AQ264" s="12" t="s">
        <v>3303</v>
      </c>
      <c r="AR264" s="12">
        <v>320</v>
      </c>
      <c r="AS264" s="12" t="s">
        <v>328</v>
      </c>
      <c r="AT264" s="12" t="s">
        <v>482</v>
      </c>
      <c r="AU264" s="12" t="s">
        <v>483</v>
      </c>
      <c r="AV264" s="12">
        <v>78430</v>
      </c>
      <c r="AW264" s="12" t="s">
        <v>3417</v>
      </c>
      <c r="AX264" s="12">
        <v>0</v>
      </c>
      <c r="AY264" s="12" t="s">
        <v>3417</v>
      </c>
      <c r="AZ264" s="12"/>
      <c r="BA264" s="12"/>
      <c r="BB264" s="12"/>
      <c r="BC264" s="12"/>
      <c r="BD264" s="12" t="s">
        <v>2546</v>
      </c>
      <c r="BE264" s="12" t="s">
        <v>776</v>
      </c>
      <c r="BF264" s="12">
        <v>4445804347</v>
      </c>
      <c r="BG264" s="12" t="s">
        <v>333</v>
      </c>
      <c r="BH264" s="12" t="s">
        <v>334</v>
      </c>
      <c r="BI264" s="12" t="s">
        <v>3831</v>
      </c>
      <c r="BJ264" s="12" t="s">
        <v>3888</v>
      </c>
      <c r="BK264" s="12" t="s">
        <v>3911</v>
      </c>
      <c r="BL264" s="105">
        <v>9</v>
      </c>
      <c r="BM264" s="12"/>
      <c r="BN264" s="12" t="s">
        <v>571</v>
      </c>
      <c r="BO264" s="105">
        <v>4</v>
      </c>
      <c r="BP264" s="12"/>
      <c r="BQ264" s="12">
        <v>0</v>
      </c>
      <c r="BR264" s="12">
        <v>0</v>
      </c>
      <c r="BS264" s="12"/>
      <c r="BT264" s="12">
        <v>0</v>
      </c>
      <c r="BU264" s="12">
        <v>0</v>
      </c>
      <c r="BV264" s="12"/>
      <c r="BW264" s="12">
        <v>0</v>
      </c>
      <c r="BX264" s="12">
        <v>0</v>
      </c>
      <c r="BY264" s="12"/>
      <c r="BZ264" s="12">
        <v>0</v>
      </c>
      <c r="CA264" s="12"/>
      <c r="CB264" s="12"/>
      <c r="CC264" s="12"/>
      <c r="CD264" s="78"/>
    </row>
    <row r="265" spans="1:82" s="116" customFormat="1" ht="13.9" customHeight="1" x14ac:dyDescent="0.2">
      <c r="A265" s="109">
        <v>1007</v>
      </c>
      <c r="B265" s="109" t="s">
        <v>4256</v>
      </c>
      <c r="C265" s="115" t="s">
        <v>299</v>
      </c>
      <c r="D265" s="111" t="s">
        <v>80</v>
      </c>
      <c r="E265" s="111" t="s">
        <v>6768</v>
      </c>
      <c r="F265" s="112">
        <v>45628</v>
      </c>
      <c r="G265" s="112">
        <v>45628</v>
      </c>
      <c r="H265" s="113">
        <f t="shared" si="24"/>
        <v>45718</v>
      </c>
      <c r="I265" s="113" t="s">
        <v>291</v>
      </c>
      <c r="J265" s="109" t="s">
        <v>4398</v>
      </c>
      <c r="K265" s="109" t="s">
        <v>4510</v>
      </c>
      <c r="L265" s="109" t="s">
        <v>1875</v>
      </c>
      <c r="M265" s="128" t="str">
        <f t="shared" si="25"/>
        <v>BACA  OLIVARES DALILA</v>
      </c>
      <c r="N265" s="128" t="s">
        <v>7180</v>
      </c>
      <c r="O265" s="128" t="s">
        <v>4759</v>
      </c>
      <c r="P265" s="109" t="s">
        <v>1953</v>
      </c>
      <c r="Q265" s="112">
        <v>32119</v>
      </c>
      <c r="R265" s="125">
        <f t="shared" si="26"/>
        <v>8</v>
      </c>
      <c r="S265" s="125">
        <f t="shared" si="27"/>
        <v>12</v>
      </c>
      <c r="T265" s="125">
        <f t="shared" si="28"/>
        <v>1987</v>
      </c>
      <c r="U265" s="142">
        <f t="shared" ca="1" si="29"/>
        <v>38.871232876712327</v>
      </c>
      <c r="V265" s="114" t="s">
        <v>308</v>
      </c>
      <c r="W265" s="114" t="s">
        <v>2170</v>
      </c>
      <c r="X265" s="109" t="s">
        <v>693</v>
      </c>
      <c r="Y265" s="109" t="s">
        <v>178</v>
      </c>
      <c r="Z265" s="109" t="s">
        <v>174</v>
      </c>
      <c r="AA265" s="109" t="s">
        <v>432</v>
      </c>
      <c r="AB265" s="109" t="s">
        <v>2280</v>
      </c>
      <c r="AC265" s="109" t="s">
        <v>313</v>
      </c>
      <c r="AD265" s="109" t="s">
        <v>314</v>
      </c>
      <c r="AE265" s="109">
        <v>90</v>
      </c>
      <c r="AF265" s="114" t="s">
        <v>315</v>
      </c>
      <c r="AG265" s="109" t="s">
        <v>291</v>
      </c>
      <c r="AH265" s="115" t="s">
        <v>1329</v>
      </c>
      <c r="AI265" s="109" t="s">
        <v>317</v>
      </c>
      <c r="AJ265" s="109" t="s">
        <v>318</v>
      </c>
      <c r="AK265" s="109">
        <v>7861885586</v>
      </c>
      <c r="AL265" s="115" t="s">
        <v>3075</v>
      </c>
      <c r="AM265" s="109" t="s">
        <v>2547</v>
      </c>
      <c r="AN265" s="109" t="s">
        <v>832</v>
      </c>
      <c r="AO265" s="109" t="s">
        <v>398</v>
      </c>
      <c r="AP265" s="109"/>
      <c r="AQ265" s="109" t="s">
        <v>3304</v>
      </c>
      <c r="AR265" s="109">
        <v>3102</v>
      </c>
      <c r="AS265" s="109" t="s">
        <v>642</v>
      </c>
      <c r="AT265" s="109" t="s">
        <v>133</v>
      </c>
      <c r="AU265" s="109" t="s">
        <v>912</v>
      </c>
      <c r="AV265" s="109">
        <v>64610</v>
      </c>
      <c r="AW265" s="109" t="s">
        <v>329</v>
      </c>
      <c r="AX265" s="109">
        <v>0</v>
      </c>
      <c r="AY265" s="109" t="s">
        <v>329</v>
      </c>
      <c r="AZ265" s="109"/>
      <c r="BA265" s="109"/>
      <c r="BB265" s="109"/>
      <c r="BC265" s="109"/>
      <c r="BD265" s="109" t="s">
        <v>3531</v>
      </c>
      <c r="BE265" s="109" t="s">
        <v>439</v>
      </c>
      <c r="BF265" s="109">
        <v>4442779620</v>
      </c>
      <c r="BG265" s="109" t="s">
        <v>333</v>
      </c>
      <c r="BH265" s="109" t="s">
        <v>334</v>
      </c>
      <c r="BI265" s="109" t="s">
        <v>3831</v>
      </c>
      <c r="BJ265" s="109" t="s">
        <v>3888</v>
      </c>
      <c r="BK265" s="109" t="s">
        <v>3911</v>
      </c>
      <c r="BL265" s="111">
        <v>18</v>
      </c>
      <c r="BM265" s="109"/>
      <c r="BN265" s="109" t="s">
        <v>571</v>
      </c>
      <c r="BO265" s="111">
        <v>15</v>
      </c>
      <c r="BP265" s="109"/>
      <c r="BQ265" s="109">
        <v>0</v>
      </c>
      <c r="BR265" s="109">
        <v>0</v>
      </c>
      <c r="BS265" s="109"/>
      <c r="BT265" s="109">
        <v>0</v>
      </c>
      <c r="BU265" s="109">
        <v>0</v>
      </c>
      <c r="BV265" s="109"/>
      <c r="BW265" s="109">
        <v>0</v>
      </c>
      <c r="BX265" s="109">
        <v>0</v>
      </c>
      <c r="BY265" s="109"/>
      <c r="BZ265" s="109">
        <v>0</v>
      </c>
      <c r="CA265" s="109"/>
      <c r="CB265" s="109"/>
      <c r="CC265" s="109"/>
      <c r="CD265" s="110"/>
    </row>
    <row r="266" spans="1:82" ht="13.9" customHeight="1" x14ac:dyDescent="0.2">
      <c r="A266" s="12">
        <v>773</v>
      </c>
      <c r="B266" s="12" t="s">
        <v>4196</v>
      </c>
      <c r="C266" s="78" t="s">
        <v>363</v>
      </c>
      <c r="D266" s="107" t="s">
        <v>98</v>
      </c>
      <c r="E266" s="99" t="s">
        <v>6619</v>
      </c>
      <c r="F266" s="100">
        <v>45632</v>
      </c>
      <c r="G266" s="100">
        <v>45632</v>
      </c>
      <c r="H266" s="101">
        <f t="shared" si="24"/>
        <v>45722</v>
      </c>
      <c r="I266" s="101" t="s">
        <v>290</v>
      </c>
      <c r="J266" s="12" t="s">
        <v>1004</v>
      </c>
      <c r="K266" s="12" t="s">
        <v>4341</v>
      </c>
      <c r="L266" s="12" t="s">
        <v>1761</v>
      </c>
      <c r="M266" s="102" t="str">
        <f t="shared" si="25"/>
        <v>JIMENEZ BALTAZAR JESUS SALVADOR</v>
      </c>
      <c r="N266" s="102" t="s">
        <v>4544</v>
      </c>
      <c r="O266" s="102" t="s">
        <v>4621</v>
      </c>
      <c r="P266" s="12" t="s">
        <v>1953</v>
      </c>
      <c r="Q266" s="100">
        <v>32135</v>
      </c>
      <c r="R266" s="77">
        <f t="shared" si="26"/>
        <v>24</v>
      </c>
      <c r="S266" s="77">
        <f t="shared" si="27"/>
        <v>12</v>
      </c>
      <c r="T266" s="77">
        <f t="shared" si="28"/>
        <v>1987</v>
      </c>
      <c r="U266" s="103">
        <f t="shared" ca="1" si="29"/>
        <v>38.827397260273976</v>
      </c>
      <c r="V266" s="13" t="s">
        <v>342</v>
      </c>
      <c r="W266" s="13" t="s">
        <v>2032</v>
      </c>
      <c r="X266" s="12" t="s">
        <v>454</v>
      </c>
      <c r="Y266" s="107" t="s">
        <v>87</v>
      </c>
      <c r="Z266" s="12" t="s">
        <v>99</v>
      </c>
      <c r="AA266" s="12" t="s">
        <v>392</v>
      </c>
      <c r="AB266" s="12" t="s">
        <v>596</v>
      </c>
      <c r="AC266" s="12" t="s">
        <v>313</v>
      </c>
      <c r="AD266" s="12" t="s">
        <v>314</v>
      </c>
      <c r="AE266" s="12">
        <v>90</v>
      </c>
      <c r="AF266" s="13" t="s">
        <v>597</v>
      </c>
      <c r="AG266" s="12" t="s">
        <v>290</v>
      </c>
      <c r="AH266" s="104" t="s">
        <v>598</v>
      </c>
      <c r="AI266" s="12" t="s">
        <v>317</v>
      </c>
      <c r="AJ266" s="12" t="s">
        <v>318</v>
      </c>
      <c r="AK266" s="12">
        <v>3342072080</v>
      </c>
      <c r="AL266" s="104" t="s">
        <v>2938</v>
      </c>
      <c r="AM266" s="12" t="s">
        <v>2420</v>
      </c>
      <c r="AN266" s="12" t="s">
        <v>381</v>
      </c>
      <c r="AO266" s="12" t="s">
        <v>398</v>
      </c>
      <c r="AP266" s="12"/>
      <c r="AQ266" s="12" t="s">
        <v>3236</v>
      </c>
      <c r="AR266" s="12">
        <v>1135</v>
      </c>
      <c r="AS266" s="12" t="s">
        <v>328</v>
      </c>
      <c r="AT266" s="12" t="s">
        <v>116</v>
      </c>
      <c r="AU266" s="12" t="s">
        <v>583</v>
      </c>
      <c r="AV266" s="12">
        <v>44970</v>
      </c>
      <c r="AW266" s="12" t="s">
        <v>329</v>
      </c>
      <c r="AX266" s="12">
        <v>0</v>
      </c>
      <c r="AY266" s="12" t="s">
        <v>329</v>
      </c>
      <c r="AZ266" s="12"/>
      <c r="BA266" s="12"/>
      <c r="BB266" s="12"/>
      <c r="BC266" s="12"/>
      <c r="BD266" s="12" t="s">
        <v>3476</v>
      </c>
      <c r="BE266" s="12" t="s">
        <v>381</v>
      </c>
      <c r="BF266" s="12">
        <v>3329101409</v>
      </c>
      <c r="BG266" s="12" t="s">
        <v>333</v>
      </c>
      <c r="BH266" s="12" t="s">
        <v>334</v>
      </c>
      <c r="BI266" s="12" t="s">
        <v>3831</v>
      </c>
      <c r="BJ266" s="12" t="s">
        <v>3888</v>
      </c>
      <c r="BK266" s="12" t="s">
        <v>3911</v>
      </c>
      <c r="BL266" s="105" t="s">
        <v>3941</v>
      </c>
      <c r="BM266" s="12"/>
      <c r="BN266" s="12" t="s">
        <v>571</v>
      </c>
      <c r="BO266" s="105" t="s">
        <v>3930</v>
      </c>
      <c r="BP266" s="12"/>
      <c r="BQ266" s="12" t="s">
        <v>571</v>
      </c>
      <c r="BR266" s="12" t="s">
        <v>3923</v>
      </c>
      <c r="BS266" s="12"/>
      <c r="BT266" s="12" t="s">
        <v>571</v>
      </c>
      <c r="BU266" s="12"/>
      <c r="BV266" s="12"/>
      <c r="BW266" s="12" t="s">
        <v>571</v>
      </c>
      <c r="BX266" s="12">
        <v>0</v>
      </c>
      <c r="BY266" s="12"/>
      <c r="BZ266" s="12"/>
      <c r="CA266" s="12"/>
      <c r="CB266" s="12"/>
      <c r="CC266" s="12"/>
      <c r="CD266" s="78"/>
    </row>
    <row r="267" spans="1:82" ht="13.9" customHeight="1" x14ac:dyDescent="0.2">
      <c r="A267" s="12">
        <v>777</v>
      </c>
      <c r="B267" s="12" t="s">
        <v>4190</v>
      </c>
      <c r="C267" s="106" t="s">
        <v>1390</v>
      </c>
      <c r="D267" s="107" t="s">
        <v>281</v>
      </c>
      <c r="E267" s="99" t="s">
        <v>6620</v>
      </c>
      <c r="F267" s="100">
        <v>45644</v>
      </c>
      <c r="G267" s="100">
        <v>45644</v>
      </c>
      <c r="H267" s="101">
        <f t="shared" si="24"/>
        <v>45734</v>
      </c>
      <c r="I267" s="101" t="s">
        <v>291</v>
      </c>
      <c r="J267" s="12" t="s">
        <v>4434</v>
      </c>
      <c r="K267" s="12" t="s">
        <v>337</v>
      </c>
      <c r="L267" s="12" t="s">
        <v>1946</v>
      </c>
      <c r="M267" s="102" t="str">
        <f t="shared" si="25"/>
        <v>VANEGAS FLORES FELIPE OSWALDO</v>
      </c>
      <c r="N267" s="102" t="s">
        <v>7025</v>
      </c>
      <c r="O267" s="102" t="s">
        <v>4853</v>
      </c>
      <c r="P267" s="12" t="s">
        <v>1953</v>
      </c>
      <c r="Q267" s="100">
        <v>32301</v>
      </c>
      <c r="R267" s="77">
        <f t="shared" si="26"/>
        <v>7</v>
      </c>
      <c r="S267" s="77">
        <f t="shared" si="27"/>
        <v>6</v>
      </c>
      <c r="T267" s="77">
        <f t="shared" si="28"/>
        <v>1988</v>
      </c>
      <c r="U267" s="103">
        <f t="shared" ca="1" si="29"/>
        <v>38.372602739726027</v>
      </c>
      <c r="V267" s="13" t="s">
        <v>342</v>
      </c>
      <c r="W267" s="13" t="s">
        <v>2264</v>
      </c>
      <c r="X267" s="12" t="s">
        <v>310</v>
      </c>
      <c r="Y267" s="108" t="s">
        <v>274</v>
      </c>
      <c r="Z267" s="12" t="s">
        <v>263</v>
      </c>
      <c r="AA267" s="12" t="s">
        <v>636</v>
      </c>
      <c r="AB267" s="12" t="s">
        <v>2318</v>
      </c>
      <c r="AC267" s="12" t="s">
        <v>313</v>
      </c>
      <c r="AD267" s="12" t="s">
        <v>314</v>
      </c>
      <c r="AE267" s="12">
        <v>90</v>
      </c>
      <c r="AF267" s="13" t="s">
        <v>375</v>
      </c>
      <c r="AG267" s="12" t="s">
        <v>291</v>
      </c>
      <c r="AH267" s="104" t="s">
        <v>1398</v>
      </c>
      <c r="AI267" s="12" t="s">
        <v>317</v>
      </c>
      <c r="AJ267" s="12" t="s">
        <v>318</v>
      </c>
      <c r="AK267" s="12">
        <v>4441138653</v>
      </c>
      <c r="AL267" s="104" t="s">
        <v>3168</v>
      </c>
      <c r="AM267" s="12" t="s">
        <v>2625</v>
      </c>
      <c r="AN267" s="12" t="s">
        <v>381</v>
      </c>
      <c r="AO267" s="12" t="s">
        <v>398</v>
      </c>
      <c r="AP267" s="12"/>
      <c r="AQ267" s="12" t="s">
        <v>3345</v>
      </c>
      <c r="AR267" s="12">
        <v>108</v>
      </c>
      <c r="AS267" s="12">
        <v>0</v>
      </c>
      <c r="AT267" s="12" t="s">
        <v>482</v>
      </c>
      <c r="AU267" s="12" t="s">
        <v>483</v>
      </c>
      <c r="AV267" s="12">
        <v>78434</v>
      </c>
      <c r="AW267" s="12" t="s">
        <v>357</v>
      </c>
      <c r="AX267" s="12">
        <v>0</v>
      </c>
      <c r="AY267" s="12" t="s">
        <v>357</v>
      </c>
      <c r="AZ267" s="12"/>
      <c r="BA267" s="12"/>
      <c r="BB267" s="12"/>
      <c r="BC267" s="12"/>
      <c r="BD267" s="12" t="s">
        <v>2625</v>
      </c>
      <c r="BE267" s="12" t="s">
        <v>381</v>
      </c>
      <c r="BF267" s="12">
        <v>4446549430</v>
      </c>
      <c r="BG267" s="12" t="s">
        <v>333</v>
      </c>
      <c r="BH267" s="12" t="s">
        <v>334</v>
      </c>
      <c r="BI267" s="12" t="s">
        <v>3831</v>
      </c>
      <c r="BJ267" s="12" t="s">
        <v>3831</v>
      </c>
      <c r="BK267" s="12"/>
      <c r="BL267" s="105"/>
      <c r="BM267" s="12"/>
      <c r="BN267" s="12"/>
      <c r="BO267" s="105"/>
      <c r="BP267" s="12"/>
      <c r="BQ267" s="12"/>
      <c r="BR267" s="12"/>
      <c r="BS267" s="12"/>
      <c r="BT267" s="12"/>
      <c r="BU267" s="12"/>
      <c r="BV267" s="12"/>
      <c r="BW267" s="12"/>
      <c r="BX267" s="12"/>
      <c r="BY267" s="12"/>
      <c r="BZ267" s="12"/>
      <c r="CA267" s="12"/>
      <c r="CB267" s="12"/>
      <c r="CC267" s="12"/>
      <c r="CD267" s="78"/>
    </row>
    <row r="268" spans="1:82" ht="13.9" customHeight="1" x14ac:dyDescent="0.2">
      <c r="A268" s="12">
        <v>779</v>
      </c>
      <c r="B268" s="12" t="s">
        <v>4147</v>
      </c>
      <c r="C268" s="78" t="s">
        <v>335</v>
      </c>
      <c r="D268" s="107" t="s">
        <v>228</v>
      </c>
      <c r="E268" s="99" t="s">
        <v>6621</v>
      </c>
      <c r="F268" s="100">
        <v>45649</v>
      </c>
      <c r="G268" s="100">
        <v>45649</v>
      </c>
      <c r="H268" s="101">
        <f t="shared" si="24"/>
        <v>45769</v>
      </c>
      <c r="I268" s="101" t="s">
        <v>291</v>
      </c>
      <c r="J268" s="12" t="s">
        <v>704</v>
      </c>
      <c r="K268" s="12" t="s">
        <v>4317</v>
      </c>
      <c r="L268" s="12" t="s">
        <v>1901</v>
      </c>
      <c r="M268" s="102" t="str">
        <f t="shared" si="25"/>
        <v>GONZALEZ DIAZ MARIA GRISELDA</v>
      </c>
      <c r="N268" s="102" t="s">
        <v>7026</v>
      </c>
      <c r="O268" s="102" t="s">
        <v>4791</v>
      </c>
      <c r="P268" s="12" t="s">
        <v>1953</v>
      </c>
      <c r="Q268" s="100">
        <v>30678</v>
      </c>
      <c r="R268" s="77">
        <f t="shared" si="26"/>
        <v>28</v>
      </c>
      <c r="S268" s="77">
        <f t="shared" si="27"/>
        <v>12</v>
      </c>
      <c r="T268" s="77">
        <f t="shared" si="28"/>
        <v>1983</v>
      </c>
      <c r="U268" s="103">
        <f t="shared" ca="1" si="29"/>
        <v>42.819178082191783</v>
      </c>
      <c r="V268" s="13" t="s">
        <v>308</v>
      </c>
      <c r="W268" s="13" t="s">
        <v>2200</v>
      </c>
      <c r="X268" s="12" t="s">
        <v>310</v>
      </c>
      <c r="Y268" s="108" t="s">
        <v>222</v>
      </c>
      <c r="Z268" s="12" t="s">
        <v>230</v>
      </c>
      <c r="AA268" s="12" t="s">
        <v>857</v>
      </c>
      <c r="AB268" s="12" t="s">
        <v>948</v>
      </c>
      <c r="AC268" s="12" t="s">
        <v>313</v>
      </c>
      <c r="AD268" s="12" t="s">
        <v>314</v>
      </c>
      <c r="AE268" s="12">
        <v>120</v>
      </c>
      <c r="AF268" s="13" t="s">
        <v>949</v>
      </c>
      <c r="AG268" s="12" t="s">
        <v>291</v>
      </c>
      <c r="AH268" s="104" t="s">
        <v>414</v>
      </c>
      <c r="AI268" s="12" t="s">
        <v>317</v>
      </c>
      <c r="AJ268" s="12" t="s">
        <v>318</v>
      </c>
      <c r="AK268" s="12">
        <v>4871102080</v>
      </c>
      <c r="AL268" s="104" t="s">
        <v>3104</v>
      </c>
      <c r="AM268" s="12" t="s">
        <v>2573</v>
      </c>
      <c r="AN268" s="12" t="s">
        <v>325</v>
      </c>
      <c r="AO268" s="12" t="s">
        <v>398</v>
      </c>
      <c r="AP268" s="12"/>
      <c r="AQ268" s="12" t="s">
        <v>3315</v>
      </c>
      <c r="AR268" s="12" t="s">
        <v>983</v>
      </c>
      <c r="AS268" s="12">
        <v>0</v>
      </c>
      <c r="AT268" s="12" t="s">
        <v>145</v>
      </c>
      <c r="AU268" s="12" t="s">
        <v>483</v>
      </c>
      <c r="AV268" s="12">
        <v>79610</v>
      </c>
      <c r="AW268" s="12" t="s">
        <v>329</v>
      </c>
      <c r="AX268" s="12">
        <v>0</v>
      </c>
      <c r="AY268" s="12" t="s">
        <v>329</v>
      </c>
      <c r="AZ268" s="12"/>
      <c r="BA268" s="12"/>
      <c r="BB268" s="12"/>
      <c r="BC268" s="12"/>
      <c r="BD268" s="12" t="s">
        <v>2573</v>
      </c>
      <c r="BE268" s="12" t="s">
        <v>325</v>
      </c>
      <c r="BF268" s="12">
        <v>4871036806</v>
      </c>
      <c r="BG268" s="12" t="s">
        <v>333</v>
      </c>
      <c r="BH268" s="12" t="s">
        <v>334</v>
      </c>
      <c r="BI268" s="12" t="s">
        <v>3831</v>
      </c>
      <c r="BJ268" s="12" t="s">
        <v>3888</v>
      </c>
      <c r="BK268" s="12" t="s">
        <v>3946</v>
      </c>
      <c r="BL268" s="105">
        <v>13</v>
      </c>
      <c r="BM268" s="12"/>
      <c r="BN268" s="12">
        <v>0</v>
      </c>
      <c r="BO268" s="105">
        <v>0</v>
      </c>
      <c r="BP268" s="12"/>
      <c r="BQ268" s="12">
        <v>0</v>
      </c>
      <c r="BR268" s="12">
        <v>0</v>
      </c>
      <c r="BS268" s="12"/>
      <c r="BT268" s="12">
        <v>0</v>
      </c>
      <c r="BU268" s="12">
        <v>0</v>
      </c>
      <c r="BV268" s="12"/>
      <c r="BW268" s="12">
        <v>0</v>
      </c>
      <c r="BX268" s="12">
        <v>0</v>
      </c>
      <c r="BY268" s="12"/>
      <c r="BZ268" s="12">
        <v>0</v>
      </c>
      <c r="CA268" s="12"/>
      <c r="CB268" s="12"/>
      <c r="CC268" s="12"/>
      <c r="CD268" s="78"/>
    </row>
    <row r="269" spans="1:82" ht="13.9" customHeight="1" x14ac:dyDescent="0.2">
      <c r="A269" s="107">
        <v>785</v>
      </c>
      <c r="B269" s="107" t="s">
        <v>4210</v>
      </c>
      <c r="C269" s="78" t="s">
        <v>363</v>
      </c>
      <c r="D269" s="12" t="s">
        <v>249</v>
      </c>
      <c r="E269" s="99" t="s">
        <v>6769</v>
      </c>
      <c r="F269" s="117">
        <v>45663</v>
      </c>
      <c r="G269" s="117">
        <v>45663</v>
      </c>
      <c r="H269" s="101">
        <f t="shared" si="24"/>
        <v>45753</v>
      </c>
      <c r="I269" s="101" t="s">
        <v>291</v>
      </c>
      <c r="J269" s="12" t="s">
        <v>447</v>
      </c>
      <c r="K269" s="12" t="s">
        <v>851</v>
      </c>
      <c r="L269" s="12" t="s">
        <v>6476</v>
      </c>
      <c r="M269" s="102" t="str">
        <f t="shared" si="25"/>
        <v>GARCIA LOPEZ  OSVALDO</v>
      </c>
      <c r="N269" s="102" t="s">
        <v>6475</v>
      </c>
      <c r="O269" s="102" t="s">
        <v>7240</v>
      </c>
      <c r="P269" s="12" t="s">
        <v>1953</v>
      </c>
      <c r="Q269" s="100">
        <v>32433</v>
      </c>
      <c r="R269" s="77">
        <f t="shared" si="26"/>
        <v>17</v>
      </c>
      <c r="S269" s="77">
        <f t="shared" si="27"/>
        <v>10</v>
      </c>
      <c r="T269" s="77">
        <f t="shared" si="28"/>
        <v>1988</v>
      </c>
      <c r="U269" s="103">
        <f t="shared" ca="1" si="29"/>
        <v>38.010958904109586</v>
      </c>
      <c r="V269" s="13" t="s">
        <v>308</v>
      </c>
      <c r="W269" s="13" t="s">
        <v>2233</v>
      </c>
      <c r="X269" s="12" t="s">
        <v>1497</v>
      </c>
      <c r="Y269" s="107" t="s">
        <v>245</v>
      </c>
      <c r="Z269" s="12" t="s">
        <v>250</v>
      </c>
      <c r="AA269" s="12" t="s">
        <v>636</v>
      </c>
      <c r="AB269" s="12" t="s">
        <v>2279</v>
      </c>
      <c r="AC269" s="12" t="s">
        <v>313</v>
      </c>
      <c r="AD269" s="12" t="s">
        <v>314</v>
      </c>
      <c r="AE269" s="12">
        <v>90</v>
      </c>
      <c r="AF269" s="13" t="s">
        <v>315</v>
      </c>
      <c r="AG269" s="12" t="s">
        <v>291</v>
      </c>
      <c r="AH269" s="104" t="s">
        <v>1329</v>
      </c>
      <c r="AI269" s="12" t="s">
        <v>317</v>
      </c>
      <c r="AJ269" s="12" t="s">
        <v>318</v>
      </c>
      <c r="AK269" s="12" t="s">
        <v>2835</v>
      </c>
      <c r="AL269" s="104" t="s">
        <v>3137</v>
      </c>
      <c r="AM269" s="12" t="s">
        <v>2606</v>
      </c>
      <c r="AN269" s="12" t="s">
        <v>439</v>
      </c>
      <c r="AO269" s="12" t="s">
        <v>398</v>
      </c>
      <c r="AP269" s="12"/>
      <c r="AQ269" s="12" t="s">
        <v>3333</v>
      </c>
      <c r="AR269" s="12">
        <v>360</v>
      </c>
      <c r="AS269" s="12" t="s">
        <v>581</v>
      </c>
      <c r="AT269" s="12" t="s">
        <v>483</v>
      </c>
      <c r="AU269" s="12" t="s">
        <v>483</v>
      </c>
      <c r="AV269" s="12">
        <v>78000</v>
      </c>
      <c r="AW269" s="12" t="s">
        <v>357</v>
      </c>
      <c r="AX269" s="12" t="s">
        <v>357</v>
      </c>
      <c r="AY269" s="12" t="s">
        <v>357</v>
      </c>
      <c r="AZ269" s="12"/>
      <c r="BA269" s="12"/>
      <c r="BB269" s="12"/>
      <c r="BC269" s="12"/>
      <c r="BD269" s="12" t="s">
        <v>3562</v>
      </c>
      <c r="BE269" s="12" t="s">
        <v>325</v>
      </c>
      <c r="BF269" s="12" t="s">
        <v>3786</v>
      </c>
      <c r="BG269" s="12" t="s">
        <v>333</v>
      </c>
      <c r="BH269" s="12" t="s">
        <v>334</v>
      </c>
      <c r="BI269" s="12" t="s">
        <v>3831</v>
      </c>
      <c r="BJ269" s="12" t="s">
        <v>3888</v>
      </c>
      <c r="BK269" s="12" t="s">
        <v>3911</v>
      </c>
      <c r="BL269" s="105" t="s">
        <v>3923</v>
      </c>
      <c r="BM269" s="12"/>
      <c r="BN269" s="12">
        <v>0</v>
      </c>
      <c r="BO269" s="105">
        <v>0</v>
      </c>
      <c r="BP269" s="12"/>
      <c r="BQ269" s="12">
        <v>0</v>
      </c>
      <c r="BR269" s="12">
        <v>0</v>
      </c>
      <c r="BS269" s="12"/>
      <c r="BT269" s="12">
        <v>0</v>
      </c>
      <c r="BU269" s="12">
        <v>0</v>
      </c>
      <c r="BV269" s="12"/>
      <c r="BW269" s="12">
        <v>0</v>
      </c>
      <c r="BX269" s="12">
        <v>0</v>
      </c>
      <c r="BY269" s="12"/>
      <c r="BZ269" s="12">
        <v>0</v>
      </c>
      <c r="CA269" s="12"/>
      <c r="CB269" s="12"/>
      <c r="CC269" s="12"/>
      <c r="CD269" s="78"/>
    </row>
    <row r="270" spans="1:82" s="116" customFormat="1" ht="13.9" customHeight="1" x14ac:dyDescent="0.2">
      <c r="A270" s="109">
        <v>787</v>
      </c>
      <c r="B270" s="109" t="s">
        <v>4075</v>
      </c>
      <c r="C270" s="110" t="s">
        <v>335</v>
      </c>
      <c r="D270" s="111" t="s">
        <v>140</v>
      </c>
      <c r="E270" s="111" t="s">
        <v>6622</v>
      </c>
      <c r="F270" s="112">
        <v>45665</v>
      </c>
      <c r="G270" s="112">
        <v>45665</v>
      </c>
      <c r="H270" s="113">
        <f t="shared" si="24"/>
        <v>45755</v>
      </c>
      <c r="I270" s="113" t="s">
        <v>290</v>
      </c>
      <c r="J270" s="109" t="s">
        <v>1239</v>
      </c>
      <c r="K270" s="109" t="s">
        <v>590</v>
      </c>
      <c r="L270" s="109" t="s">
        <v>1798</v>
      </c>
      <c r="M270" s="128" t="str">
        <f t="shared" si="25"/>
        <v>VAZQUEZ PEREZ WILLIAM</v>
      </c>
      <c r="N270" s="128" t="s">
        <v>7027</v>
      </c>
      <c r="O270" s="128" t="s">
        <v>4665</v>
      </c>
      <c r="P270" s="109" t="s">
        <v>1953</v>
      </c>
      <c r="Q270" s="112">
        <v>33713</v>
      </c>
      <c r="R270" s="125">
        <f t="shared" si="26"/>
        <v>19</v>
      </c>
      <c r="S270" s="125">
        <f t="shared" si="27"/>
        <v>4</v>
      </c>
      <c r="T270" s="125">
        <f t="shared" si="28"/>
        <v>1992</v>
      </c>
      <c r="U270" s="142">
        <f t="shared" ca="1" si="29"/>
        <v>34.504109589041093</v>
      </c>
      <c r="V270" s="114" t="s">
        <v>452</v>
      </c>
      <c r="W270" s="114" t="s">
        <v>1244</v>
      </c>
      <c r="X270" s="109" t="s">
        <v>472</v>
      </c>
      <c r="Y270" s="109" t="s">
        <v>144</v>
      </c>
      <c r="Z270" s="109" t="s">
        <v>142</v>
      </c>
      <c r="AA270" s="109" t="s">
        <v>347</v>
      </c>
      <c r="AB270" s="109" t="s">
        <v>883</v>
      </c>
      <c r="AC270" s="109" t="s">
        <v>313</v>
      </c>
      <c r="AD270" s="109" t="s">
        <v>314</v>
      </c>
      <c r="AE270" s="109">
        <v>90</v>
      </c>
      <c r="AF270" s="114" t="s">
        <v>554</v>
      </c>
      <c r="AG270" s="109" t="s">
        <v>290</v>
      </c>
      <c r="AH270" s="115" t="s">
        <v>555</v>
      </c>
      <c r="AI270" s="109" t="s">
        <v>317</v>
      </c>
      <c r="AJ270" s="109" t="s">
        <v>318</v>
      </c>
      <c r="AK270" s="109">
        <v>4428782439</v>
      </c>
      <c r="AL270" s="115">
        <v>0</v>
      </c>
      <c r="AM270" s="109" t="s">
        <v>2458</v>
      </c>
      <c r="AN270" s="109" t="s">
        <v>776</v>
      </c>
      <c r="AO270" s="109" t="s">
        <v>398</v>
      </c>
      <c r="AP270" s="109"/>
      <c r="AQ270" s="109" t="s">
        <v>3263</v>
      </c>
      <c r="AR270" s="109" t="s">
        <v>3359</v>
      </c>
      <c r="AS270" s="109">
        <v>0</v>
      </c>
      <c r="AT270" s="109" t="s">
        <v>3392</v>
      </c>
      <c r="AU270" s="109" t="s">
        <v>3403</v>
      </c>
      <c r="AV270" s="109">
        <v>80020</v>
      </c>
      <c r="AW270" s="109" t="s">
        <v>329</v>
      </c>
      <c r="AX270" s="109">
        <v>0</v>
      </c>
      <c r="AY270" s="109" t="s">
        <v>329</v>
      </c>
      <c r="AZ270" s="109"/>
      <c r="BA270" s="109"/>
      <c r="BB270" s="109"/>
      <c r="BC270" s="109"/>
      <c r="BD270" s="109" t="s">
        <v>2458</v>
      </c>
      <c r="BE270" s="109" t="s">
        <v>776</v>
      </c>
      <c r="BF270" s="109">
        <v>0</v>
      </c>
      <c r="BG270" s="109" t="s">
        <v>333</v>
      </c>
      <c r="BH270" s="109" t="s">
        <v>334</v>
      </c>
      <c r="BI270" s="109" t="s">
        <v>3831</v>
      </c>
      <c r="BJ270" s="109" t="s">
        <v>3831</v>
      </c>
      <c r="BK270" s="109"/>
      <c r="BL270" s="111"/>
      <c r="BM270" s="109"/>
      <c r="BN270" s="109"/>
      <c r="BO270" s="111"/>
      <c r="BP270" s="109"/>
      <c r="BQ270" s="109"/>
      <c r="BR270" s="109"/>
      <c r="BS270" s="109"/>
      <c r="BT270" s="109"/>
      <c r="BU270" s="109"/>
      <c r="BV270" s="109"/>
      <c r="BW270" s="109"/>
      <c r="BX270" s="109"/>
      <c r="BY270" s="109"/>
      <c r="BZ270" s="109"/>
      <c r="CA270" s="109"/>
      <c r="CB270" s="109"/>
      <c r="CC270" s="109"/>
      <c r="CD270" s="110"/>
    </row>
    <row r="271" spans="1:82" s="116" customFormat="1" ht="13.9" customHeight="1" x14ac:dyDescent="0.2">
      <c r="A271" s="109">
        <v>788</v>
      </c>
      <c r="B271" s="109" t="s">
        <v>4076</v>
      </c>
      <c r="C271" s="110" t="s">
        <v>335</v>
      </c>
      <c r="D271" s="111" t="s">
        <v>140</v>
      </c>
      <c r="E271" s="111" t="s">
        <v>6623</v>
      </c>
      <c r="F271" s="112">
        <v>45666</v>
      </c>
      <c r="G271" s="112">
        <v>45666</v>
      </c>
      <c r="H271" s="113">
        <f t="shared" si="24"/>
        <v>45756</v>
      </c>
      <c r="I271" s="113" t="s">
        <v>290</v>
      </c>
      <c r="J271" s="109" t="s">
        <v>4363</v>
      </c>
      <c r="K271" s="109" t="s">
        <v>4346</v>
      </c>
      <c r="L271" s="109" t="s">
        <v>1228</v>
      </c>
      <c r="M271" s="128" t="str">
        <f t="shared" si="25"/>
        <v>OLVERA MORALES GERARDO</v>
      </c>
      <c r="N271" s="128" t="s">
        <v>7028</v>
      </c>
      <c r="O271" s="128" t="s">
        <v>4666</v>
      </c>
      <c r="P271" s="109" t="s">
        <v>1953</v>
      </c>
      <c r="Q271" s="112">
        <v>31293</v>
      </c>
      <c r="R271" s="125">
        <f t="shared" si="26"/>
        <v>3</v>
      </c>
      <c r="S271" s="125">
        <f t="shared" si="27"/>
        <v>9</v>
      </c>
      <c r="T271" s="125">
        <f t="shared" si="28"/>
        <v>1985</v>
      </c>
      <c r="U271" s="142">
        <f t="shared" ca="1" si="29"/>
        <v>41.134246575342466</v>
      </c>
      <c r="V271" s="114" t="s">
        <v>389</v>
      </c>
      <c r="W271" s="114" t="s">
        <v>2077</v>
      </c>
      <c r="X271" s="109" t="s">
        <v>454</v>
      </c>
      <c r="Y271" s="109" t="s">
        <v>144</v>
      </c>
      <c r="Z271" s="109" t="s">
        <v>142</v>
      </c>
      <c r="AA271" s="109" t="s">
        <v>347</v>
      </c>
      <c r="AB271" s="109" t="s">
        <v>883</v>
      </c>
      <c r="AC271" s="109" t="s">
        <v>313</v>
      </c>
      <c r="AD271" s="109" t="s">
        <v>314</v>
      </c>
      <c r="AE271" s="109">
        <v>90</v>
      </c>
      <c r="AF271" s="114" t="s">
        <v>554</v>
      </c>
      <c r="AG271" s="109" t="s">
        <v>290</v>
      </c>
      <c r="AH271" s="115" t="s">
        <v>555</v>
      </c>
      <c r="AI271" s="109" t="s">
        <v>317</v>
      </c>
      <c r="AJ271" s="109" t="s">
        <v>318</v>
      </c>
      <c r="AK271" s="109">
        <v>4421788078</v>
      </c>
      <c r="AL271" s="115" t="s">
        <v>2983</v>
      </c>
      <c r="AM271" s="109" t="s">
        <v>2459</v>
      </c>
      <c r="AN271" s="109" t="s">
        <v>401</v>
      </c>
      <c r="AO271" s="109" t="s">
        <v>398</v>
      </c>
      <c r="AP271" s="109"/>
      <c r="AQ271" s="109" t="s">
        <v>3264</v>
      </c>
      <c r="AR271" s="109" t="s">
        <v>3360</v>
      </c>
      <c r="AS271" s="109">
        <v>0</v>
      </c>
      <c r="AT271" s="109" t="s">
        <v>1014</v>
      </c>
      <c r="AU271" s="109" t="s">
        <v>140</v>
      </c>
      <c r="AV271" s="109">
        <v>76900</v>
      </c>
      <c r="AW271" s="109" t="s">
        <v>329</v>
      </c>
      <c r="AX271" s="109">
        <v>0</v>
      </c>
      <c r="AY271" s="109" t="s">
        <v>329</v>
      </c>
      <c r="AZ271" s="109"/>
      <c r="BA271" s="109"/>
      <c r="BB271" s="109"/>
      <c r="BC271" s="109"/>
      <c r="BD271" s="109" t="s">
        <v>2459</v>
      </c>
      <c r="BE271" s="109" t="s">
        <v>401</v>
      </c>
      <c r="BF271" s="109">
        <v>4422596970</v>
      </c>
      <c r="BG271" s="109" t="s">
        <v>685</v>
      </c>
      <c r="BH271" s="109" t="s">
        <v>334</v>
      </c>
      <c r="BI271" s="109" t="s">
        <v>3831</v>
      </c>
      <c r="BJ271" s="109" t="s">
        <v>3831</v>
      </c>
      <c r="BK271" s="109"/>
      <c r="BL271" s="111"/>
      <c r="BM271" s="109"/>
      <c r="BN271" s="109"/>
      <c r="BO271" s="111"/>
      <c r="BP271" s="109"/>
      <c r="BQ271" s="109"/>
      <c r="BR271" s="109"/>
      <c r="BS271" s="109"/>
      <c r="BT271" s="109"/>
      <c r="BU271" s="109"/>
      <c r="BV271" s="109"/>
      <c r="BW271" s="109"/>
      <c r="BX271" s="109"/>
      <c r="BY271" s="109"/>
      <c r="BZ271" s="109"/>
      <c r="CA271" s="109"/>
      <c r="CB271" s="109"/>
      <c r="CC271" s="109"/>
      <c r="CD271" s="110"/>
    </row>
    <row r="272" spans="1:82" ht="13.9" customHeight="1" x14ac:dyDescent="0.2">
      <c r="A272" s="107">
        <v>789</v>
      </c>
      <c r="B272" s="107" t="s">
        <v>3994</v>
      </c>
      <c r="C272" s="104" t="s">
        <v>564</v>
      </c>
      <c r="D272" s="107" t="s">
        <v>81</v>
      </c>
      <c r="E272" s="99" t="s">
        <v>6624</v>
      </c>
      <c r="F272" s="100">
        <v>45670</v>
      </c>
      <c r="G272" s="100">
        <v>45670</v>
      </c>
      <c r="H272" s="101">
        <f t="shared" si="24"/>
        <v>45760</v>
      </c>
      <c r="I272" s="101" t="s">
        <v>290</v>
      </c>
      <c r="J272" s="12" t="s">
        <v>384</v>
      </c>
      <c r="K272" s="12" t="s">
        <v>383</v>
      </c>
      <c r="L272" s="12" t="s">
        <v>1726</v>
      </c>
      <c r="M272" s="102" t="str">
        <f t="shared" si="25"/>
        <v>SANCHEZ ORTIZ ANTONIO ISMAEL</v>
      </c>
      <c r="N272" s="102" t="s">
        <v>7029</v>
      </c>
      <c r="O272" s="102" t="s">
        <v>4583</v>
      </c>
      <c r="P272" s="12" t="s">
        <v>1953</v>
      </c>
      <c r="Q272" s="100">
        <v>36521</v>
      </c>
      <c r="R272" s="77">
        <f t="shared" si="26"/>
        <v>27</v>
      </c>
      <c r="S272" s="77">
        <f t="shared" si="27"/>
        <v>12</v>
      </c>
      <c r="T272" s="77">
        <f t="shared" si="28"/>
        <v>1999</v>
      </c>
      <c r="U272" s="103">
        <f t="shared" ca="1" si="29"/>
        <v>26.81095890410959</v>
      </c>
      <c r="V272" s="13" t="s">
        <v>452</v>
      </c>
      <c r="W272" s="13" t="s">
        <v>1994</v>
      </c>
      <c r="X272" s="12" t="s">
        <v>530</v>
      </c>
      <c r="Y272" s="12" t="s">
        <v>83</v>
      </c>
      <c r="Z272" s="12" t="s">
        <v>84</v>
      </c>
      <c r="AA272" s="12" t="s">
        <v>532</v>
      </c>
      <c r="AB272" s="12" t="s">
        <v>574</v>
      </c>
      <c r="AC272" s="12" t="s">
        <v>313</v>
      </c>
      <c r="AD272" s="12" t="s">
        <v>314</v>
      </c>
      <c r="AE272" s="12">
        <v>90</v>
      </c>
      <c r="AF272" s="13" t="s">
        <v>710</v>
      </c>
      <c r="AG272" s="12" t="s">
        <v>290</v>
      </c>
      <c r="AH272" s="104" t="s">
        <v>575</v>
      </c>
      <c r="AI272" s="12" t="s">
        <v>317</v>
      </c>
      <c r="AJ272" s="12" t="s">
        <v>318</v>
      </c>
      <c r="AK272" s="12" t="s">
        <v>2662</v>
      </c>
      <c r="AL272" s="104" t="s">
        <v>2901</v>
      </c>
      <c r="AM272" s="12" t="s">
        <v>2383</v>
      </c>
      <c r="AN272" s="12" t="s">
        <v>602</v>
      </c>
      <c r="AO272" s="12" t="s">
        <v>398</v>
      </c>
      <c r="AP272" s="12"/>
      <c r="AQ272" s="12" t="s">
        <v>3211</v>
      </c>
      <c r="AR272" s="12">
        <v>508</v>
      </c>
      <c r="AS272" s="12">
        <v>0</v>
      </c>
      <c r="AT272" s="12" t="s">
        <v>717</v>
      </c>
      <c r="AU272" s="12" t="s">
        <v>583</v>
      </c>
      <c r="AV272" s="12">
        <v>45408</v>
      </c>
      <c r="AW272" s="12" t="s">
        <v>329</v>
      </c>
      <c r="AX272" s="12">
        <v>0</v>
      </c>
      <c r="AY272" s="12" t="s">
        <v>329</v>
      </c>
      <c r="AZ272" s="12"/>
      <c r="BA272" s="12"/>
      <c r="BB272" s="12"/>
      <c r="BC272" s="12"/>
      <c r="BD272" s="12" t="s">
        <v>2383</v>
      </c>
      <c r="BE272" s="12" t="s">
        <v>602</v>
      </c>
      <c r="BF272" s="12">
        <v>3334168475</v>
      </c>
      <c r="BG272" s="12" t="s">
        <v>488</v>
      </c>
      <c r="BH272" s="12" t="s">
        <v>334</v>
      </c>
      <c r="BI272" s="12" t="s">
        <v>3831</v>
      </c>
      <c r="BJ272" s="12" t="s">
        <v>3888</v>
      </c>
      <c r="BK272" s="12" t="s">
        <v>571</v>
      </c>
      <c r="BL272" s="105">
        <v>2</v>
      </c>
      <c r="BM272" s="12"/>
      <c r="BN272" s="12">
        <v>0</v>
      </c>
      <c r="BO272" s="105">
        <v>0</v>
      </c>
      <c r="BP272" s="12"/>
      <c r="BQ272" s="12">
        <v>0</v>
      </c>
      <c r="BR272" s="12">
        <v>0</v>
      </c>
      <c r="BS272" s="12"/>
      <c r="BT272" s="12">
        <v>0</v>
      </c>
      <c r="BU272" s="12">
        <v>0</v>
      </c>
      <c r="BV272" s="12"/>
      <c r="BW272" s="12">
        <v>0</v>
      </c>
      <c r="BX272" s="12">
        <v>0</v>
      </c>
      <c r="BY272" s="12"/>
      <c r="BZ272" s="12">
        <v>0</v>
      </c>
      <c r="CA272" s="12"/>
      <c r="CB272" s="12"/>
      <c r="CC272" s="12"/>
      <c r="CD272" s="78"/>
    </row>
    <row r="273" spans="1:82" s="116" customFormat="1" ht="13.9" customHeight="1" x14ac:dyDescent="0.2">
      <c r="A273" s="109">
        <v>1017</v>
      </c>
      <c r="B273" s="109" t="s">
        <v>3973</v>
      </c>
      <c r="C273" s="115" t="s">
        <v>299</v>
      </c>
      <c r="D273" s="111" t="s">
        <v>80</v>
      </c>
      <c r="E273" s="111" t="s">
        <v>6625</v>
      </c>
      <c r="F273" s="112">
        <f>G273</f>
        <v>45670</v>
      </c>
      <c r="G273" s="112">
        <v>45670</v>
      </c>
      <c r="H273" s="113">
        <f t="shared" si="24"/>
        <v>45760</v>
      </c>
      <c r="I273" s="113" t="s">
        <v>290</v>
      </c>
      <c r="J273" s="109" t="s">
        <v>704</v>
      </c>
      <c r="K273" s="109" t="s">
        <v>836</v>
      </c>
      <c r="L273" s="109" t="s">
        <v>1703</v>
      </c>
      <c r="M273" s="128" t="str">
        <f t="shared" si="25"/>
        <v>GONZALEZ MENDEZ JOSE LUIS</v>
      </c>
      <c r="N273" s="128" t="s">
        <v>7030</v>
      </c>
      <c r="O273" s="128" t="s">
        <v>4559</v>
      </c>
      <c r="P273" s="109" t="s">
        <v>1953</v>
      </c>
      <c r="Q273" s="112">
        <v>29951</v>
      </c>
      <c r="R273" s="125">
        <f t="shared" si="26"/>
        <v>31</v>
      </c>
      <c r="S273" s="125">
        <f t="shared" si="27"/>
        <v>12</v>
      </c>
      <c r="T273" s="125">
        <f t="shared" si="28"/>
        <v>1981</v>
      </c>
      <c r="U273" s="142">
        <f t="shared" ca="1" si="29"/>
        <v>44.81095890410959</v>
      </c>
      <c r="V273" s="114" t="s">
        <v>342</v>
      </c>
      <c r="W273" s="114" t="s">
        <v>1969</v>
      </c>
      <c r="X273" s="109" t="s">
        <v>472</v>
      </c>
      <c r="Y273" s="109" t="s">
        <v>72</v>
      </c>
      <c r="Z273" s="109" t="s">
        <v>73</v>
      </c>
      <c r="AA273" s="109" t="s">
        <v>311</v>
      </c>
      <c r="AB273" s="109" t="s">
        <v>312</v>
      </c>
      <c r="AC273" s="109" t="s">
        <v>313</v>
      </c>
      <c r="AD273" s="109" t="s">
        <v>314</v>
      </c>
      <c r="AE273" s="109">
        <v>90</v>
      </c>
      <c r="AF273" s="114" t="s">
        <v>315</v>
      </c>
      <c r="AG273" s="109" t="s">
        <v>290</v>
      </c>
      <c r="AH273" s="115" t="s">
        <v>316</v>
      </c>
      <c r="AI273" s="109" t="s">
        <v>317</v>
      </c>
      <c r="AJ273" s="109" t="s">
        <v>318</v>
      </c>
      <c r="AK273" s="109">
        <v>4447270003</v>
      </c>
      <c r="AL273" s="115" t="s">
        <v>2877</v>
      </c>
      <c r="AM273" s="109" t="s">
        <v>2360</v>
      </c>
      <c r="AN273" s="109" t="s">
        <v>381</v>
      </c>
      <c r="AO273" s="109" t="s">
        <v>398</v>
      </c>
      <c r="AP273" s="109"/>
      <c r="AQ273" s="109" t="s">
        <v>3191</v>
      </c>
      <c r="AR273" s="109" t="s">
        <v>699</v>
      </c>
      <c r="AS273" s="109">
        <v>0</v>
      </c>
      <c r="AT273" s="109" t="s">
        <v>482</v>
      </c>
      <c r="AU273" s="109" t="s">
        <v>483</v>
      </c>
      <c r="AV273" s="109">
        <v>78430</v>
      </c>
      <c r="AW273" s="109" t="s">
        <v>329</v>
      </c>
      <c r="AX273" s="109">
        <v>0</v>
      </c>
      <c r="AY273" s="109" t="s">
        <v>329</v>
      </c>
      <c r="AZ273" s="109"/>
      <c r="BA273" s="109"/>
      <c r="BB273" s="109"/>
      <c r="BC273" s="109"/>
      <c r="BD273" s="109" t="s">
        <v>2360</v>
      </c>
      <c r="BE273" s="109" t="s">
        <v>381</v>
      </c>
      <c r="BF273" s="109">
        <v>4446667545</v>
      </c>
      <c r="BG273" s="109" t="s">
        <v>685</v>
      </c>
      <c r="BH273" s="109" t="s">
        <v>334</v>
      </c>
      <c r="BI273" s="109" t="s">
        <v>3831</v>
      </c>
      <c r="BJ273" s="109" t="s">
        <v>3888</v>
      </c>
      <c r="BK273" s="109" t="s">
        <v>3911</v>
      </c>
      <c r="BL273" s="111">
        <v>8</v>
      </c>
      <c r="BM273" s="109"/>
      <c r="BN273" s="109">
        <v>0</v>
      </c>
      <c r="BO273" s="111">
        <v>0</v>
      </c>
      <c r="BP273" s="109"/>
      <c r="BQ273" s="109">
        <v>0</v>
      </c>
      <c r="BR273" s="109">
        <v>0</v>
      </c>
      <c r="BS273" s="109"/>
      <c r="BT273" s="109">
        <v>0</v>
      </c>
      <c r="BU273" s="109">
        <v>0</v>
      </c>
      <c r="BV273" s="109"/>
      <c r="BW273" s="109">
        <v>0</v>
      </c>
      <c r="BX273" s="109">
        <v>0</v>
      </c>
      <c r="BY273" s="109"/>
      <c r="BZ273" s="109">
        <v>0</v>
      </c>
      <c r="CA273" s="109"/>
      <c r="CB273" s="109"/>
      <c r="CC273" s="109"/>
      <c r="CD273" s="110"/>
    </row>
    <row r="274" spans="1:82" ht="13.9" customHeight="1" x14ac:dyDescent="0.25">
      <c r="A274" s="12">
        <v>791</v>
      </c>
      <c r="B274" s="12" t="s">
        <v>4016</v>
      </c>
      <c r="C274" s="78" t="s">
        <v>335</v>
      </c>
      <c r="D274" s="99" t="s">
        <v>105</v>
      </c>
      <c r="E274" s="99" t="s">
        <v>6626</v>
      </c>
      <c r="F274" s="100">
        <v>45673</v>
      </c>
      <c r="G274" s="124">
        <v>45673</v>
      </c>
      <c r="H274" s="101">
        <f t="shared" si="24"/>
        <v>45793</v>
      </c>
      <c r="I274" s="101" t="s">
        <v>290</v>
      </c>
      <c r="J274" s="12" t="s">
        <v>447</v>
      </c>
      <c r="K274" s="12" t="s">
        <v>4883</v>
      </c>
      <c r="L274" s="12" t="s">
        <v>4884</v>
      </c>
      <c r="M274" s="153" t="str">
        <f t="shared" si="25"/>
        <v>GARCIA GUERRA CESAR EMMANUEL</v>
      </c>
      <c r="N274" s="102" t="s">
        <v>7031</v>
      </c>
      <c r="O274" s="102" t="s">
        <v>4885</v>
      </c>
      <c r="P274" s="12" t="s">
        <v>1953</v>
      </c>
      <c r="Q274" s="100">
        <v>33929</v>
      </c>
      <c r="R274" s="77">
        <f t="shared" si="26"/>
        <v>21</v>
      </c>
      <c r="S274" s="77">
        <f t="shared" si="27"/>
        <v>11</v>
      </c>
      <c r="T274" s="77">
        <f t="shared" si="28"/>
        <v>1992</v>
      </c>
      <c r="U274" s="103">
        <f t="shared" ca="1" si="29"/>
        <v>33.912328767123284</v>
      </c>
      <c r="V274" s="13" t="s">
        <v>342</v>
      </c>
      <c r="W274" s="13" t="s">
        <v>4886</v>
      </c>
      <c r="X274" s="12" t="s">
        <v>454</v>
      </c>
      <c r="Y274" s="12" t="s">
        <v>115</v>
      </c>
      <c r="Z274" s="12" t="s">
        <v>4887</v>
      </c>
      <c r="AA274" s="12" t="s">
        <v>347</v>
      </c>
      <c r="AB274" s="12" t="s">
        <v>858</v>
      </c>
      <c r="AC274" s="12" t="s">
        <v>313</v>
      </c>
      <c r="AD274" s="12" t="s">
        <v>314</v>
      </c>
      <c r="AE274" s="12">
        <v>120</v>
      </c>
      <c r="AF274" s="13" t="s">
        <v>859</v>
      </c>
      <c r="AG274" s="12" t="s">
        <v>290</v>
      </c>
      <c r="AH274" s="104" t="s">
        <v>860</v>
      </c>
      <c r="AI274" s="12" t="s">
        <v>317</v>
      </c>
      <c r="AJ274" s="12" t="s">
        <v>318</v>
      </c>
      <c r="AK274" s="12">
        <v>4493960885</v>
      </c>
      <c r="AL274" s="104" t="s">
        <v>4888</v>
      </c>
      <c r="AM274" s="12" t="s">
        <v>4889</v>
      </c>
      <c r="AN274" s="12" t="s">
        <v>381</v>
      </c>
      <c r="AO274" s="12" t="s">
        <v>398</v>
      </c>
      <c r="AP274" s="12"/>
      <c r="AQ274" s="12" t="s">
        <v>4890</v>
      </c>
      <c r="AR274" s="12">
        <v>818</v>
      </c>
      <c r="AS274" s="12"/>
      <c r="AT274" s="12" t="s">
        <v>105</v>
      </c>
      <c r="AU274" s="12" t="s">
        <v>105</v>
      </c>
      <c r="AV274" s="12">
        <v>20348</v>
      </c>
      <c r="AW274" s="12" t="s">
        <v>357</v>
      </c>
      <c r="AX274" s="12"/>
      <c r="AY274" s="12" t="s">
        <v>357</v>
      </c>
      <c r="AZ274" s="12"/>
      <c r="BA274" s="12"/>
      <c r="BB274" s="12"/>
      <c r="BC274" s="12"/>
      <c r="BD274" s="12" t="s">
        <v>4889</v>
      </c>
      <c r="BE274" s="12" t="s">
        <v>381</v>
      </c>
      <c r="BF274" s="12">
        <v>4751123127</v>
      </c>
      <c r="BG274" s="12" t="s">
        <v>685</v>
      </c>
      <c r="BH274" s="12" t="s">
        <v>334</v>
      </c>
      <c r="BI274" s="12" t="s">
        <v>3831</v>
      </c>
      <c r="BJ274" s="12" t="s">
        <v>3888</v>
      </c>
      <c r="BK274" s="12" t="s">
        <v>3911</v>
      </c>
      <c r="BL274" s="105">
        <v>7</v>
      </c>
      <c r="BM274" s="12"/>
      <c r="BN274" s="12" t="s">
        <v>571</v>
      </c>
      <c r="BO274" s="105">
        <v>4</v>
      </c>
      <c r="BP274" s="12"/>
      <c r="BQ274" s="12" t="s">
        <v>571</v>
      </c>
      <c r="BR274" s="12">
        <v>2</v>
      </c>
      <c r="BS274" s="12"/>
      <c r="BT274" s="12"/>
      <c r="BU274" s="12"/>
      <c r="BV274" s="12"/>
      <c r="BW274" s="12"/>
      <c r="BX274" s="12"/>
      <c r="BY274" s="12"/>
      <c r="BZ274" s="12"/>
      <c r="CA274" s="12"/>
      <c r="CB274" s="12"/>
      <c r="CC274" s="12"/>
      <c r="CD274" s="78"/>
    </row>
    <row r="275" spans="1:82" ht="13.9" customHeight="1" x14ac:dyDescent="0.2">
      <c r="A275" s="12">
        <v>796</v>
      </c>
      <c r="B275" s="12" t="s">
        <v>4105</v>
      </c>
      <c r="C275" s="78" t="s">
        <v>335</v>
      </c>
      <c r="D275" s="99" t="s">
        <v>86</v>
      </c>
      <c r="E275" s="99" t="s">
        <v>6627</v>
      </c>
      <c r="F275" s="100">
        <v>45684</v>
      </c>
      <c r="G275" s="100">
        <v>45684</v>
      </c>
      <c r="H275" s="101">
        <f t="shared" si="24"/>
        <v>45774</v>
      </c>
      <c r="I275" s="101" t="s">
        <v>290</v>
      </c>
      <c r="J275" s="12" t="s">
        <v>1534</v>
      </c>
      <c r="K275" s="12" t="s">
        <v>447</v>
      </c>
      <c r="L275" s="12" t="s">
        <v>1824</v>
      </c>
      <c r="M275" s="102" t="str">
        <f t="shared" si="25"/>
        <v>JUAREZ GARCIA JUAN MARTIN</v>
      </c>
      <c r="N275" s="102" t="s">
        <v>7032</v>
      </c>
      <c r="O275" s="102" t="s">
        <v>4701</v>
      </c>
      <c r="P275" s="12" t="s">
        <v>1953</v>
      </c>
      <c r="Q275" s="100">
        <v>30997</v>
      </c>
      <c r="R275" s="77">
        <f t="shared" si="26"/>
        <v>11</v>
      </c>
      <c r="S275" s="77">
        <f t="shared" si="27"/>
        <v>11</v>
      </c>
      <c r="T275" s="77">
        <f t="shared" si="28"/>
        <v>1984</v>
      </c>
      <c r="U275" s="103">
        <f t="shared" ca="1" si="29"/>
        <v>41.945205479452056</v>
      </c>
      <c r="V275" s="13" t="s">
        <v>389</v>
      </c>
      <c r="W275" s="13" t="s">
        <v>2112</v>
      </c>
      <c r="X275" s="12" t="s">
        <v>454</v>
      </c>
      <c r="Y275" s="12" t="s">
        <v>83</v>
      </c>
      <c r="Z275" s="12" t="s">
        <v>153</v>
      </c>
      <c r="AA275" s="12" t="s">
        <v>347</v>
      </c>
      <c r="AB275" s="12" t="s">
        <v>842</v>
      </c>
      <c r="AC275" s="12" t="s">
        <v>313</v>
      </c>
      <c r="AD275" s="12" t="s">
        <v>314</v>
      </c>
      <c r="AE275" s="12">
        <v>90</v>
      </c>
      <c r="AF275" s="13" t="s">
        <v>315</v>
      </c>
      <c r="AG275" s="12" t="s">
        <v>290</v>
      </c>
      <c r="AH275" s="104" t="s">
        <v>843</v>
      </c>
      <c r="AI275" s="12" t="s">
        <v>317</v>
      </c>
      <c r="AJ275" s="12" t="s">
        <v>318</v>
      </c>
      <c r="AK275" s="12">
        <v>4441007618</v>
      </c>
      <c r="AL275" s="104" t="s">
        <v>3018</v>
      </c>
      <c r="AM275" s="12" t="s">
        <v>2489</v>
      </c>
      <c r="AN275" s="12" t="s">
        <v>439</v>
      </c>
      <c r="AO275" s="12" t="s">
        <v>398</v>
      </c>
      <c r="AP275" s="12"/>
      <c r="AQ275" s="12" t="s">
        <v>3280</v>
      </c>
      <c r="AR275" s="12">
        <v>120</v>
      </c>
      <c r="AS275" s="12">
        <v>0</v>
      </c>
      <c r="AT275" s="12" t="s">
        <v>483</v>
      </c>
      <c r="AU275" s="12" t="s">
        <v>483</v>
      </c>
      <c r="AV275" s="12">
        <v>78174</v>
      </c>
      <c r="AW275" s="12" t="s">
        <v>329</v>
      </c>
      <c r="AX275" s="12">
        <v>0</v>
      </c>
      <c r="AY275" s="12" t="s">
        <v>329</v>
      </c>
      <c r="AZ275" s="12"/>
      <c r="BA275" s="12"/>
      <c r="BB275" s="12"/>
      <c r="BC275" s="12"/>
      <c r="BD275" s="12" t="s">
        <v>2489</v>
      </c>
      <c r="BE275" s="12" t="s">
        <v>439</v>
      </c>
      <c r="BF275" s="12">
        <v>4441795313</v>
      </c>
      <c r="BG275" s="12" t="s">
        <v>333</v>
      </c>
      <c r="BH275" s="12" t="s">
        <v>334</v>
      </c>
      <c r="BI275" s="12" t="s">
        <v>3831</v>
      </c>
      <c r="BJ275" s="12" t="s">
        <v>3831</v>
      </c>
      <c r="BK275" s="12"/>
      <c r="BL275" s="105"/>
      <c r="BM275" s="12"/>
      <c r="BN275" s="12"/>
      <c r="BO275" s="105"/>
      <c r="BP275" s="12"/>
      <c r="BQ275" s="12"/>
      <c r="BR275" s="12"/>
      <c r="BS275" s="12"/>
      <c r="BT275" s="12"/>
      <c r="BU275" s="12"/>
      <c r="BV275" s="12"/>
      <c r="BW275" s="12"/>
      <c r="BX275" s="12"/>
      <c r="BY275" s="12"/>
      <c r="BZ275" s="12"/>
      <c r="CA275" s="12"/>
      <c r="CB275" s="12"/>
      <c r="CC275" s="12"/>
      <c r="CD275" s="78"/>
    </row>
    <row r="276" spans="1:82" s="116" customFormat="1" ht="13.9" customHeight="1" x14ac:dyDescent="0.2">
      <c r="A276" s="109">
        <v>797</v>
      </c>
      <c r="B276" s="109" t="s">
        <v>7264</v>
      </c>
      <c r="C276" s="110" t="s">
        <v>299</v>
      </c>
      <c r="D276" s="111" t="s">
        <v>80</v>
      </c>
      <c r="E276" s="111" t="s">
        <v>6628</v>
      </c>
      <c r="F276" s="112">
        <v>45686</v>
      </c>
      <c r="G276" s="112">
        <v>45686</v>
      </c>
      <c r="H276" s="113">
        <f t="shared" si="24"/>
        <v>45776</v>
      </c>
      <c r="I276" s="113" t="s">
        <v>291</v>
      </c>
      <c r="J276" s="109" t="s">
        <v>507</v>
      </c>
      <c r="K276" s="109" t="s">
        <v>1576</v>
      </c>
      <c r="L276" s="109" t="s">
        <v>1778</v>
      </c>
      <c r="M276" s="128" t="str">
        <f t="shared" si="25"/>
        <v>MARTINEZ CAMPOS KARINA DENISE</v>
      </c>
      <c r="N276" s="128" t="s">
        <v>7033</v>
      </c>
      <c r="O276" s="128" t="s">
        <v>4643</v>
      </c>
      <c r="P276" s="109" t="s">
        <v>1953</v>
      </c>
      <c r="Q276" s="112">
        <v>32833</v>
      </c>
      <c r="R276" s="125">
        <f t="shared" si="26"/>
        <v>21</v>
      </c>
      <c r="S276" s="125">
        <f t="shared" si="27"/>
        <v>11</v>
      </c>
      <c r="T276" s="125">
        <f t="shared" si="28"/>
        <v>1989</v>
      </c>
      <c r="U276" s="142">
        <f t="shared" ca="1" si="29"/>
        <v>36.915068493150685</v>
      </c>
      <c r="V276" s="114" t="s">
        <v>1450</v>
      </c>
      <c r="W276" s="114" t="s">
        <v>2055</v>
      </c>
      <c r="X276" s="109" t="s">
        <v>1497</v>
      </c>
      <c r="Y276" s="109" t="s">
        <v>126</v>
      </c>
      <c r="Z276" s="109" t="s">
        <v>118</v>
      </c>
      <c r="AA276" s="109" t="s">
        <v>432</v>
      </c>
      <c r="AB276" s="109" t="s">
        <v>2280</v>
      </c>
      <c r="AC276" s="109" t="s">
        <v>313</v>
      </c>
      <c r="AD276" s="109" t="s">
        <v>314</v>
      </c>
      <c r="AE276" s="109">
        <v>90</v>
      </c>
      <c r="AF276" s="114" t="s">
        <v>315</v>
      </c>
      <c r="AG276" s="109" t="s">
        <v>291</v>
      </c>
      <c r="AH276" s="115" t="s">
        <v>316</v>
      </c>
      <c r="AI276" s="109" t="s">
        <v>317</v>
      </c>
      <c r="AJ276" s="109" t="s">
        <v>318</v>
      </c>
      <c r="AK276" s="109" t="s">
        <v>2700</v>
      </c>
      <c r="AL276" s="115" t="s">
        <v>2961</v>
      </c>
      <c r="AM276" s="109" t="s">
        <v>2437</v>
      </c>
      <c r="AN276" s="109" t="s">
        <v>3178</v>
      </c>
      <c r="AO276" s="109" t="s">
        <v>327</v>
      </c>
      <c r="AP276" s="109"/>
      <c r="AQ276" s="109" t="s">
        <v>3248</v>
      </c>
      <c r="AR276" s="109">
        <v>876</v>
      </c>
      <c r="AS276" s="109" t="s">
        <v>328</v>
      </c>
      <c r="AT276" s="109" t="s">
        <v>482</v>
      </c>
      <c r="AU276" s="109" t="s">
        <v>483</v>
      </c>
      <c r="AV276" s="109">
        <v>78437</v>
      </c>
      <c r="AW276" s="109" t="s">
        <v>329</v>
      </c>
      <c r="AX276" s="109" t="s">
        <v>329</v>
      </c>
      <c r="AY276" s="109" t="s">
        <v>329</v>
      </c>
      <c r="AZ276" s="109"/>
      <c r="BA276" s="109"/>
      <c r="BB276" s="109"/>
      <c r="BC276" s="109"/>
      <c r="BD276" s="109" t="s">
        <v>2437</v>
      </c>
      <c r="BE276" s="109" t="s">
        <v>3178</v>
      </c>
      <c r="BF276" s="109" t="s">
        <v>3648</v>
      </c>
      <c r="BG276" s="109">
        <v>0</v>
      </c>
      <c r="BH276" s="109" t="s">
        <v>334</v>
      </c>
      <c r="BI276" s="109" t="s">
        <v>3831</v>
      </c>
      <c r="BJ276" s="109" t="s">
        <v>3888</v>
      </c>
      <c r="BK276" s="109" t="s">
        <v>3911</v>
      </c>
      <c r="BL276" s="111" t="s">
        <v>3918</v>
      </c>
      <c r="BM276" s="109"/>
      <c r="BN276" s="109">
        <v>0</v>
      </c>
      <c r="BO276" s="111">
        <v>0</v>
      </c>
      <c r="BP276" s="109"/>
      <c r="BQ276" s="109">
        <v>0</v>
      </c>
      <c r="BR276" s="109">
        <v>0</v>
      </c>
      <c r="BS276" s="109"/>
      <c r="BT276" s="109">
        <v>0</v>
      </c>
      <c r="BU276" s="109">
        <v>0</v>
      </c>
      <c r="BV276" s="109"/>
      <c r="BW276" s="109">
        <v>0</v>
      </c>
      <c r="BX276" s="109">
        <v>0</v>
      </c>
      <c r="BY276" s="109"/>
      <c r="BZ276" s="109">
        <v>0</v>
      </c>
      <c r="CA276" s="109"/>
      <c r="CB276" s="109"/>
      <c r="CC276" s="109"/>
      <c r="CD276" s="110"/>
    </row>
    <row r="277" spans="1:82" s="116" customFormat="1" ht="13.9" customHeight="1" x14ac:dyDescent="0.2">
      <c r="A277" s="107">
        <v>798</v>
      </c>
      <c r="B277" s="107" t="s">
        <v>3993</v>
      </c>
      <c r="C277" s="104" t="s">
        <v>564</v>
      </c>
      <c r="D277" s="107" t="s">
        <v>81</v>
      </c>
      <c r="E277" s="99" t="s">
        <v>1631</v>
      </c>
      <c r="F277" s="100">
        <v>45686</v>
      </c>
      <c r="G277" s="100">
        <v>45686</v>
      </c>
      <c r="H277" s="101">
        <f t="shared" si="24"/>
        <v>45776</v>
      </c>
      <c r="I277" s="101" t="s">
        <v>290</v>
      </c>
      <c r="J277" s="12" t="s">
        <v>366</v>
      </c>
      <c r="K277" s="12" t="s">
        <v>1004</v>
      </c>
      <c r="L277" s="12" t="s">
        <v>1727</v>
      </c>
      <c r="M277" s="102" t="str">
        <f t="shared" si="25"/>
        <v>HERNANDEZ JIMENEZ GONZALO</v>
      </c>
      <c r="N277" s="102" t="s">
        <v>7034</v>
      </c>
      <c r="O277" s="102" t="s">
        <v>4584</v>
      </c>
      <c r="P277" s="12" t="s">
        <v>1953</v>
      </c>
      <c r="Q277" s="100">
        <v>31017</v>
      </c>
      <c r="R277" s="77">
        <f t="shared" si="26"/>
        <v>1</v>
      </c>
      <c r="S277" s="77">
        <f t="shared" si="27"/>
        <v>12</v>
      </c>
      <c r="T277" s="77">
        <f t="shared" si="28"/>
        <v>1984</v>
      </c>
      <c r="U277" s="103">
        <f t="shared" ca="1" si="29"/>
        <v>41.890410958904113</v>
      </c>
      <c r="V277" s="13" t="s">
        <v>452</v>
      </c>
      <c r="W277" s="13" t="s">
        <v>1995</v>
      </c>
      <c r="X277" s="12" t="s">
        <v>530</v>
      </c>
      <c r="Y277" s="12" t="s">
        <v>85</v>
      </c>
      <c r="Z277" s="12" t="s">
        <v>84</v>
      </c>
      <c r="AA277" s="12" t="s">
        <v>532</v>
      </c>
      <c r="AB277" s="12" t="s">
        <v>574</v>
      </c>
      <c r="AC277" s="12" t="s">
        <v>313</v>
      </c>
      <c r="AD277" s="12" t="s">
        <v>314</v>
      </c>
      <c r="AE277" s="12">
        <v>90</v>
      </c>
      <c r="AF277" s="13" t="s">
        <v>350</v>
      </c>
      <c r="AG277" s="12" t="s">
        <v>290</v>
      </c>
      <c r="AH277" s="104" t="s">
        <v>575</v>
      </c>
      <c r="AI277" s="12" t="s">
        <v>317</v>
      </c>
      <c r="AJ277" s="12" t="s">
        <v>318</v>
      </c>
      <c r="AK277" s="12">
        <v>3324445485</v>
      </c>
      <c r="AL277" s="104" t="s">
        <v>2902</v>
      </c>
      <c r="AM277" s="12" t="s">
        <v>2384</v>
      </c>
      <c r="AN277" s="12" t="s">
        <v>560</v>
      </c>
      <c r="AO277" s="12" t="s">
        <v>398</v>
      </c>
      <c r="AP277" s="12"/>
      <c r="AQ277" s="12" t="s">
        <v>3212</v>
      </c>
      <c r="AR277" s="12">
        <v>80</v>
      </c>
      <c r="AS277" s="12">
        <v>0</v>
      </c>
      <c r="AT277" s="12" t="s">
        <v>680</v>
      </c>
      <c r="AU277" s="12" t="s">
        <v>681</v>
      </c>
      <c r="AV277" s="12" t="s">
        <v>3408</v>
      </c>
      <c r="AW277" s="12" t="s">
        <v>329</v>
      </c>
      <c r="AX277" s="12">
        <v>0</v>
      </c>
      <c r="AY277" s="12" t="s">
        <v>329</v>
      </c>
      <c r="AZ277" s="12"/>
      <c r="BA277" s="12"/>
      <c r="BB277" s="12"/>
      <c r="BC277" s="12"/>
      <c r="BD277" s="12" t="s">
        <v>2384</v>
      </c>
      <c r="BE277" s="12" t="s">
        <v>560</v>
      </c>
      <c r="BF277" s="12">
        <v>3326156368</v>
      </c>
      <c r="BG277" s="12" t="s">
        <v>333</v>
      </c>
      <c r="BH277" s="12" t="s">
        <v>334</v>
      </c>
      <c r="BI277" s="12" t="s">
        <v>3831</v>
      </c>
      <c r="BJ277" s="12" t="s">
        <v>3888</v>
      </c>
      <c r="BK277" s="12" t="s">
        <v>3911</v>
      </c>
      <c r="BL277" s="105">
        <v>15</v>
      </c>
      <c r="BM277" s="12"/>
      <c r="BN277" s="12">
        <v>0</v>
      </c>
      <c r="BO277" s="105">
        <v>0</v>
      </c>
      <c r="BP277" s="12"/>
      <c r="BQ277" s="12">
        <v>0</v>
      </c>
      <c r="BR277" s="12">
        <v>0</v>
      </c>
      <c r="BS277" s="12"/>
      <c r="BT277" s="12">
        <v>0</v>
      </c>
      <c r="BU277" s="12">
        <v>0</v>
      </c>
      <c r="BV277" s="12"/>
      <c r="BW277" s="12">
        <v>0</v>
      </c>
      <c r="BX277" s="12">
        <v>0</v>
      </c>
      <c r="BY277" s="12"/>
      <c r="BZ277" s="12">
        <v>0</v>
      </c>
      <c r="CA277" s="12"/>
      <c r="CB277" s="12"/>
      <c r="CC277" s="12"/>
      <c r="CD277" s="110"/>
    </row>
    <row r="278" spans="1:82" s="116" customFormat="1" ht="13.9" customHeight="1" x14ac:dyDescent="0.2">
      <c r="A278" s="109">
        <v>802</v>
      </c>
      <c r="B278" s="109" t="s">
        <v>4001</v>
      </c>
      <c r="C278" s="115" t="s">
        <v>564</v>
      </c>
      <c r="D278" s="109" t="s">
        <v>81</v>
      </c>
      <c r="E278" s="111" t="s">
        <v>6770</v>
      </c>
      <c r="F278" s="112">
        <v>45692</v>
      </c>
      <c r="G278" s="112">
        <v>45692</v>
      </c>
      <c r="H278" s="113">
        <f t="shared" si="24"/>
        <v>45782</v>
      </c>
      <c r="I278" s="113" t="s">
        <v>290</v>
      </c>
      <c r="J278" s="109" t="s">
        <v>1307</v>
      </c>
      <c r="K278" s="109" t="s">
        <v>4453</v>
      </c>
      <c r="L278" s="109" t="s">
        <v>1728</v>
      </c>
      <c r="M278" s="128" t="str">
        <f t="shared" si="25"/>
        <v>DIAZ  OCEGUEDA IVAN RENE</v>
      </c>
      <c r="N278" s="128" t="s">
        <v>7181</v>
      </c>
      <c r="O278" s="128" t="s">
        <v>4585</v>
      </c>
      <c r="P278" s="109" t="s">
        <v>1953</v>
      </c>
      <c r="Q278" s="112">
        <v>32152</v>
      </c>
      <c r="R278" s="125">
        <f t="shared" si="26"/>
        <v>10</v>
      </c>
      <c r="S278" s="125">
        <f t="shared" si="27"/>
        <v>1</v>
      </c>
      <c r="T278" s="125">
        <f t="shared" si="28"/>
        <v>1988</v>
      </c>
      <c r="U278" s="142">
        <f t="shared" ca="1" si="29"/>
        <v>38.780821917808218</v>
      </c>
      <c r="V278" s="114" t="s">
        <v>342</v>
      </c>
      <c r="W278" s="114" t="s">
        <v>1996</v>
      </c>
      <c r="X278" s="109" t="s">
        <v>530</v>
      </c>
      <c r="Y278" s="109" t="s">
        <v>85</v>
      </c>
      <c r="Z278" s="109" t="s">
        <v>84</v>
      </c>
      <c r="AA278" s="109" t="s">
        <v>532</v>
      </c>
      <c r="AB278" s="109" t="s">
        <v>574</v>
      </c>
      <c r="AC278" s="109" t="s">
        <v>313</v>
      </c>
      <c r="AD278" s="109" t="s">
        <v>314</v>
      </c>
      <c r="AE278" s="109">
        <v>90</v>
      </c>
      <c r="AF278" s="114" t="s">
        <v>350</v>
      </c>
      <c r="AG278" s="109" t="s">
        <v>290</v>
      </c>
      <c r="AH278" s="115" t="s">
        <v>575</v>
      </c>
      <c r="AI278" s="109" t="s">
        <v>317</v>
      </c>
      <c r="AJ278" s="109" t="s">
        <v>318</v>
      </c>
      <c r="AK278" s="109">
        <v>3314824755</v>
      </c>
      <c r="AL278" s="115" t="s">
        <v>2903</v>
      </c>
      <c r="AM278" s="109" t="s">
        <v>2385</v>
      </c>
      <c r="AN278" s="109" t="s">
        <v>381</v>
      </c>
      <c r="AO278" s="109" t="s">
        <v>398</v>
      </c>
      <c r="AP278" s="109"/>
      <c r="AQ278" s="109" t="s">
        <v>3213</v>
      </c>
      <c r="AR278" s="109" t="s">
        <v>3352</v>
      </c>
      <c r="AS278" s="109">
        <v>0</v>
      </c>
      <c r="AT278" s="109" t="s">
        <v>1292</v>
      </c>
      <c r="AU278" s="109" t="s">
        <v>583</v>
      </c>
      <c r="AV278" s="109">
        <v>45680</v>
      </c>
      <c r="AW278" s="109" t="s">
        <v>329</v>
      </c>
      <c r="AX278" s="109">
        <v>0</v>
      </c>
      <c r="AY278" s="109" t="s">
        <v>329</v>
      </c>
      <c r="AZ278" s="109"/>
      <c r="BA278" s="109"/>
      <c r="BB278" s="109"/>
      <c r="BC278" s="109"/>
      <c r="BD278" s="109" t="s">
        <v>3465</v>
      </c>
      <c r="BE278" s="109" t="s">
        <v>381</v>
      </c>
      <c r="BF278" s="109">
        <v>3310986072</v>
      </c>
      <c r="BG278" s="109" t="s">
        <v>333</v>
      </c>
      <c r="BH278" s="109" t="s">
        <v>334</v>
      </c>
      <c r="BI278" s="109" t="s">
        <v>3831</v>
      </c>
      <c r="BJ278" s="109" t="s">
        <v>3888</v>
      </c>
      <c r="BK278" s="109" t="s">
        <v>3911</v>
      </c>
      <c r="BL278" s="111">
        <v>17</v>
      </c>
      <c r="BM278" s="109"/>
      <c r="BN278" s="109" t="s">
        <v>571</v>
      </c>
      <c r="BO278" s="111">
        <v>15</v>
      </c>
      <c r="BP278" s="109"/>
      <c r="BQ278" s="109" t="s">
        <v>571</v>
      </c>
      <c r="BR278" s="109">
        <v>8</v>
      </c>
      <c r="BS278" s="109"/>
      <c r="BT278" s="109">
        <v>0</v>
      </c>
      <c r="BU278" s="109">
        <v>0</v>
      </c>
      <c r="BV278" s="109"/>
      <c r="BW278" s="109">
        <v>0</v>
      </c>
      <c r="BX278" s="109">
        <v>0</v>
      </c>
      <c r="BY278" s="109"/>
      <c r="BZ278" s="109">
        <v>0</v>
      </c>
      <c r="CA278" s="109"/>
      <c r="CB278" s="109"/>
      <c r="CC278" s="109"/>
      <c r="CD278" s="110"/>
    </row>
    <row r="279" spans="1:82" ht="13.9" customHeight="1" x14ac:dyDescent="0.2">
      <c r="A279" s="12">
        <v>803</v>
      </c>
      <c r="B279" s="12" t="s">
        <v>7272</v>
      </c>
      <c r="C279" s="78" t="s">
        <v>299</v>
      </c>
      <c r="D279" s="105" t="s">
        <v>80</v>
      </c>
      <c r="E279" s="105" t="s">
        <v>6771</v>
      </c>
      <c r="F279" s="100">
        <v>45692</v>
      </c>
      <c r="G279" s="100">
        <v>45692</v>
      </c>
      <c r="H279" s="101">
        <f t="shared" si="24"/>
        <v>45782</v>
      </c>
      <c r="I279" s="101" t="s">
        <v>291</v>
      </c>
      <c r="J279" s="12" t="s">
        <v>365</v>
      </c>
      <c r="K279" s="12" t="s">
        <v>704</v>
      </c>
      <c r="L279" s="12" t="s">
        <v>1799</v>
      </c>
      <c r="M279" s="102" t="str">
        <f t="shared" si="25"/>
        <v>RODRIGUEZ  GONZALEZ EDGAR GABRIEL</v>
      </c>
      <c r="N279" s="102" t="s">
        <v>7182</v>
      </c>
      <c r="O279" s="102" t="s">
        <v>4667</v>
      </c>
      <c r="P279" s="12" t="s">
        <v>1953</v>
      </c>
      <c r="Q279" s="100">
        <v>33481</v>
      </c>
      <c r="R279" s="77">
        <f t="shared" si="26"/>
        <v>31</v>
      </c>
      <c r="S279" s="77">
        <f t="shared" si="27"/>
        <v>8</v>
      </c>
      <c r="T279" s="77">
        <f t="shared" si="28"/>
        <v>1991</v>
      </c>
      <c r="U279" s="103">
        <f t="shared" ca="1" si="29"/>
        <v>35.139726027397259</v>
      </c>
      <c r="V279" s="13" t="s">
        <v>342</v>
      </c>
      <c r="W279" s="13" t="s">
        <v>2078</v>
      </c>
      <c r="X279" s="12" t="s">
        <v>1497</v>
      </c>
      <c r="Y279" s="12" t="s">
        <v>119</v>
      </c>
      <c r="Z279" s="12" t="s">
        <v>143</v>
      </c>
      <c r="AA279" s="12" t="s">
        <v>432</v>
      </c>
      <c r="AB279" s="12" t="s">
        <v>2280</v>
      </c>
      <c r="AC279" s="12" t="s">
        <v>313</v>
      </c>
      <c r="AD279" s="12" t="s">
        <v>314</v>
      </c>
      <c r="AE279" s="12">
        <v>90</v>
      </c>
      <c r="AF279" s="13" t="s">
        <v>315</v>
      </c>
      <c r="AG279" s="12" t="s">
        <v>291</v>
      </c>
      <c r="AH279" s="104" t="s">
        <v>316</v>
      </c>
      <c r="AI279" s="12" t="s">
        <v>317</v>
      </c>
      <c r="AJ279" s="12" t="s">
        <v>318</v>
      </c>
      <c r="AK279" s="12" t="s">
        <v>2713</v>
      </c>
      <c r="AL279" s="104" t="s">
        <v>2984</v>
      </c>
      <c r="AM279" s="12" t="s">
        <v>2460</v>
      </c>
      <c r="AN279" s="12" t="s">
        <v>381</v>
      </c>
      <c r="AO279" s="12" t="s">
        <v>327</v>
      </c>
      <c r="AP279" s="12"/>
      <c r="AQ279" s="12" t="s">
        <v>3265</v>
      </c>
      <c r="AR279" s="12">
        <v>155</v>
      </c>
      <c r="AS279" s="12" t="s">
        <v>328</v>
      </c>
      <c r="AT279" s="12" t="s">
        <v>483</v>
      </c>
      <c r="AU279" s="12" t="s">
        <v>483</v>
      </c>
      <c r="AV279" s="12">
        <v>78349</v>
      </c>
      <c r="AW279" s="12" t="s">
        <v>357</v>
      </c>
      <c r="AX279" s="12" t="s">
        <v>357</v>
      </c>
      <c r="AY279" s="12" t="s">
        <v>357</v>
      </c>
      <c r="AZ279" s="12"/>
      <c r="BA279" s="12"/>
      <c r="BB279" s="12"/>
      <c r="BC279" s="12"/>
      <c r="BD279" s="12" t="s">
        <v>3495</v>
      </c>
      <c r="BE279" s="12" t="s">
        <v>325</v>
      </c>
      <c r="BF279" s="12" t="s">
        <v>3663</v>
      </c>
      <c r="BG279" s="12" t="s">
        <v>333</v>
      </c>
      <c r="BH279" s="12" t="s">
        <v>334</v>
      </c>
      <c r="BI279" s="12" t="s">
        <v>3831</v>
      </c>
      <c r="BJ279" s="12" t="s">
        <v>3888</v>
      </c>
      <c r="BK279" s="12" t="s">
        <v>3911</v>
      </c>
      <c r="BL279" s="105" t="s">
        <v>3922</v>
      </c>
      <c r="BM279" s="12"/>
      <c r="BN279" s="12">
        <v>0</v>
      </c>
      <c r="BO279" s="105">
        <v>0</v>
      </c>
      <c r="BP279" s="12"/>
      <c r="BQ279" s="12">
        <v>0</v>
      </c>
      <c r="BR279" s="12">
        <v>0</v>
      </c>
      <c r="BS279" s="12"/>
      <c r="BT279" s="12">
        <v>0</v>
      </c>
      <c r="BU279" s="12">
        <v>0</v>
      </c>
      <c r="BV279" s="12"/>
      <c r="BW279" s="12">
        <v>0</v>
      </c>
      <c r="BX279" s="12">
        <v>0</v>
      </c>
      <c r="BY279" s="12"/>
      <c r="BZ279" s="12">
        <v>0</v>
      </c>
      <c r="CA279" s="12"/>
      <c r="CB279" s="12"/>
      <c r="CC279" s="12"/>
      <c r="CD279" s="78"/>
    </row>
    <row r="280" spans="1:82" ht="13.9" customHeight="1" x14ac:dyDescent="0.2">
      <c r="A280" s="12">
        <v>804</v>
      </c>
      <c r="B280" s="12" t="s">
        <v>4200</v>
      </c>
      <c r="C280" s="78" t="s">
        <v>363</v>
      </c>
      <c r="D280" s="12" t="s">
        <v>249</v>
      </c>
      <c r="E280" s="99" t="s">
        <v>6629</v>
      </c>
      <c r="F280" s="100">
        <v>45692</v>
      </c>
      <c r="G280" s="100">
        <v>45692</v>
      </c>
      <c r="H280" s="101">
        <f t="shared" si="24"/>
        <v>45782</v>
      </c>
      <c r="I280" s="101" t="s">
        <v>290</v>
      </c>
      <c r="J280" s="12" t="s">
        <v>4344</v>
      </c>
      <c r="K280" s="12" t="s">
        <v>4440</v>
      </c>
      <c r="L280" s="12" t="s">
        <v>1764</v>
      </c>
      <c r="M280" s="102" t="str">
        <f t="shared" si="25"/>
        <v>MURILLO GUTIERREZ GILBERTO</v>
      </c>
      <c r="N280" s="102" t="s">
        <v>7035</v>
      </c>
      <c r="O280" s="102" t="s">
        <v>4624</v>
      </c>
      <c r="P280" s="12" t="s">
        <v>1953</v>
      </c>
      <c r="Q280" s="100">
        <v>34656</v>
      </c>
      <c r="R280" s="77">
        <f t="shared" si="26"/>
        <v>18</v>
      </c>
      <c r="S280" s="77">
        <f t="shared" si="27"/>
        <v>11</v>
      </c>
      <c r="T280" s="77">
        <f t="shared" si="28"/>
        <v>1994</v>
      </c>
      <c r="U280" s="103">
        <f t="shared" ca="1" si="29"/>
        <v>31.920547945205481</v>
      </c>
      <c r="V280" s="13" t="s">
        <v>452</v>
      </c>
      <c r="W280" s="13" t="s">
        <v>2036</v>
      </c>
      <c r="X280" s="12" t="s">
        <v>530</v>
      </c>
      <c r="Y280" s="107" t="s">
        <v>87</v>
      </c>
      <c r="Z280" s="12" t="s">
        <v>103</v>
      </c>
      <c r="AA280" s="12" t="s">
        <v>392</v>
      </c>
      <c r="AB280" s="12" t="s">
        <v>2285</v>
      </c>
      <c r="AC280" s="12" t="s">
        <v>313</v>
      </c>
      <c r="AD280" s="12" t="s">
        <v>314</v>
      </c>
      <c r="AE280" s="12">
        <v>90</v>
      </c>
      <c r="AF280" s="13" t="s">
        <v>375</v>
      </c>
      <c r="AG280" s="12" t="s">
        <v>290</v>
      </c>
      <c r="AH280" s="104" t="s">
        <v>473</v>
      </c>
      <c r="AI280" s="12" t="s">
        <v>317</v>
      </c>
      <c r="AJ280" s="12" t="s">
        <v>318</v>
      </c>
      <c r="AK280" s="12">
        <v>4861090480</v>
      </c>
      <c r="AL280" s="104" t="s">
        <v>2942</v>
      </c>
      <c r="AM280" s="12" t="s">
        <v>2423</v>
      </c>
      <c r="AN280" s="12" t="s">
        <v>381</v>
      </c>
      <c r="AO280" s="12" t="s">
        <v>398</v>
      </c>
      <c r="AP280" s="12"/>
      <c r="AQ280" s="12" t="s">
        <v>3240</v>
      </c>
      <c r="AR280" s="12" t="s">
        <v>880</v>
      </c>
      <c r="AS280" s="12">
        <v>0</v>
      </c>
      <c r="AT280" s="12" t="s">
        <v>3382</v>
      </c>
      <c r="AU280" s="12" t="s">
        <v>140</v>
      </c>
      <c r="AV280" s="12">
        <v>76270</v>
      </c>
      <c r="AW280" s="12" t="s">
        <v>329</v>
      </c>
      <c r="AX280" s="12">
        <v>0</v>
      </c>
      <c r="AY280" s="12" t="s">
        <v>329</v>
      </c>
      <c r="AZ280" s="12"/>
      <c r="BA280" s="12"/>
      <c r="BB280" s="12"/>
      <c r="BC280" s="12"/>
      <c r="BD280" s="12" t="s">
        <v>2423</v>
      </c>
      <c r="BE280" s="12" t="s">
        <v>381</v>
      </c>
      <c r="BF280" s="12">
        <v>4871165972</v>
      </c>
      <c r="BG280" s="12" t="s">
        <v>685</v>
      </c>
      <c r="BH280" s="12" t="s">
        <v>334</v>
      </c>
      <c r="BI280" s="12" t="s">
        <v>3831</v>
      </c>
      <c r="BJ280" s="12" t="s">
        <v>3888</v>
      </c>
      <c r="BK280" s="12" t="s">
        <v>571</v>
      </c>
      <c r="BL280" s="105">
        <v>6</v>
      </c>
      <c r="BM280" s="12"/>
      <c r="BN280" s="12" t="s">
        <v>571</v>
      </c>
      <c r="BO280" s="105">
        <v>4</v>
      </c>
      <c r="BP280" s="12"/>
      <c r="BQ280" s="12">
        <v>0</v>
      </c>
      <c r="BR280" s="12">
        <v>0</v>
      </c>
      <c r="BS280" s="12"/>
      <c r="BT280" s="12">
        <v>0</v>
      </c>
      <c r="BU280" s="12">
        <v>0</v>
      </c>
      <c r="BV280" s="12"/>
      <c r="BW280" s="12">
        <v>0</v>
      </c>
      <c r="BX280" s="12">
        <v>0</v>
      </c>
      <c r="BY280" s="12"/>
      <c r="BZ280" s="12">
        <v>0</v>
      </c>
      <c r="CA280" s="12"/>
      <c r="CB280" s="12"/>
      <c r="CC280" s="12"/>
      <c r="CD280" s="78"/>
    </row>
    <row r="281" spans="1:82" s="116" customFormat="1" ht="13.9" customHeight="1" x14ac:dyDescent="0.2">
      <c r="A281" s="12">
        <v>807</v>
      </c>
      <c r="B281" s="12" t="s">
        <v>4201</v>
      </c>
      <c r="C281" s="78" t="s">
        <v>363</v>
      </c>
      <c r="D281" s="12" t="s">
        <v>249</v>
      </c>
      <c r="E281" s="99" t="s">
        <v>6772</v>
      </c>
      <c r="F281" s="100">
        <v>45698</v>
      </c>
      <c r="G281" s="100">
        <v>45698</v>
      </c>
      <c r="H281" s="101">
        <f t="shared" si="24"/>
        <v>45788</v>
      </c>
      <c r="I281" s="101" t="s">
        <v>290</v>
      </c>
      <c r="J281" s="12" t="s">
        <v>960</v>
      </c>
      <c r="K281" s="12" t="s">
        <v>4470</v>
      </c>
      <c r="L281" s="12" t="s">
        <v>1765</v>
      </c>
      <c r="M281" s="102" t="str">
        <f t="shared" si="25"/>
        <v>TORRES CASTRO  REGINO</v>
      </c>
      <c r="N281" s="102" t="s">
        <v>7183</v>
      </c>
      <c r="O281" s="102" t="s">
        <v>4625</v>
      </c>
      <c r="P281" s="12" t="s">
        <v>1953</v>
      </c>
      <c r="Q281" s="100">
        <v>31297</v>
      </c>
      <c r="R281" s="77">
        <f t="shared" si="26"/>
        <v>7</v>
      </c>
      <c r="S281" s="77">
        <f t="shared" si="27"/>
        <v>9</v>
      </c>
      <c r="T281" s="77">
        <f t="shared" si="28"/>
        <v>1985</v>
      </c>
      <c r="U281" s="103">
        <f t="shared" ca="1" si="29"/>
        <v>41.123287671232873</v>
      </c>
      <c r="V281" s="13" t="s">
        <v>814</v>
      </c>
      <c r="W281" s="13" t="s">
        <v>2037</v>
      </c>
      <c r="X281" s="12" t="s">
        <v>530</v>
      </c>
      <c r="Y281" s="107" t="s">
        <v>87</v>
      </c>
      <c r="Z281" s="12" t="s">
        <v>103</v>
      </c>
      <c r="AA281" s="12" t="s">
        <v>392</v>
      </c>
      <c r="AB281" s="12" t="s">
        <v>2285</v>
      </c>
      <c r="AC281" s="12" t="s">
        <v>313</v>
      </c>
      <c r="AD281" s="12" t="s">
        <v>314</v>
      </c>
      <c r="AE281" s="12">
        <v>90</v>
      </c>
      <c r="AF281" s="13" t="s">
        <v>375</v>
      </c>
      <c r="AG281" s="12" t="s">
        <v>290</v>
      </c>
      <c r="AH281" s="104" t="s">
        <v>473</v>
      </c>
      <c r="AI281" s="12" t="s">
        <v>317</v>
      </c>
      <c r="AJ281" s="12" t="s">
        <v>318</v>
      </c>
      <c r="AK281" s="12" t="s">
        <v>2684</v>
      </c>
      <c r="AL281" s="104" t="s">
        <v>2943</v>
      </c>
      <c r="AM281" s="12" t="s">
        <v>2424</v>
      </c>
      <c r="AN281" s="12" t="s">
        <v>401</v>
      </c>
      <c r="AO281" s="12" t="s">
        <v>398</v>
      </c>
      <c r="AP281" s="12"/>
      <c r="AQ281" s="12" t="s">
        <v>3241</v>
      </c>
      <c r="AR281" s="12" t="s">
        <v>3355</v>
      </c>
      <c r="AS281" s="12">
        <v>0</v>
      </c>
      <c r="AT281" s="12" t="s">
        <v>133</v>
      </c>
      <c r="AU281" s="12" t="s">
        <v>912</v>
      </c>
      <c r="AV281" s="12">
        <v>64410</v>
      </c>
      <c r="AW281" s="12" t="s">
        <v>329</v>
      </c>
      <c r="AX281" s="12">
        <v>0</v>
      </c>
      <c r="AY281" s="12" t="s">
        <v>329</v>
      </c>
      <c r="AZ281" s="12"/>
      <c r="BA281" s="12"/>
      <c r="BB281" s="12"/>
      <c r="BC281" s="12"/>
      <c r="BD281" s="12" t="s">
        <v>2424</v>
      </c>
      <c r="BE281" s="12" t="s">
        <v>401</v>
      </c>
      <c r="BF281" s="12">
        <v>4861212947</v>
      </c>
      <c r="BG281" s="12" t="s">
        <v>488</v>
      </c>
      <c r="BH281" s="12" t="s">
        <v>334</v>
      </c>
      <c r="BI281" s="12" t="s">
        <v>3831</v>
      </c>
      <c r="BJ281" s="12" t="s">
        <v>3888</v>
      </c>
      <c r="BK281" s="12" t="s">
        <v>571</v>
      </c>
      <c r="BL281" s="105">
        <v>10</v>
      </c>
      <c r="BM281" s="12"/>
      <c r="BN281" s="12" t="s">
        <v>571</v>
      </c>
      <c r="BO281" s="105">
        <v>5</v>
      </c>
      <c r="BP281" s="12"/>
      <c r="BQ281" s="12">
        <v>0</v>
      </c>
      <c r="BR281" s="12">
        <v>0</v>
      </c>
      <c r="BS281" s="12"/>
      <c r="BT281" s="12">
        <v>0</v>
      </c>
      <c r="BU281" s="12">
        <v>0</v>
      </c>
      <c r="BV281" s="12"/>
      <c r="BW281" s="12">
        <v>0</v>
      </c>
      <c r="BX281" s="12">
        <v>0</v>
      </c>
      <c r="BY281" s="12"/>
      <c r="BZ281" s="12">
        <v>0</v>
      </c>
      <c r="CA281" s="12"/>
      <c r="CB281" s="12"/>
      <c r="CC281" s="12"/>
      <c r="CD281" s="110"/>
    </row>
    <row r="282" spans="1:82" s="116" customFormat="1" ht="13.9" customHeight="1" x14ac:dyDescent="0.2">
      <c r="A282" s="109">
        <v>808</v>
      </c>
      <c r="B282" s="109" t="s">
        <v>4202</v>
      </c>
      <c r="C282" s="110" t="s">
        <v>363</v>
      </c>
      <c r="D282" s="109" t="s">
        <v>249</v>
      </c>
      <c r="E282" s="111" t="s">
        <v>6630</v>
      </c>
      <c r="F282" s="112">
        <v>45698</v>
      </c>
      <c r="G282" s="112">
        <v>45698</v>
      </c>
      <c r="H282" s="113">
        <f t="shared" si="24"/>
        <v>45788</v>
      </c>
      <c r="I282" s="113" t="s">
        <v>290</v>
      </c>
      <c r="J282" s="109" t="s">
        <v>1079</v>
      </c>
      <c r="K282" s="109" t="s">
        <v>366</v>
      </c>
      <c r="L282" s="109" t="s">
        <v>1766</v>
      </c>
      <c r="M282" s="128" t="str">
        <f t="shared" si="25"/>
        <v>CASTILLO HERNANDEZ JOSE ISIDRO</v>
      </c>
      <c r="N282" s="128" t="s">
        <v>7036</v>
      </c>
      <c r="O282" s="128" t="s">
        <v>4626</v>
      </c>
      <c r="P282" s="109" t="s">
        <v>1953</v>
      </c>
      <c r="Q282" s="112">
        <v>35136</v>
      </c>
      <c r="R282" s="125">
        <f t="shared" si="26"/>
        <v>12</v>
      </c>
      <c r="S282" s="125">
        <f t="shared" si="27"/>
        <v>3</v>
      </c>
      <c r="T282" s="125">
        <f t="shared" si="28"/>
        <v>1996</v>
      </c>
      <c r="U282" s="142">
        <f t="shared" ca="1" si="29"/>
        <v>30.605479452054794</v>
      </c>
      <c r="V282" s="114" t="s">
        <v>342</v>
      </c>
      <c r="W282" s="114" t="s">
        <v>2038</v>
      </c>
      <c r="X282" s="109" t="s">
        <v>530</v>
      </c>
      <c r="Y282" s="109" t="s">
        <v>94</v>
      </c>
      <c r="Z282" s="109" t="s">
        <v>104</v>
      </c>
      <c r="AA282" s="109" t="s">
        <v>392</v>
      </c>
      <c r="AB282" s="109" t="s">
        <v>2285</v>
      </c>
      <c r="AC282" s="109" t="s">
        <v>313</v>
      </c>
      <c r="AD282" s="109" t="s">
        <v>314</v>
      </c>
      <c r="AE282" s="109">
        <v>90</v>
      </c>
      <c r="AF282" s="114" t="s">
        <v>375</v>
      </c>
      <c r="AG282" s="109" t="s">
        <v>290</v>
      </c>
      <c r="AH282" s="115" t="s">
        <v>473</v>
      </c>
      <c r="AI282" s="109" t="s">
        <v>317</v>
      </c>
      <c r="AJ282" s="109" t="s">
        <v>318</v>
      </c>
      <c r="AK282" s="109" t="s">
        <v>2685</v>
      </c>
      <c r="AL282" s="115" t="s">
        <v>2944</v>
      </c>
      <c r="AM282" s="109" t="s">
        <v>2425</v>
      </c>
      <c r="AN282" s="109" t="s">
        <v>776</v>
      </c>
      <c r="AO282" s="109" t="s">
        <v>398</v>
      </c>
      <c r="AP282" s="109"/>
      <c r="AQ282" s="109" t="s">
        <v>3242</v>
      </c>
      <c r="AR282" s="109" t="s">
        <v>3356</v>
      </c>
      <c r="AS282" s="109">
        <v>0</v>
      </c>
      <c r="AT282" s="109" t="s">
        <v>249</v>
      </c>
      <c r="AU282" s="109" t="s">
        <v>3400</v>
      </c>
      <c r="AV282" s="109">
        <v>79402</v>
      </c>
      <c r="AW282" s="109" t="s">
        <v>329</v>
      </c>
      <c r="AX282" s="109">
        <v>0</v>
      </c>
      <c r="AY282" s="109" t="s">
        <v>329</v>
      </c>
      <c r="AZ282" s="109"/>
      <c r="BA282" s="109"/>
      <c r="BB282" s="109"/>
      <c r="BC282" s="109"/>
      <c r="BD282" s="109" t="s">
        <v>2425</v>
      </c>
      <c r="BE282" s="109" t="s">
        <v>776</v>
      </c>
      <c r="BF282" s="109" t="s">
        <v>3633</v>
      </c>
      <c r="BG282" s="109" t="s">
        <v>685</v>
      </c>
      <c r="BH282" s="109" t="s">
        <v>334</v>
      </c>
      <c r="BI282" s="109" t="s">
        <v>3831</v>
      </c>
      <c r="BJ282" s="109" t="s">
        <v>3888</v>
      </c>
      <c r="BK282" s="109" t="s">
        <v>571</v>
      </c>
      <c r="BL282" s="111">
        <v>8</v>
      </c>
      <c r="BM282" s="109"/>
      <c r="BN282" s="109">
        <v>0</v>
      </c>
      <c r="BO282" s="111">
        <v>0</v>
      </c>
      <c r="BP282" s="109"/>
      <c r="BQ282" s="109">
        <v>0</v>
      </c>
      <c r="BR282" s="109">
        <v>0</v>
      </c>
      <c r="BS282" s="109"/>
      <c r="BT282" s="109">
        <v>0</v>
      </c>
      <c r="BU282" s="109">
        <v>0</v>
      </c>
      <c r="BV282" s="109"/>
      <c r="BW282" s="109">
        <v>0</v>
      </c>
      <c r="BX282" s="109">
        <v>0</v>
      </c>
      <c r="BY282" s="109"/>
      <c r="BZ282" s="109">
        <v>0</v>
      </c>
      <c r="CA282" s="109"/>
      <c r="CB282" s="109"/>
      <c r="CC282" s="109"/>
      <c r="CD282" s="110"/>
    </row>
    <row r="283" spans="1:82" ht="13.9" customHeight="1" x14ac:dyDescent="0.2">
      <c r="A283" s="12">
        <v>809</v>
      </c>
      <c r="B283" s="12" t="s">
        <v>4203</v>
      </c>
      <c r="C283" s="78" t="s">
        <v>363</v>
      </c>
      <c r="D283" s="12" t="s">
        <v>249</v>
      </c>
      <c r="E283" s="99" t="s">
        <v>6631</v>
      </c>
      <c r="F283" s="100">
        <v>45698</v>
      </c>
      <c r="G283" s="100">
        <v>45698</v>
      </c>
      <c r="H283" s="101">
        <f t="shared" si="24"/>
        <v>45788</v>
      </c>
      <c r="I283" s="101" t="s">
        <v>290</v>
      </c>
      <c r="J283" s="12" t="s">
        <v>4345</v>
      </c>
      <c r="K283" s="12" t="s">
        <v>447</v>
      </c>
      <c r="L283" s="12" t="s">
        <v>706</v>
      </c>
      <c r="M283" s="102" t="str">
        <f t="shared" si="25"/>
        <v>ALMAZAN GARCIA MIGUEL ANGEL</v>
      </c>
      <c r="N283" s="102" t="s">
        <v>7037</v>
      </c>
      <c r="O283" s="102" t="s">
        <v>4627</v>
      </c>
      <c r="P283" s="12" t="s">
        <v>1953</v>
      </c>
      <c r="Q283" s="100">
        <v>33649</v>
      </c>
      <c r="R283" s="77">
        <f t="shared" si="26"/>
        <v>15</v>
      </c>
      <c r="S283" s="77">
        <f t="shared" si="27"/>
        <v>2</v>
      </c>
      <c r="T283" s="77">
        <f t="shared" si="28"/>
        <v>1992</v>
      </c>
      <c r="U283" s="103">
        <f t="shared" ca="1" si="29"/>
        <v>34.679452054794524</v>
      </c>
      <c r="V283" s="13" t="s">
        <v>342</v>
      </c>
      <c r="W283" s="13" t="s">
        <v>2039</v>
      </c>
      <c r="X283" s="12" t="s">
        <v>454</v>
      </c>
      <c r="Y283" s="107" t="s">
        <v>87</v>
      </c>
      <c r="Z283" s="12" t="s">
        <v>103</v>
      </c>
      <c r="AA283" s="12" t="s">
        <v>392</v>
      </c>
      <c r="AB283" s="12" t="s">
        <v>2285</v>
      </c>
      <c r="AC283" s="12" t="s">
        <v>313</v>
      </c>
      <c r="AD283" s="12" t="s">
        <v>314</v>
      </c>
      <c r="AE283" s="12">
        <v>90</v>
      </c>
      <c r="AF283" s="13" t="s">
        <v>375</v>
      </c>
      <c r="AG283" s="12" t="s">
        <v>290</v>
      </c>
      <c r="AH283" s="104" t="s">
        <v>473</v>
      </c>
      <c r="AI283" s="12" t="s">
        <v>317</v>
      </c>
      <c r="AJ283" s="12" t="s">
        <v>318</v>
      </c>
      <c r="AK283" s="12">
        <v>4861100226</v>
      </c>
      <c r="AL283" s="104" t="s">
        <v>2945</v>
      </c>
      <c r="AM283" s="12" t="s">
        <v>2426</v>
      </c>
      <c r="AN283" s="12" t="s">
        <v>381</v>
      </c>
      <c r="AO283" s="12" t="s">
        <v>398</v>
      </c>
      <c r="AP283" s="12"/>
      <c r="AQ283" s="12" t="s">
        <v>3243</v>
      </c>
      <c r="AR283" s="12">
        <v>6</v>
      </c>
      <c r="AS283" s="12">
        <v>0</v>
      </c>
      <c r="AT283" s="12" t="s">
        <v>249</v>
      </c>
      <c r="AU283" s="12" t="s">
        <v>3400</v>
      </c>
      <c r="AV283" s="12">
        <v>79440</v>
      </c>
      <c r="AW283" s="12" t="s">
        <v>329</v>
      </c>
      <c r="AX283" s="12">
        <v>0</v>
      </c>
      <c r="AY283" s="12" t="s">
        <v>329</v>
      </c>
      <c r="AZ283" s="12"/>
      <c r="BA283" s="12"/>
      <c r="BB283" s="12"/>
      <c r="BC283" s="12"/>
      <c r="BD283" s="12" t="s">
        <v>3477</v>
      </c>
      <c r="BE283" s="12" t="s">
        <v>381</v>
      </c>
      <c r="BF283" s="12">
        <v>4861021700</v>
      </c>
      <c r="BG283" s="12" t="s">
        <v>685</v>
      </c>
      <c r="BH283" s="12" t="s">
        <v>334</v>
      </c>
      <c r="BI283" s="12" t="s">
        <v>3831</v>
      </c>
      <c r="BJ283" s="12" t="s">
        <v>3888</v>
      </c>
      <c r="BK283" s="12" t="s">
        <v>3911</v>
      </c>
      <c r="BL283" s="105">
        <v>1</v>
      </c>
      <c r="BM283" s="12"/>
      <c r="BN283" s="12" t="s">
        <v>3911</v>
      </c>
      <c r="BO283" s="105">
        <v>13</v>
      </c>
      <c r="BP283" s="12"/>
      <c r="BQ283" s="12" t="s">
        <v>571</v>
      </c>
      <c r="BR283" s="12">
        <v>17</v>
      </c>
      <c r="BS283" s="12"/>
      <c r="BT283" s="12">
        <v>0</v>
      </c>
      <c r="BU283" s="12">
        <v>0</v>
      </c>
      <c r="BV283" s="12"/>
      <c r="BW283" s="12">
        <v>0</v>
      </c>
      <c r="BX283" s="12">
        <v>0</v>
      </c>
      <c r="BY283" s="12"/>
      <c r="BZ283" s="12">
        <v>0</v>
      </c>
      <c r="CA283" s="12"/>
      <c r="CB283" s="12"/>
      <c r="CC283" s="12"/>
      <c r="CD283" s="78"/>
    </row>
    <row r="284" spans="1:82" s="116" customFormat="1" ht="13.9" customHeight="1" x14ac:dyDescent="0.2">
      <c r="A284" s="109">
        <v>811</v>
      </c>
      <c r="B284" s="109" t="s">
        <v>4017</v>
      </c>
      <c r="C284" s="110" t="s">
        <v>335</v>
      </c>
      <c r="D284" s="111" t="s">
        <v>116</v>
      </c>
      <c r="E284" s="111" t="s">
        <v>4891</v>
      </c>
      <c r="F284" s="112">
        <v>45705</v>
      </c>
      <c r="G284" s="112">
        <v>45705</v>
      </c>
      <c r="H284" s="113">
        <f t="shared" si="24"/>
        <v>45795</v>
      </c>
      <c r="I284" s="113" t="s">
        <v>290</v>
      </c>
      <c r="J284" s="109" t="s">
        <v>523</v>
      </c>
      <c r="K284" s="109" t="s">
        <v>337</v>
      </c>
      <c r="L284" s="109" t="s">
        <v>4892</v>
      </c>
      <c r="M284" s="128" t="str">
        <f t="shared" si="25"/>
        <v>VELAZQUEZ  FLORES VICTOR MANUEL</v>
      </c>
      <c r="N284" s="128" t="s">
        <v>7184</v>
      </c>
      <c r="O284" s="128" t="s">
        <v>4893</v>
      </c>
      <c r="P284" s="109" t="s">
        <v>1953</v>
      </c>
      <c r="Q284" s="112">
        <v>31631</v>
      </c>
      <c r="R284" s="125">
        <f t="shared" si="26"/>
        <v>7</v>
      </c>
      <c r="S284" s="125">
        <f t="shared" si="27"/>
        <v>8</v>
      </c>
      <c r="T284" s="125">
        <f t="shared" si="28"/>
        <v>1986</v>
      </c>
      <c r="U284" s="142">
        <f t="shared" ca="1" si="29"/>
        <v>40.208219178082189</v>
      </c>
      <c r="V284" s="114" t="s">
        <v>452</v>
      </c>
      <c r="W284" s="114" t="s">
        <v>4894</v>
      </c>
      <c r="X284" s="109" t="s">
        <v>454</v>
      </c>
      <c r="Y284" s="109" t="s">
        <v>115</v>
      </c>
      <c r="Z284" s="109" t="s">
        <v>346</v>
      </c>
      <c r="AA284" s="109" t="s">
        <v>347</v>
      </c>
      <c r="AB284" s="109" t="s">
        <v>348</v>
      </c>
      <c r="AC284" s="109" t="s">
        <v>313</v>
      </c>
      <c r="AD284" s="109" t="s">
        <v>314</v>
      </c>
      <c r="AE284" s="109">
        <v>90</v>
      </c>
      <c r="AF284" s="114" t="s">
        <v>350</v>
      </c>
      <c r="AG284" s="109" t="s">
        <v>290</v>
      </c>
      <c r="AH284" s="115" t="s">
        <v>351</v>
      </c>
      <c r="AI284" s="109" t="s">
        <v>317</v>
      </c>
      <c r="AJ284" s="109" t="s">
        <v>318</v>
      </c>
      <c r="AK284" s="109">
        <v>3332579344</v>
      </c>
      <c r="AL284" s="115" t="s">
        <v>4895</v>
      </c>
      <c r="AM284" s="109" t="s">
        <v>4896</v>
      </c>
      <c r="AN284" s="109" t="s">
        <v>602</v>
      </c>
      <c r="AO284" s="109" t="s">
        <v>398</v>
      </c>
      <c r="AP284" s="109"/>
      <c r="AQ284" s="109" t="s">
        <v>4897</v>
      </c>
      <c r="AR284" s="109">
        <v>424</v>
      </c>
      <c r="AS284" s="109"/>
      <c r="AT284" s="109" t="s">
        <v>805</v>
      </c>
      <c r="AU284" s="109" t="s">
        <v>583</v>
      </c>
      <c r="AV284" s="109">
        <v>44756</v>
      </c>
      <c r="AW284" s="109" t="s">
        <v>329</v>
      </c>
      <c r="AX284" s="109"/>
      <c r="AY284" s="109" t="s">
        <v>329</v>
      </c>
      <c r="AZ284" s="109"/>
      <c r="BA284" s="109"/>
      <c r="BB284" s="109"/>
      <c r="BC284" s="109"/>
      <c r="BD284" s="109" t="s">
        <v>4896</v>
      </c>
      <c r="BE284" s="109" t="s">
        <v>381</v>
      </c>
      <c r="BF284" s="109">
        <v>3310706816</v>
      </c>
      <c r="BG284" s="109" t="s">
        <v>333</v>
      </c>
      <c r="BH284" s="109" t="s">
        <v>334</v>
      </c>
      <c r="BI284" s="109" t="s">
        <v>3831</v>
      </c>
      <c r="BJ284" s="109" t="s">
        <v>3888</v>
      </c>
      <c r="BK284" s="109" t="s">
        <v>3911</v>
      </c>
      <c r="BL284" s="111">
        <v>6</v>
      </c>
      <c r="BM284" s="109"/>
      <c r="BN284" s="109"/>
      <c r="BO284" s="111"/>
      <c r="BP284" s="109"/>
      <c r="BQ284" s="109"/>
      <c r="BR284" s="109"/>
      <c r="BS284" s="109"/>
      <c r="BT284" s="109"/>
      <c r="BU284" s="109"/>
      <c r="BV284" s="109"/>
      <c r="BW284" s="109"/>
      <c r="BX284" s="109"/>
      <c r="BY284" s="109"/>
      <c r="BZ284" s="109"/>
      <c r="CA284" s="109"/>
      <c r="CB284" s="109"/>
      <c r="CC284" s="109"/>
      <c r="CD284" s="110"/>
    </row>
    <row r="285" spans="1:82" s="116" customFormat="1" ht="13.9" customHeight="1" x14ac:dyDescent="0.2">
      <c r="A285" s="109">
        <v>813</v>
      </c>
      <c r="B285" s="109" t="s">
        <v>4070</v>
      </c>
      <c r="C285" s="110" t="s">
        <v>335</v>
      </c>
      <c r="D285" s="111" t="s">
        <v>133</v>
      </c>
      <c r="E285" s="111" t="s">
        <v>6773</v>
      </c>
      <c r="F285" s="112">
        <v>45707</v>
      </c>
      <c r="G285" s="112">
        <v>45707</v>
      </c>
      <c r="H285" s="113">
        <f t="shared" si="24"/>
        <v>45797</v>
      </c>
      <c r="I285" s="113" t="s">
        <v>290</v>
      </c>
      <c r="J285" s="109" t="s">
        <v>4360</v>
      </c>
      <c r="K285" s="109" t="s">
        <v>4483</v>
      </c>
      <c r="L285" s="109" t="s">
        <v>1738</v>
      </c>
      <c r="M285" s="128" t="str">
        <f t="shared" si="25"/>
        <v>PEREZ  LORENZO  ROMAN</v>
      </c>
      <c r="N285" s="128" t="s">
        <v>7185</v>
      </c>
      <c r="O285" s="128" t="s">
        <v>4660</v>
      </c>
      <c r="P285" s="109" t="s">
        <v>1953</v>
      </c>
      <c r="Q285" s="112">
        <v>38178</v>
      </c>
      <c r="R285" s="125">
        <f t="shared" si="26"/>
        <v>10</v>
      </c>
      <c r="S285" s="125">
        <f t="shared" si="27"/>
        <v>7</v>
      </c>
      <c r="T285" s="125">
        <f t="shared" si="28"/>
        <v>2004</v>
      </c>
      <c r="U285" s="142">
        <f t="shared" ca="1" si="29"/>
        <v>22.271232876712329</v>
      </c>
      <c r="V285" s="114">
        <v>0</v>
      </c>
      <c r="W285" s="114" t="s">
        <v>2072</v>
      </c>
      <c r="X285" s="109" t="s">
        <v>693</v>
      </c>
      <c r="Y285" s="109" t="s">
        <v>139</v>
      </c>
      <c r="Z285" s="109" t="s">
        <v>136</v>
      </c>
      <c r="AA285" s="109" t="s">
        <v>347</v>
      </c>
      <c r="AB285" s="109" t="s">
        <v>670</v>
      </c>
      <c r="AC285" s="109" t="s">
        <v>313</v>
      </c>
      <c r="AD285" s="109" t="s">
        <v>314</v>
      </c>
      <c r="AE285" s="109">
        <v>90</v>
      </c>
      <c r="AF285" s="114" t="s">
        <v>671</v>
      </c>
      <c r="AG285" s="109" t="s">
        <v>290</v>
      </c>
      <c r="AH285" s="115" t="s">
        <v>672</v>
      </c>
      <c r="AI285" s="109" t="s">
        <v>317</v>
      </c>
      <c r="AJ285" s="109" t="s">
        <v>318</v>
      </c>
      <c r="AK285" s="109">
        <v>8125970198</v>
      </c>
      <c r="AL285" s="115" t="s">
        <v>2978</v>
      </c>
      <c r="AM285" s="109" t="s">
        <v>2453</v>
      </c>
      <c r="AN285" s="109" t="s">
        <v>325</v>
      </c>
      <c r="AO285" s="109" t="s">
        <v>398</v>
      </c>
      <c r="AP285" s="109"/>
      <c r="AQ285" s="109" t="s">
        <v>3258</v>
      </c>
      <c r="AR285" s="109">
        <v>474</v>
      </c>
      <c r="AS285" s="109">
        <v>0</v>
      </c>
      <c r="AT285" s="109" t="s">
        <v>3389</v>
      </c>
      <c r="AU285" s="109" t="s">
        <v>912</v>
      </c>
      <c r="AV285" s="109">
        <v>65515</v>
      </c>
      <c r="AW285" s="109" t="s">
        <v>329</v>
      </c>
      <c r="AX285" s="109">
        <v>0</v>
      </c>
      <c r="AY285" s="109" t="s">
        <v>329</v>
      </c>
      <c r="AZ285" s="109"/>
      <c r="BA285" s="109"/>
      <c r="BB285" s="109"/>
      <c r="BC285" s="109"/>
      <c r="BD285" s="109" t="s">
        <v>2453</v>
      </c>
      <c r="BE285" s="109" t="s">
        <v>325</v>
      </c>
      <c r="BF285" s="109">
        <v>8135815425</v>
      </c>
      <c r="BG285" s="109">
        <v>0</v>
      </c>
      <c r="BH285" s="109" t="s">
        <v>334</v>
      </c>
      <c r="BI285" s="109" t="s">
        <v>3831</v>
      </c>
      <c r="BJ285" s="109" t="s">
        <v>3831</v>
      </c>
      <c r="BK285" s="109"/>
      <c r="BL285" s="111"/>
      <c r="BM285" s="109"/>
      <c r="BN285" s="109"/>
      <c r="BO285" s="111"/>
      <c r="BP285" s="109"/>
      <c r="BQ285" s="109"/>
      <c r="BR285" s="109"/>
      <c r="BS285" s="109"/>
      <c r="BT285" s="109"/>
      <c r="BU285" s="109"/>
      <c r="BV285" s="109"/>
      <c r="BW285" s="109"/>
      <c r="BX285" s="109"/>
      <c r="BY285" s="109"/>
      <c r="BZ285" s="109"/>
      <c r="CA285" s="109"/>
      <c r="CB285" s="109"/>
      <c r="CC285" s="109"/>
      <c r="CD285" s="110"/>
    </row>
    <row r="286" spans="1:82" s="116" customFormat="1" ht="13.9" customHeight="1" x14ac:dyDescent="0.2">
      <c r="A286" s="109">
        <v>817</v>
      </c>
      <c r="B286" s="109" t="s">
        <v>4197</v>
      </c>
      <c r="C286" s="110" t="s">
        <v>363</v>
      </c>
      <c r="D286" s="109" t="s">
        <v>98</v>
      </c>
      <c r="E286" s="111" t="s">
        <v>6632</v>
      </c>
      <c r="F286" s="112">
        <v>45709</v>
      </c>
      <c r="G286" s="112">
        <v>45709</v>
      </c>
      <c r="H286" s="113">
        <f t="shared" si="24"/>
        <v>45799</v>
      </c>
      <c r="I286" s="113" t="s">
        <v>290</v>
      </c>
      <c r="J286" s="109" t="s">
        <v>4342</v>
      </c>
      <c r="K286" s="109" t="s">
        <v>4468</v>
      </c>
      <c r="L286" s="109" t="s">
        <v>1762</v>
      </c>
      <c r="M286" s="128" t="str">
        <f t="shared" si="25"/>
        <v>CAAMARGO SOTELO JOSE JUAN</v>
      </c>
      <c r="N286" s="128" t="s">
        <v>7038</v>
      </c>
      <c r="O286" s="128" t="s">
        <v>4622</v>
      </c>
      <c r="P286" s="109" t="s">
        <v>1953</v>
      </c>
      <c r="Q286" s="112">
        <v>27225</v>
      </c>
      <c r="R286" s="125">
        <f t="shared" si="26"/>
        <v>15</v>
      </c>
      <c r="S286" s="125">
        <f t="shared" si="27"/>
        <v>7</v>
      </c>
      <c r="T286" s="125">
        <f t="shared" si="28"/>
        <v>1974</v>
      </c>
      <c r="U286" s="142">
        <f t="shared" ca="1" si="29"/>
        <v>52.279452054794518</v>
      </c>
      <c r="V286" s="114" t="s">
        <v>342</v>
      </c>
      <c r="W286" s="114" t="s">
        <v>2033</v>
      </c>
      <c r="X286" s="109" t="s">
        <v>454</v>
      </c>
      <c r="Y286" s="109" t="s">
        <v>101</v>
      </c>
      <c r="Z286" s="109" t="s">
        <v>99</v>
      </c>
      <c r="AA286" s="109" t="s">
        <v>392</v>
      </c>
      <c r="AB286" s="109" t="s">
        <v>596</v>
      </c>
      <c r="AC286" s="109" t="s">
        <v>313</v>
      </c>
      <c r="AD286" s="109" t="s">
        <v>314</v>
      </c>
      <c r="AE286" s="109">
        <v>90</v>
      </c>
      <c r="AF286" s="114" t="s">
        <v>597</v>
      </c>
      <c r="AG286" s="109" t="s">
        <v>290</v>
      </c>
      <c r="AH286" s="115" t="s">
        <v>598</v>
      </c>
      <c r="AI286" s="109" t="s">
        <v>317</v>
      </c>
      <c r="AJ286" s="109" t="s">
        <v>318</v>
      </c>
      <c r="AK286" s="109">
        <v>3321661528</v>
      </c>
      <c r="AL286" s="115" t="s">
        <v>2939</v>
      </c>
      <c r="AM286" s="109" t="s">
        <v>2421</v>
      </c>
      <c r="AN286" s="109" t="s">
        <v>381</v>
      </c>
      <c r="AO286" s="109" t="s">
        <v>398</v>
      </c>
      <c r="AP286" s="109"/>
      <c r="AQ286" s="109" t="s">
        <v>3237</v>
      </c>
      <c r="AR286" s="109">
        <v>395</v>
      </c>
      <c r="AS286" s="109">
        <v>0</v>
      </c>
      <c r="AT286" s="109" t="s">
        <v>3381</v>
      </c>
      <c r="AU286" s="109" t="s">
        <v>939</v>
      </c>
      <c r="AV286" s="109">
        <v>58280</v>
      </c>
      <c r="AW286" s="109" t="s">
        <v>329</v>
      </c>
      <c r="AX286" s="109">
        <v>0</v>
      </c>
      <c r="AY286" s="109" t="s">
        <v>329</v>
      </c>
      <c r="AZ286" s="109"/>
      <c r="BA286" s="109"/>
      <c r="BB286" s="109"/>
      <c r="BC286" s="109"/>
      <c r="BD286" s="109" t="s">
        <v>2421</v>
      </c>
      <c r="BE286" s="109" t="s">
        <v>381</v>
      </c>
      <c r="BF286" s="109">
        <v>3326372832</v>
      </c>
      <c r="BG286" s="109" t="s">
        <v>488</v>
      </c>
      <c r="BH286" s="109" t="s">
        <v>334</v>
      </c>
      <c r="BI286" s="109" t="s">
        <v>3831</v>
      </c>
      <c r="BJ286" s="109" t="s">
        <v>3888</v>
      </c>
      <c r="BK286" s="109" t="s">
        <v>3911</v>
      </c>
      <c r="BL286" s="111">
        <v>34</v>
      </c>
      <c r="BM286" s="109"/>
      <c r="BN286" s="109" t="s">
        <v>571</v>
      </c>
      <c r="BO286" s="111">
        <v>33</v>
      </c>
      <c r="BP286" s="109"/>
      <c r="BQ286" s="109" t="s">
        <v>3911</v>
      </c>
      <c r="BR286" s="109">
        <v>25</v>
      </c>
      <c r="BS286" s="109"/>
      <c r="BT286" s="109" t="s">
        <v>571</v>
      </c>
      <c r="BU286" s="109"/>
      <c r="BV286" s="109"/>
      <c r="BW286" s="109" t="s">
        <v>571</v>
      </c>
      <c r="BX286" s="109">
        <v>20</v>
      </c>
      <c r="BY286" s="109"/>
      <c r="BZ286" s="109"/>
      <c r="CA286" s="109"/>
      <c r="CB286" s="109"/>
      <c r="CC286" s="109"/>
      <c r="CD286" s="110"/>
    </row>
    <row r="287" spans="1:82" s="116" customFormat="1" ht="13.9" customHeight="1" x14ac:dyDescent="0.2">
      <c r="A287" s="109">
        <v>818</v>
      </c>
      <c r="B287" s="109" t="s">
        <v>4002</v>
      </c>
      <c r="C287" s="115" t="s">
        <v>564</v>
      </c>
      <c r="D287" s="109" t="s">
        <v>81</v>
      </c>
      <c r="E287" s="111" t="s">
        <v>1632</v>
      </c>
      <c r="F287" s="112">
        <v>45709</v>
      </c>
      <c r="G287" s="112">
        <v>45709</v>
      </c>
      <c r="H287" s="113">
        <f t="shared" si="24"/>
        <v>45799</v>
      </c>
      <c r="I287" s="113" t="s">
        <v>290</v>
      </c>
      <c r="J287" s="109" t="s">
        <v>4328</v>
      </c>
      <c r="K287" s="109" t="s">
        <v>4415</v>
      </c>
      <c r="L287" s="109" t="s">
        <v>1135</v>
      </c>
      <c r="M287" s="128" t="str">
        <f t="shared" si="25"/>
        <v xml:space="preserve">IÑIGUEZ  NAVARRO JOSE MANUEL </v>
      </c>
      <c r="N287" s="128" t="s">
        <v>7186</v>
      </c>
      <c r="O287" s="128" t="s">
        <v>4586</v>
      </c>
      <c r="P287" s="109" t="s">
        <v>1953</v>
      </c>
      <c r="Q287" s="112">
        <v>31408</v>
      </c>
      <c r="R287" s="125">
        <f t="shared" si="26"/>
        <v>27</v>
      </c>
      <c r="S287" s="125">
        <f t="shared" si="27"/>
        <v>12</v>
      </c>
      <c r="T287" s="125">
        <f t="shared" si="28"/>
        <v>1985</v>
      </c>
      <c r="U287" s="142">
        <f t="shared" ca="1" si="29"/>
        <v>40.819178082191783</v>
      </c>
      <c r="V287" s="114" t="s">
        <v>389</v>
      </c>
      <c r="W287" s="114" t="s">
        <v>1997</v>
      </c>
      <c r="X287" s="109" t="s">
        <v>454</v>
      </c>
      <c r="Y287" s="109" t="s">
        <v>83</v>
      </c>
      <c r="Z287" s="109" t="s">
        <v>84</v>
      </c>
      <c r="AA287" s="109" t="s">
        <v>532</v>
      </c>
      <c r="AB287" s="109" t="s">
        <v>574</v>
      </c>
      <c r="AC287" s="109" t="s">
        <v>313</v>
      </c>
      <c r="AD287" s="109" t="s">
        <v>314</v>
      </c>
      <c r="AE287" s="109">
        <v>90</v>
      </c>
      <c r="AF287" s="114" t="s">
        <v>710</v>
      </c>
      <c r="AG287" s="109" t="s">
        <v>290</v>
      </c>
      <c r="AH287" s="115" t="s">
        <v>575</v>
      </c>
      <c r="AI287" s="109" t="s">
        <v>317</v>
      </c>
      <c r="AJ287" s="109" t="s">
        <v>318</v>
      </c>
      <c r="AK287" s="109">
        <v>3317513694</v>
      </c>
      <c r="AL287" s="115" t="s">
        <v>2904</v>
      </c>
      <c r="AM287" s="109" t="s">
        <v>2386</v>
      </c>
      <c r="AN287" s="109" t="s">
        <v>3176</v>
      </c>
      <c r="AO287" s="109" t="s">
        <v>398</v>
      </c>
      <c r="AP287" s="109"/>
      <c r="AQ287" s="109" t="s">
        <v>1555</v>
      </c>
      <c r="AR287" s="109">
        <v>39</v>
      </c>
      <c r="AS287" s="109" t="s">
        <v>642</v>
      </c>
      <c r="AT287" s="109" t="s">
        <v>606</v>
      </c>
      <c r="AU287" s="109" t="s">
        <v>583</v>
      </c>
      <c r="AV287" s="109">
        <v>45500</v>
      </c>
      <c r="AW287" s="109" t="s">
        <v>329</v>
      </c>
      <c r="AX287" s="109">
        <v>0</v>
      </c>
      <c r="AY287" s="109" t="s">
        <v>329</v>
      </c>
      <c r="AZ287" s="109"/>
      <c r="BA287" s="109"/>
      <c r="BB287" s="109"/>
      <c r="BC287" s="109"/>
      <c r="BD287" s="109" t="s">
        <v>2386</v>
      </c>
      <c r="BE287" s="109" t="s">
        <v>3176</v>
      </c>
      <c r="BF287" s="109">
        <v>3317156432</v>
      </c>
      <c r="BG287" s="109" t="s">
        <v>685</v>
      </c>
      <c r="BH287" s="109" t="s">
        <v>334</v>
      </c>
      <c r="BI287" s="109" t="s">
        <v>3831</v>
      </c>
      <c r="BJ287" s="109" t="s">
        <v>3831</v>
      </c>
      <c r="BK287" s="109"/>
      <c r="BL287" s="111"/>
      <c r="BM287" s="109"/>
      <c r="BN287" s="109"/>
      <c r="BO287" s="111"/>
      <c r="BP287" s="109"/>
      <c r="BQ287" s="109"/>
      <c r="BR287" s="109"/>
      <c r="BS287" s="109"/>
      <c r="BT287" s="109"/>
      <c r="BU287" s="109"/>
      <c r="BV287" s="109"/>
      <c r="BW287" s="109"/>
      <c r="BX287" s="109"/>
      <c r="BY287" s="109"/>
      <c r="BZ287" s="109"/>
      <c r="CA287" s="109"/>
      <c r="CB287" s="109"/>
      <c r="CC287" s="109"/>
      <c r="CD287" s="110"/>
    </row>
    <row r="288" spans="1:82" s="116" customFormat="1" ht="13.9" customHeight="1" x14ac:dyDescent="0.2">
      <c r="A288" s="109">
        <v>819</v>
      </c>
      <c r="B288" s="109" t="s">
        <v>4077</v>
      </c>
      <c r="C288" s="110" t="s">
        <v>335</v>
      </c>
      <c r="D288" s="111" t="s">
        <v>140</v>
      </c>
      <c r="E288" s="111" t="s">
        <v>6633</v>
      </c>
      <c r="F288" s="112">
        <v>45709</v>
      </c>
      <c r="G288" s="112">
        <v>45709</v>
      </c>
      <c r="H288" s="113">
        <f t="shared" si="24"/>
        <v>45799</v>
      </c>
      <c r="I288" s="113" t="s">
        <v>290</v>
      </c>
      <c r="J288" s="109" t="s">
        <v>590</v>
      </c>
      <c r="K288" s="109" t="s">
        <v>4484</v>
      </c>
      <c r="L288" s="109" t="s">
        <v>1800</v>
      </c>
      <c r="M288" s="128" t="str">
        <f t="shared" si="25"/>
        <v>PEREZ RUBIO ANGEL ADAN</v>
      </c>
      <c r="N288" s="128" t="s">
        <v>7039</v>
      </c>
      <c r="O288" s="128" t="s">
        <v>4668</v>
      </c>
      <c r="P288" s="109" t="s">
        <v>1953</v>
      </c>
      <c r="Q288" s="112">
        <v>37815</v>
      </c>
      <c r="R288" s="125">
        <f t="shared" si="26"/>
        <v>13</v>
      </c>
      <c r="S288" s="125">
        <f t="shared" si="27"/>
        <v>7</v>
      </c>
      <c r="T288" s="125">
        <f t="shared" si="28"/>
        <v>2003</v>
      </c>
      <c r="U288" s="142">
        <f t="shared" ca="1" si="29"/>
        <v>23.265753424657536</v>
      </c>
      <c r="V288" s="114" t="s">
        <v>452</v>
      </c>
      <c r="W288" s="114" t="s">
        <v>2079</v>
      </c>
      <c r="X288" s="109" t="s">
        <v>472</v>
      </c>
      <c r="Y288" s="109" t="s">
        <v>117</v>
      </c>
      <c r="Z288" s="109" t="s">
        <v>142</v>
      </c>
      <c r="AA288" s="109" t="s">
        <v>347</v>
      </c>
      <c r="AB288" s="109" t="s">
        <v>1166</v>
      </c>
      <c r="AC288" s="109" t="s">
        <v>313</v>
      </c>
      <c r="AD288" s="109" t="s">
        <v>314</v>
      </c>
      <c r="AE288" s="109">
        <v>90</v>
      </c>
      <c r="AF288" s="114" t="s">
        <v>554</v>
      </c>
      <c r="AG288" s="109" t="s">
        <v>290</v>
      </c>
      <c r="AH288" s="115" t="s">
        <v>555</v>
      </c>
      <c r="AI288" s="109" t="s">
        <v>317</v>
      </c>
      <c r="AJ288" s="109" t="s">
        <v>318</v>
      </c>
      <c r="AK288" s="109">
        <v>4481111878</v>
      </c>
      <c r="AL288" s="115" t="s">
        <v>2985</v>
      </c>
      <c r="AM288" s="109" t="s">
        <v>2461</v>
      </c>
      <c r="AN288" s="109" t="s">
        <v>776</v>
      </c>
      <c r="AO288" s="109" t="s">
        <v>398</v>
      </c>
      <c r="AP288" s="109"/>
      <c r="AQ288" s="109" t="s">
        <v>3266</v>
      </c>
      <c r="AR288" s="109" t="s">
        <v>3361</v>
      </c>
      <c r="AS288" s="109">
        <v>0</v>
      </c>
      <c r="AT288" s="109" t="s">
        <v>545</v>
      </c>
      <c r="AU288" s="109" t="s">
        <v>3404</v>
      </c>
      <c r="AV288" s="109">
        <v>76148</v>
      </c>
      <c r="AW288" s="109" t="s">
        <v>329</v>
      </c>
      <c r="AX288" s="109">
        <v>0</v>
      </c>
      <c r="AY288" s="109" t="s">
        <v>329</v>
      </c>
      <c r="AZ288" s="109"/>
      <c r="BA288" s="109"/>
      <c r="BB288" s="109"/>
      <c r="BC288" s="109"/>
      <c r="BD288" s="109" t="s">
        <v>2461</v>
      </c>
      <c r="BE288" s="109" t="s">
        <v>776</v>
      </c>
      <c r="BF288" s="109">
        <v>0</v>
      </c>
      <c r="BG288" s="109" t="s">
        <v>685</v>
      </c>
      <c r="BH288" s="109" t="s">
        <v>334</v>
      </c>
      <c r="BI288" s="109" t="s">
        <v>3831</v>
      </c>
      <c r="BJ288" s="109" t="s">
        <v>3888</v>
      </c>
      <c r="BK288" s="109" t="s">
        <v>571</v>
      </c>
      <c r="BL288" s="111">
        <v>5</v>
      </c>
      <c r="BM288" s="109"/>
      <c r="BN288" s="109" t="s">
        <v>571</v>
      </c>
      <c r="BO288" s="111">
        <v>3</v>
      </c>
      <c r="BP288" s="109"/>
      <c r="BQ288" s="109">
        <v>0</v>
      </c>
      <c r="BR288" s="109">
        <v>0</v>
      </c>
      <c r="BS288" s="109"/>
      <c r="BT288" s="109">
        <v>0</v>
      </c>
      <c r="BU288" s="109">
        <v>0</v>
      </c>
      <c r="BV288" s="109"/>
      <c r="BW288" s="109">
        <v>0</v>
      </c>
      <c r="BX288" s="109">
        <v>0</v>
      </c>
      <c r="BY288" s="109"/>
      <c r="BZ288" s="109">
        <v>0</v>
      </c>
      <c r="CA288" s="109"/>
      <c r="CB288" s="109"/>
      <c r="CC288" s="109"/>
      <c r="CD288" s="110"/>
    </row>
    <row r="289" spans="1:82" s="116" customFormat="1" ht="13.9" customHeight="1" x14ac:dyDescent="0.2">
      <c r="A289" s="109">
        <v>820</v>
      </c>
      <c r="B289" s="109" t="s">
        <v>4078</v>
      </c>
      <c r="C289" s="110" t="s">
        <v>335</v>
      </c>
      <c r="D289" s="111" t="s">
        <v>140</v>
      </c>
      <c r="E289" s="111" t="s">
        <v>6774</v>
      </c>
      <c r="F289" s="112">
        <v>45712</v>
      </c>
      <c r="G289" s="112">
        <v>45712</v>
      </c>
      <c r="H289" s="113">
        <f t="shared" si="24"/>
        <v>45802</v>
      </c>
      <c r="I289" s="113" t="s">
        <v>290</v>
      </c>
      <c r="J289" s="109" t="s">
        <v>365</v>
      </c>
      <c r="K289" s="109" t="s">
        <v>4485</v>
      </c>
      <c r="L289" s="109" t="s">
        <v>706</v>
      </c>
      <c r="M289" s="128" t="str">
        <f t="shared" si="25"/>
        <v>RODRIGUEZ  TREJO MIGUEL ANGEL</v>
      </c>
      <c r="N289" s="128" t="s">
        <v>7187</v>
      </c>
      <c r="O289" s="128" t="s">
        <v>4669</v>
      </c>
      <c r="P289" s="109" t="s">
        <v>1953</v>
      </c>
      <c r="Q289" s="112">
        <v>28539</v>
      </c>
      <c r="R289" s="125">
        <f t="shared" si="26"/>
        <v>18</v>
      </c>
      <c r="S289" s="125">
        <f t="shared" si="27"/>
        <v>2</v>
      </c>
      <c r="T289" s="125">
        <f t="shared" si="28"/>
        <v>1978</v>
      </c>
      <c r="U289" s="142">
        <f t="shared" ca="1" si="29"/>
        <v>48.679452054794524</v>
      </c>
      <c r="V289" s="114" t="s">
        <v>342</v>
      </c>
      <c r="W289" s="114" t="s">
        <v>2080</v>
      </c>
      <c r="X289" s="109" t="s">
        <v>454</v>
      </c>
      <c r="Y289" s="109" t="s">
        <v>117</v>
      </c>
      <c r="Z289" s="109" t="s">
        <v>142</v>
      </c>
      <c r="AA289" s="109" t="s">
        <v>347</v>
      </c>
      <c r="AB289" s="109" t="s">
        <v>2292</v>
      </c>
      <c r="AC289" s="109" t="s">
        <v>313</v>
      </c>
      <c r="AD289" s="109" t="s">
        <v>314</v>
      </c>
      <c r="AE289" s="109">
        <v>90</v>
      </c>
      <c r="AF289" s="114" t="s">
        <v>554</v>
      </c>
      <c r="AG289" s="109" t="s">
        <v>290</v>
      </c>
      <c r="AH289" s="115" t="s">
        <v>555</v>
      </c>
      <c r="AI289" s="109" t="s">
        <v>317</v>
      </c>
      <c r="AJ289" s="109" t="s">
        <v>318</v>
      </c>
      <c r="AK289" s="109">
        <v>4423817438</v>
      </c>
      <c r="AL289" s="115" t="s">
        <v>2986</v>
      </c>
      <c r="AM289" s="109" t="s">
        <v>2462</v>
      </c>
      <c r="AN289" s="109">
        <v>0</v>
      </c>
      <c r="AO289" s="109" t="s">
        <v>398</v>
      </c>
      <c r="AP289" s="109"/>
      <c r="AQ289" s="109" t="s">
        <v>3267</v>
      </c>
      <c r="AR289" s="109">
        <v>11800</v>
      </c>
      <c r="AS289" s="109">
        <v>0</v>
      </c>
      <c r="AT289" s="109" t="s">
        <v>140</v>
      </c>
      <c r="AU289" s="109" t="s">
        <v>140</v>
      </c>
      <c r="AV289" s="109">
        <v>76230</v>
      </c>
      <c r="AW289" s="109" t="s">
        <v>329</v>
      </c>
      <c r="AX289" s="109">
        <v>0</v>
      </c>
      <c r="AY289" s="109" t="s">
        <v>329</v>
      </c>
      <c r="AZ289" s="109"/>
      <c r="BA289" s="109"/>
      <c r="BB289" s="109"/>
      <c r="BC289" s="109"/>
      <c r="BD289" s="109" t="s">
        <v>3496</v>
      </c>
      <c r="BE289" s="109" t="s">
        <v>602</v>
      </c>
      <c r="BF289" s="109">
        <v>4462487082</v>
      </c>
      <c r="BG289" s="109" t="s">
        <v>685</v>
      </c>
      <c r="BH289" s="109" t="s">
        <v>334</v>
      </c>
      <c r="BI289" s="109" t="s">
        <v>3831</v>
      </c>
      <c r="BJ289" s="109" t="s">
        <v>3888</v>
      </c>
      <c r="BK289" s="109" t="s">
        <v>3911</v>
      </c>
      <c r="BL289" s="111">
        <v>16</v>
      </c>
      <c r="BM289" s="109"/>
      <c r="BN289" s="109" t="s">
        <v>571</v>
      </c>
      <c r="BO289" s="111">
        <v>22</v>
      </c>
      <c r="BP289" s="109"/>
      <c r="BQ289" s="109">
        <v>0</v>
      </c>
      <c r="BR289" s="109">
        <v>0</v>
      </c>
      <c r="BS289" s="109"/>
      <c r="BT289" s="109">
        <v>0</v>
      </c>
      <c r="BU289" s="109">
        <v>0</v>
      </c>
      <c r="BV289" s="109"/>
      <c r="BW289" s="109">
        <v>0</v>
      </c>
      <c r="BX289" s="109">
        <v>0</v>
      </c>
      <c r="BY289" s="109"/>
      <c r="BZ289" s="109">
        <v>0</v>
      </c>
      <c r="CA289" s="109"/>
      <c r="CB289" s="109"/>
      <c r="CC289" s="109"/>
      <c r="CD289" s="110"/>
    </row>
    <row r="290" spans="1:82" s="116" customFormat="1" ht="13.9" customHeight="1" x14ac:dyDescent="0.2">
      <c r="A290" s="12">
        <v>1041</v>
      </c>
      <c r="B290" s="12" t="s">
        <v>4257</v>
      </c>
      <c r="C290" s="104" t="s">
        <v>299</v>
      </c>
      <c r="D290" s="99" t="s">
        <v>80</v>
      </c>
      <c r="E290" s="99" t="s">
        <v>6634</v>
      </c>
      <c r="F290" s="100">
        <v>45712</v>
      </c>
      <c r="G290" s="100">
        <v>45712</v>
      </c>
      <c r="H290" s="101">
        <f t="shared" si="24"/>
        <v>45802</v>
      </c>
      <c r="I290" s="101" t="s">
        <v>291</v>
      </c>
      <c r="J290" s="12" t="s">
        <v>4399</v>
      </c>
      <c r="K290" s="12" t="s">
        <v>704</v>
      </c>
      <c r="L290" s="12" t="s">
        <v>1876</v>
      </c>
      <c r="M290" s="102" t="str">
        <f t="shared" si="25"/>
        <v>GAMEZ GONZALEZ MELANY</v>
      </c>
      <c r="N290" s="102" t="s">
        <v>7040</v>
      </c>
      <c r="O290" s="102" t="s">
        <v>4760</v>
      </c>
      <c r="P290" s="12" t="s">
        <v>1953</v>
      </c>
      <c r="Q290" s="100">
        <v>37928</v>
      </c>
      <c r="R290" s="77">
        <f t="shared" si="26"/>
        <v>3</v>
      </c>
      <c r="S290" s="77">
        <f t="shared" si="27"/>
        <v>11</v>
      </c>
      <c r="T290" s="77">
        <f t="shared" si="28"/>
        <v>2003</v>
      </c>
      <c r="U290" s="103">
        <f t="shared" ca="1" si="29"/>
        <v>22.956164383561642</v>
      </c>
      <c r="V290" s="13" t="s">
        <v>308</v>
      </c>
      <c r="W290" s="13" t="s">
        <v>2171</v>
      </c>
      <c r="X290" s="12" t="s">
        <v>693</v>
      </c>
      <c r="Y290" s="12" t="s">
        <v>189</v>
      </c>
      <c r="Z290" s="12" t="s">
        <v>174</v>
      </c>
      <c r="AA290" s="12" t="s">
        <v>432</v>
      </c>
      <c r="AB290" s="12" t="s">
        <v>2280</v>
      </c>
      <c r="AC290" s="12" t="s">
        <v>313</v>
      </c>
      <c r="AD290" s="12" t="s">
        <v>314</v>
      </c>
      <c r="AE290" s="12">
        <v>90</v>
      </c>
      <c r="AF290" s="13" t="s">
        <v>315</v>
      </c>
      <c r="AG290" s="12" t="s">
        <v>291</v>
      </c>
      <c r="AH290" s="104" t="s">
        <v>1329</v>
      </c>
      <c r="AI290" s="12" t="s">
        <v>317</v>
      </c>
      <c r="AJ290" s="12" t="s">
        <v>318</v>
      </c>
      <c r="AK290" s="12">
        <v>4446354231</v>
      </c>
      <c r="AL290" s="104" t="s">
        <v>3076</v>
      </c>
      <c r="AM290" s="12" t="s">
        <v>2548</v>
      </c>
      <c r="AN290" s="12" t="s">
        <v>1028</v>
      </c>
      <c r="AO290" s="12" t="s">
        <v>398</v>
      </c>
      <c r="AP290" s="12"/>
      <c r="AQ290" s="12" t="s">
        <v>3301</v>
      </c>
      <c r="AR290" s="12">
        <v>93</v>
      </c>
      <c r="AS290" s="12">
        <v>0</v>
      </c>
      <c r="AT290" s="12" t="s">
        <v>3396</v>
      </c>
      <c r="AU290" s="12" t="s">
        <v>483</v>
      </c>
      <c r="AV290" s="12">
        <v>78978</v>
      </c>
      <c r="AW290" s="12" t="s">
        <v>3417</v>
      </c>
      <c r="AX290" s="12">
        <v>0</v>
      </c>
      <c r="AY290" s="12" t="s">
        <v>3417</v>
      </c>
      <c r="AZ290" s="12"/>
      <c r="BA290" s="12"/>
      <c r="BB290" s="12"/>
      <c r="BC290" s="12"/>
      <c r="BD290" s="12" t="s">
        <v>3532</v>
      </c>
      <c r="BE290" s="12" t="s">
        <v>776</v>
      </c>
      <c r="BF290" s="12">
        <v>8133955536</v>
      </c>
      <c r="BG290" s="12" t="s">
        <v>488</v>
      </c>
      <c r="BH290" s="12" t="s">
        <v>334</v>
      </c>
      <c r="BI290" s="12" t="s">
        <v>3831</v>
      </c>
      <c r="BJ290" s="12" t="s">
        <v>3831</v>
      </c>
      <c r="BK290" s="12"/>
      <c r="BL290" s="105"/>
      <c r="BM290" s="12"/>
      <c r="BN290" s="12"/>
      <c r="BO290" s="105"/>
      <c r="BP290" s="12"/>
      <c r="BQ290" s="12"/>
      <c r="BR290" s="12"/>
      <c r="BS290" s="12"/>
      <c r="BT290" s="12"/>
      <c r="BU290" s="12"/>
      <c r="BV290" s="12"/>
      <c r="BW290" s="12"/>
      <c r="BX290" s="12"/>
      <c r="BY290" s="12"/>
      <c r="BZ290" s="12"/>
      <c r="CA290" s="12"/>
      <c r="CB290" s="12"/>
      <c r="CC290" s="12"/>
      <c r="CD290" s="110"/>
    </row>
    <row r="291" spans="1:82" ht="13.9" customHeight="1" x14ac:dyDescent="0.2">
      <c r="A291" s="12">
        <v>821</v>
      </c>
      <c r="B291" s="12" t="s">
        <v>4198</v>
      </c>
      <c r="C291" s="78" t="s">
        <v>363</v>
      </c>
      <c r="D291" s="107" t="s">
        <v>98</v>
      </c>
      <c r="E291" s="99" t="s">
        <v>1644</v>
      </c>
      <c r="F291" s="100">
        <v>45714</v>
      </c>
      <c r="G291" s="100">
        <v>45714</v>
      </c>
      <c r="H291" s="101">
        <f t="shared" si="24"/>
        <v>45804</v>
      </c>
      <c r="I291" s="101" t="s">
        <v>290</v>
      </c>
      <c r="J291" s="12" t="s">
        <v>590</v>
      </c>
      <c r="K291" s="12" t="s">
        <v>4469</v>
      </c>
      <c r="L291" s="12" t="s">
        <v>1748</v>
      </c>
      <c r="M291" s="102" t="str">
        <f t="shared" si="25"/>
        <v>PEREZ SAINEZ FRANCISCO</v>
      </c>
      <c r="N291" s="102" t="s">
        <v>7041</v>
      </c>
      <c r="O291" s="102" t="s">
        <v>4623</v>
      </c>
      <c r="P291" s="12" t="s">
        <v>1953</v>
      </c>
      <c r="Q291" s="100">
        <v>29594</v>
      </c>
      <c r="R291" s="77">
        <f t="shared" si="26"/>
        <v>8</v>
      </c>
      <c r="S291" s="77">
        <f t="shared" si="27"/>
        <v>1</v>
      </c>
      <c r="T291" s="77">
        <f t="shared" si="28"/>
        <v>1981</v>
      </c>
      <c r="U291" s="103">
        <f t="shared" ca="1" si="29"/>
        <v>45.789041095890411</v>
      </c>
      <c r="V291" s="13" t="s">
        <v>342</v>
      </c>
      <c r="W291" s="13" t="s">
        <v>2034</v>
      </c>
      <c r="X291" s="12" t="s">
        <v>530</v>
      </c>
      <c r="Y291" s="107" t="s">
        <v>101</v>
      </c>
      <c r="Z291" s="12" t="s">
        <v>99</v>
      </c>
      <c r="AA291" s="12" t="s">
        <v>392</v>
      </c>
      <c r="AB291" s="12" t="s">
        <v>596</v>
      </c>
      <c r="AC291" s="12" t="s">
        <v>313</v>
      </c>
      <c r="AD291" s="12" t="s">
        <v>314</v>
      </c>
      <c r="AE291" s="12">
        <v>90</v>
      </c>
      <c r="AF291" s="13" t="s">
        <v>597</v>
      </c>
      <c r="AG291" s="12" t="s">
        <v>290</v>
      </c>
      <c r="AH291" s="104" t="s">
        <v>598</v>
      </c>
      <c r="AI291" s="12" t="s">
        <v>317</v>
      </c>
      <c r="AJ291" s="12" t="s">
        <v>318</v>
      </c>
      <c r="AK291" s="12">
        <v>3310951579</v>
      </c>
      <c r="AL291" s="104" t="s">
        <v>2940</v>
      </c>
      <c r="AM291" s="12" t="s">
        <v>2422</v>
      </c>
      <c r="AN291" s="12" t="s">
        <v>381</v>
      </c>
      <c r="AO291" s="12" t="s">
        <v>398</v>
      </c>
      <c r="AP291" s="12"/>
      <c r="AQ291" s="12" t="s">
        <v>3238</v>
      </c>
      <c r="AR291" s="12">
        <v>852</v>
      </c>
      <c r="AS291" s="12">
        <v>0</v>
      </c>
      <c r="AT291" s="12" t="s">
        <v>606</v>
      </c>
      <c r="AU291" s="12" t="s">
        <v>583</v>
      </c>
      <c r="AV291" s="12">
        <v>45599</v>
      </c>
      <c r="AW291" s="12" t="s">
        <v>329</v>
      </c>
      <c r="AX291" s="12">
        <v>0</v>
      </c>
      <c r="AY291" s="12" t="s">
        <v>329</v>
      </c>
      <c r="AZ291" s="12"/>
      <c r="BA291" s="12"/>
      <c r="BB291" s="12"/>
      <c r="BC291" s="12"/>
      <c r="BD291" s="12" t="s">
        <v>2422</v>
      </c>
      <c r="BE291" s="12" t="s">
        <v>381</v>
      </c>
      <c r="BF291" s="12">
        <v>3314517123</v>
      </c>
      <c r="BG291" s="12" t="s">
        <v>488</v>
      </c>
      <c r="BH291" s="12" t="s">
        <v>334</v>
      </c>
      <c r="BI291" s="12" t="s">
        <v>3831</v>
      </c>
      <c r="BJ291" s="12" t="s">
        <v>3888</v>
      </c>
      <c r="BK291" s="12" t="s">
        <v>571</v>
      </c>
      <c r="BL291" s="105">
        <v>20</v>
      </c>
      <c r="BM291" s="12"/>
      <c r="BN291" s="12" t="s">
        <v>571</v>
      </c>
      <c r="BO291" s="105">
        <v>17</v>
      </c>
      <c r="BP291" s="12"/>
      <c r="BQ291" s="12" t="s">
        <v>571</v>
      </c>
      <c r="BR291" s="12">
        <v>15</v>
      </c>
      <c r="BS291" s="12"/>
      <c r="BT291" s="12">
        <v>0</v>
      </c>
      <c r="BU291" s="12">
        <v>0</v>
      </c>
      <c r="BV291" s="12"/>
      <c r="BW291" s="12">
        <v>0</v>
      </c>
      <c r="BX291" s="12">
        <v>0</v>
      </c>
      <c r="BY291" s="12"/>
      <c r="BZ291" s="12">
        <v>0</v>
      </c>
      <c r="CA291" s="12"/>
      <c r="CB291" s="12"/>
      <c r="CC291" s="12"/>
      <c r="CD291" s="78"/>
    </row>
    <row r="292" spans="1:82" ht="13.9" customHeight="1" x14ac:dyDescent="0.2">
      <c r="A292" s="107">
        <v>823</v>
      </c>
      <c r="B292" s="107" t="s">
        <v>4015</v>
      </c>
      <c r="C292" s="78" t="s">
        <v>363</v>
      </c>
      <c r="D292" s="12" t="s">
        <v>7242</v>
      </c>
      <c r="E292" s="99" t="s">
        <v>6775</v>
      </c>
      <c r="F292" s="100">
        <v>45719</v>
      </c>
      <c r="G292" s="117">
        <v>45719</v>
      </c>
      <c r="H292" s="101">
        <f t="shared" si="24"/>
        <v>45809</v>
      </c>
      <c r="I292" s="101" t="s">
        <v>290</v>
      </c>
      <c r="J292" s="12" t="s">
        <v>4875</v>
      </c>
      <c r="K292" s="12" t="s">
        <v>960</v>
      </c>
      <c r="L292" s="12" t="s">
        <v>4876</v>
      </c>
      <c r="M292" s="102" t="str">
        <f t="shared" si="25"/>
        <v xml:space="preserve">ZAVALIJA TORRES DANIEL  </v>
      </c>
      <c r="N292" s="102" t="s">
        <v>7188</v>
      </c>
      <c r="O292" s="102" t="s">
        <v>4877</v>
      </c>
      <c r="P292" s="12" t="s">
        <v>1953</v>
      </c>
      <c r="Q292" s="100">
        <v>33241</v>
      </c>
      <c r="R292" s="77">
        <f t="shared" si="26"/>
        <v>3</v>
      </c>
      <c r="S292" s="77">
        <f t="shared" si="27"/>
        <v>1</v>
      </c>
      <c r="T292" s="77">
        <f t="shared" si="28"/>
        <v>1991</v>
      </c>
      <c r="U292" s="103">
        <f t="shared" ca="1" si="29"/>
        <v>35.797260273972604</v>
      </c>
      <c r="V292" s="13" t="s">
        <v>342</v>
      </c>
      <c r="W292" s="13" t="s">
        <v>4878</v>
      </c>
      <c r="X292" s="12" t="s">
        <v>454</v>
      </c>
      <c r="Y292" s="108" t="s">
        <v>391</v>
      </c>
      <c r="Z292" s="12" t="s">
        <v>88</v>
      </c>
      <c r="AA292" s="12" t="s">
        <v>392</v>
      </c>
      <c r="AB292" s="12" t="s">
        <v>374</v>
      </c>
      <c r="AC292" s="12" t="s">
        <v>313</v>
      </c>
      <c r="AD292" s="12" t="s">
        <v>314</v>
      </c>
      <c r="AE292" s="12">
        <v>90</v>
      </c>
      <c r="AF292" s="13" t="s">
        <v>375</v>
      </c>
      <c r="AG292" s="12" t="s">
        <v>290</v>
      </c>
      <c r="AH292" s="104" t="s">
        <v>473</v>
      </c>
      <c r="AI292" s="12" t="s">
        <v>317</v>
      </c>
      <c r="AJ292" s="12" t="s">
        <v>318</v>
      </c>
      <c r="AK292" s="12">
        <v>4444987713</v>
      </c>
      <c r="AL292" s="104" t="s">
        <v>4879</v>
      </c>
      <c r="AM292" s="12" t="s">
        <v>4880</v>
      </c>
      <c r="AN292" s="12" t="s">
        <v>381</v>
      </c>
      <c r="AO292" s="12" t="s">
        <v>398</v>
      </c>
      <c r="AP292" s="12"/>
      <c r="AQ292" s="12" t="s">
        <v>4881</v>
      </c>
      <c r="AR292" s="12">
        <v>272</v>
      </c>
      <c r="AS292" s="12"/>
      <c r="AT292" s="12" t="s">
        <v>483</v>
      </c>
      <c r="AU292" s="12" t="s">
        <v>483</v>
      </c>
      <c r="AV292" s="12">
        <v>78100</v>
      </c>
      <c r="AW292" s="12" t="s">
        <v>357</v>
      </c>
      <c r="AX292" s="12"/>
      <c r="AY292" s="12" t="s">
        <v>357</v>
      </c>
      <c r="AZ292" s="12"/>
      <c r="BA292" s="12"/>
      <c r="BB292" s="12"/>
      <c r="BC292" s="12"/>
      <c r="BD292" s="12" t="s">
        <v>4882</v>
      </c>
      <c r="BE292" s="12" t="s">
        <v>401</v>
      </c>
      <c r="BF292" s="12">
        <v>4448238792</v>
      </c>
      <c r="BG292" s="12" t="s">
        <v>444</v>
      </c>
      <c r="BH292" s="12" t="s">
        <v>334</v>
      </c>
      <c r="BI292" s="12">
        <v>1</v>
      </c>
      <c r="BJ292" s="12" t="s">
        <v>3888</v>
      </c>
      <c r="BK292" s="12" t="s">
        <v>571</v>
      </c>
      <c r="BL292" s="105">
        <v>11</v>
      </c>
      <c r="BM292" s="12"/>
      <c r="BN292" s="12"/>
      <c r="BO292" s="105"/>
      <c r="BP292" s="12"/>
      <c r="BQ292" s="12"/>
      <c r="BR292" s="12"/>
      <c r="BS292" s="12"/>
      <c r="BT292" s="12"/>
      <c r="BU292" s="12"/>
      <c r="BV292" s="12"/>
      <c r="BW292" s="12"/>
      <c r="BX292" s="12"/>
      <c r="BY292" s="12"/>
      <c r="BZ292" s="12"/>
      <c r="CA292" s="12"/>
      <c r="CB292" s="12"/>
      <c r="CC292" s="12"/>
      <c r="CD292" s="78"/>
    </row>
    <row r="293" spans="1:82" ht="13.9" customHeight="1" x14ac:dyDescent="0.2">
      <c r="A293" s="12">
        <v>824</v>
      </c>
      <c r="B293" s="12" t="s">
        <v>4199</v>
      </c>
      <c r="C293" s="78" t="s">
        <v>363</v>
      </c>
      <c r="D293" s="107" t="s">
        <v>98</v>
      </c>
      <c r="E293" s="99" t="s">
        <v>6776</v>
      </c>
      <c r="F293" s="100">
        <v>45719</v>
      </c>
      <c r="G293" s="100">
        <v>45719</v>
      </c>
      <c r="H293" s="101">
        <f t="shared" si="24"/>
        <v>45809</v>
      </c>
      <c r="I293" s="101" t="s">
        <v>290</v>
      </c>
      <c r="J293" s="12" t="s">
        <v>4343</v>
      </c>
      <c r="K293" s="12" t="s">
        <v>721</v>
      </c>
      <c r="L293" s="12" t="s">
        <v>1763</v>
      </c>
      <c r="M293" s="102" t="str">
        <f t="shared" si="25"/>
        <v>ORTEGA  MORA DANIELA GUADALUPE</v>
      </c>
      <c r="N293" s="102" t="s">
        <v>7189</v>
      </c>
      <c r="O293" s="102" t="s">
        <v>7241</v>
      </c>
      <c r="P293" s="12" t="s">
        <v>1953</v>
      </c>
      <c r="Q293" s="100">
        <v>39569</v>
      </c>
      <c r="R293" s="77">
        <f t="shared" si="26"/>
        <v>1</v>
      </c>
      <c r="S293" s="77">
        <f t="shared" si="27"/>
        <v>5</v>
      </c>
      <c r="T293" s="77">
        <f t="shared" si="28"/>
        <v>2008</v>
      </c>
      <c r="U293" s="103">
        <f t="shared" ca="1" si="29"/>
        <v>18.460273972602739</v>
      </c>
      <c r="V293" s="13" t="s">
        <v>308</v>
      </c>
      <c r="W293" s="13" t="s">
        <v>2035</v>
      </c>
      <c r="X293" s="12" t="s">
        <v>530</v>
      </c>
      <c r="Y293" s="107" t="s">
        <v>92</v>
      </c>
      <c r="Z293" s="12" t="s">
        <v>102</v>
      </c>
      <c r="AA293" s="12" t="s">
        <v>636</v>
      </c>
      <c r="AB293" s="12" t="s">
        <v>2284</v>
      </c>
      <c r="AC293" s="12" t="s">
        <v>313</v>
      </c>
      <c r="AD293" s="12" t="s">
        <v>314</v>
      </c>
      <c r="AE293" s="12">
        <v>90</v>
      </c>
      <c r="AF293" s="13" t="s">
        <v>597</v>
      </c>
      <c r="AG293" s="12" t="s">
        <v>290</v>
      </c>
      <c r="AH293" s="104" t="s">
        <v>598</v>
      </c>
      <c r="AI293" s="12" t="s">
        <v>317</v>
      </c>
      <c r="AJ293" s="12" t="s">
        <v>318</v>
      </c>
      <c r="AK293" s="12">
        <v>3325972859</v>
      </c>
      <c r="AL293" s="104" t="s">
        <v>2941</v>
      </c>
      <c r="AM293" s="12" t="s">
        <v>731</v>
      </c>
      <c r="AN293" s="12" t="s">
        <v>325</v>
      </c>
      <c r="AO293" s="12" t="s">
        <v>398</v>
      </c>
      <c r="AP293" s="12"/>
      <c r="AQ293" s="12" t="s">
        <v>3239</v>
      </c>
      <c r="AR293" s="12">
        <v>1587</v>
      </c>
      <c r="AS293" s="12" t="s">
        <v>328</v>
      </c>
      <c r="AT293" s="12" t="s">
        <v>98</v>
      </c>
      <c r="AU293" s="12" t="s">
        <v>583</v>
      </c>
      <c r="AV293" s="12">
        <v>45615</v>
      </c>
      <c r="AW293" s="12" t="s">
        <v>329</v>
      </c>
      <c r="AX293" s="12">
        <v>0</v>
      </c>
      <c r="AY293" s="12" t="s">
        <v>329</v>
      </c>
      <c r="AZ293" s="12"/>
      <c r="BA293" s="12"/>
      <c r="BB293" s="12"/>
      <c r="BC293" s="12"/>
      <c r="BD293" s="12" t="s">
        <v>731</v>
      </c>
      <c r="BE293" s="12" t="s">
        <v>325</v>
      </c>
      <c r="BF293" s="12" t="s">
        <v>734</v>
      </c>
      <c r="BG293" s="12" t="s">
        <v>333</v>
      </c>
      <c r="BH293" s="12" t="s">
        <v>334</v>
      </c>
      <c r="BI293" s="12" t="s">
        <v>3831</v>
      </c>
      <c r="BJ293" s="12" t="s">
        <v>3831</v>
      </c>
      <c r="BK293" s="12"/>
      <c r="BL293" s="105"/>
      <c r="BM293" s="12"/>
      <c r="BN293" s="12"/>
      <c r="BO293" s="105"/>
      <c r="BP293" s="12"/>
      <c r="BQ293" s="12"/>
      <c r="BR293" s="12"/>
      <c r="BS293" s="12"/>
      <c r="BT293" s="12"/>
      <c r="BU293" s="12"/>
      <c r="BV293" s="12"/>
      <c r="BW293" s="12"/>
      <c r="BX293" s="12"/>
      <c r="BY293" s="12"/>
      <c r="BZ293" s="12"/>
      <c r="CA293" s="12"/>
      <c r="CB293" s="12"/>
      <c r="CC293" s="12"/>
      <c r="CD293" s="78"/>
    </row>
    <row r="294" spans="1:82" s="116" customFormat="1" ht="13.9" customHeight="1" x14ac:dyDescent="0.2">
      <c r="A294" s="109">
        <v>825</v>
      </c>
      <c r="B294" s="109" t="s">
        <v>4106</v>
      </c>
      <c r="C294" s="110" t="s">
        <v>335</v>
      </c>
      <c r="D294" s="111" t="s">
        <v>86</v>
      </c>
      <c r="E294" s="111" t="s">
        <v>6777</v>
      </c>
      <c r="F294" s="112">
        <v>45720</v>
      </c>
      <c r="G294" s="112">
        <v>45720</v>
      </c>
      <c r="H294" s="113">
        <f t="shared" si="24"/>
        <v>45810</v>
      </c>
      <c r="I294" s="113" t="s">
        <v>290</v>
      </c>
      <c r="J294" s="109" t="s">
        <v>4379</v>
      </c>
      <c r="K294" s="109" t="s">
        <v>735</v>
      </c>
      <c r="L294" s="109" t="s">
        <v>1825</v>
      </c>
      <c r="M294" s="128" t="str">
        <f t="shared" si="25"/>
        <v>LOREDO  RIVERA RODRIGO ALBERTO</v>
      </c>
      <c r="N294" s="128" t="s">
        <v>7190</v>
      </c>
      <c r="O294" s="128" t="s">
        <v>4702</v>
      </c>
      <c r="P294" s="109" t="s">
        <v>1953</v>
      </c>
      <c r="Q294" s="112">
        <v>33299</v>
      </c>
      <c r="R294" s="125">
        <f t="shared" si="26"/>
        <v>2</v>
      </c>
      <c r="S294" s="125">
        <f t="shared" si="27"/>
        <v>3</v>
      </c>
      <c r="T294" s="125">
        <f t="shared" si="28"/>
        <v>1991</v>
      </c>
      <c r="U294" s="142">
        <f t="shared" ca="1" si="29"/>
        <v>35.638356164383559</v>
      </c>
      <c r="V294" s="114" t="s">
        <v>389</v>
      </c>
      <c r="W294" s="114" t="s">
        <v>2113</v>
      </c>
      <c r="X294" s="109" t="s">
        <v>530</v>
      </c>
      <c r="Y294" s="109" t="s">
        <v>160</v>
      </c>
      <c r="Z294" s="109" t="s">
        <v>152</v>
      </c>
      <c r="AA294" s="109" t="s">
        <v>2271</v>
      </c>
      <c r="AB294" s="109" t="s">
        <v>2296</v>
      </c>
      <c r="AC294" s="109" t="s">
        <v>313</v>
      </c>
      <c r="AD294" s="109" t="s">
        <v>314</v>
      </c>
      <c r="AE294" s="109">
        <v>90</v>
      </c>
      <c r="AF294" s="114" t="s">
        <v>315</v>
      </c>
      <c r="AG294" s="109" t="s">
        <v>290</v>
      </c>
      <c r="AH294" s="115" t="s">
        <v>2342</v>
      </c>
      <c r="AI294" s="109" t="s">
        <v>317</v>
      </c>
      <c r="AJ294" s="109" t="s">
        <v>318</v>
      </c>
      <c r="AK294" s="109">
        <v>4445761400</v>
      </c>
      <c r="AL294" s="115" t="s">
        <v>3019</v>
      </c>
      <c r="AM294" s="109" t="s">
        <v>2490</v>
      </c>
      <c r="AN294" s="109" t="s">
        <v>325</v>
      </c>
      <c r="AO294" s="109" t="s">
        <v>398</v>
      </c>
      <c r="AP294" s="109"/>
      <c r="AQ294" s="109" t="s">
        <v>3281</v>
      </c>
      <c r="AR294" s="109">
        <v>230</v>
      </c>
      <c r="AS294" s="109">
        <v>0</v>
      </c>
      <c r="AT294" s="109" t="s">
        <v>483</v>
      </c>
      <c r="AU294" s="109" t="s">
        <v>483</v>
      </c>
      <c r="AV294" s="109">
        <v>78422</v>
      </c>
      <c r="AW294" s="109" t="s">
        <v>329</v>
      </c>
      <c r="AX294" s="109">
        <v>0</v>
      </c>
      <c r="AY294" s="109" t="s">
        <v>329</v>
      </c>
      <c r="AZ294" s="109"/>
      <c r="BA294" s="109"/>
      <c r="BB294" s="109"/>
      <c r="BC294" s="109"/>
      <c r="BD294" s="109" t="s">
        <v>3507</v>
      </c>
      <c r="BE294" s="109" t="s">
        <v>325</v>
      </c>
      <c r="BF294" s="109">
        <v>4444469454</v>
      </c>
      <c r="BG294" s="109" t="s">
        <v>333</v>
      </c>
      <c r="BH294" s="109" t="s">
        <v>334</v>
      </c>
      <c r="BI294" s="109" t="s">
        <v>3831</v>
      </c>
      <c r="BJ294" s="109" t="s">
        <v>3888</v>
      </c>
      <c r="BK294" s="109" t="s">
        <v>3911</v>
      </c>
      <c r="BL294" s="111">
        <v>11</v>
      </c>
      <c r="BM294" s="109"/>
      <c r="BN294" s="109">
        <v>0</v>
      </c>
      <c r="BO294" s="111">
        <v>0</v>
      </c>
      <c r="BP294" s="109"/>
      <c r="BQ294" s="109">
        <v>0</v>
      </c>
      <c r="BR294" s="109">
        <v>0</v>
      </c>
      <c r="BS294" s="109"/>
      <c r="BT294" s="109">
        <v>0</v>
      </c>
      <c r="BU294" s="109">
        <v>0</v>
      </c>
      <c r="BV294" s="109"/>
      <c r="BW294" s="109">
        <v>0</v>
      </c>
      <c r="BX294" s="109">
        <v>0</v>
      </c>
      <c r="BY294" s="109"/>
      <c r="BZ294" s="109">
        <v>0</v>
      </c>
      <c r="CA294" s="109"/>
      <c r="CB294" s="109"/>
      <c r="CC294" s="109"/>
      <c r="CD294" s="110"/>
    </row>
    <row r="295" spans="1:82" s="116" customFormat="1" ht="13.9" customHeight="1" x14ac:dyDescent="0.2">
      <c r="A295" s="109">
        <v>828</v>
      </c>
      <c r="B295" s="109" t="s">
        <v>4079</v>
      </c>
      <c r="C295" s="110" t="s">
        <v>335</v>
      </c>
      <c r="D295" s="111" t="s">
        <v>140</v>
      </c>
      <c r="E295" s="111" t="s">
        <v>6635</v>
      </c>
      <c r="F295" s="112">
        <v>45726</v>
      </c>
      <c r="G295" s="112">
        <v>45726</v>
      </c>
      <c r="H295" s="113">
        <f t="shared" si="24"/>
        <v>45816</v>
      </c>
      <c r="I295" s="113" t="s">
        <v>290</v>
      </c>
      <c r="J295" s="109" t="s">
        <v>1004</v>
      </c>
      <c r="K295" s="109" t="s">
        <v>4486</v>
      </c>
      <c r="L295" s="109" t="s">
        <v>1801</v>
      </c>
      <c r="M295" s="128" t="str">
        <f t="shared" si="25"/>
        <v>JIMENEZ OSORIO LUIS GERARDO</v>
      </c>
      <c r="N295" s="128" t="s">
        <v>7042</v>
      </c>
      <c r="O295" s="128" t="s">
        <v>4670</v>
      </c>
      <c r="P295" s="109" t="s">
        <v>1953</v>
      </c>
      <c r="Q295" s="112">
        <v>34485</v>
      </c>
      <c r="R295" s="125">
        <f t="shared" si="26"/>
        <v>31</v>
      </c>
      <c r="S295" s="125">
        <f t="shared" si="27"/>
        <v>5</v>
      </c>
      <c r="T295" s="125">
        <f t="shared" si="28"/>
        <v>1994</v>
      </c>
      <c r="U295" s="142">
        <f t="shared" ca="1" si="29"/>
        <v>32.389041095890413</v>
      </c>
      <c r="V295" s="114" t="s">
        <v>452</v>
      </c>
      <c r="W295" s="114" t="s">
        <v>2081</v>
      </c>
      <c r="X295" s="109" t="s">
        <v>454</v>
      </c>
      <c r="Y295" s="109" t="s">
        <v>117</v>
      </c>
      <c r="Z295" s="109" t="s">
        <v>142</v>
      </c>
      <c r="AA295" s="109" t="s">
        <v>347</v>
      </c>
      <c r="AB295" s="109" t="s">
        <v>1166</v>
      </c>
      <c r="AC295" s="109" t="s">
        <v>313</v>
      </c>
      <c r="AD295" s="109" t="s">
        <v>314</v>
      </c>
      <c r="AE295" s="109">
        <v>90</v>
      </c>
      <c r="AF295" s="114" t="s">
        <v>554</v>
      </c>
      <c r="AG295" s="109" t="s">
        <v>290</v>
      </c>
      <c r="AH295" s="115" t="s">
        <v>555</v>
      </c>
      <c r="AI295" s="109" t="s">
        <v>317</v>
      </c>
      <c r="AJ295" s="109" t="s">
        <v>318</v>
      </c>
      <c r="AK295" s="109">
        <v>4427964005</v>
      </c>
      <c r="AL295" s="115" t="s">
        <v>2987</v>
      </c>
      <c r="AM295" s="109" t="s">
        <v>2463</v>
      </c>
      <c r="AN295" s="109" t="s">
        <v>560</v>
      </c>
      <c r="AO295" s="109" t="s">
        <v>398</v>
      </c>
      <c r="AP295" s="109"/>
      <c r="AQ295" s="109" t="s">
        <v>3268</v>
      </c>
      <c r="AR295" s="109" t="s">
        <v>699</v>
      </c>
      <c r="AS295" s="109">
        <v>0</v>
      </c>
      <c r="AT295" s="109" t="s">
        <v>1090</v>
      </c>
      <c r="AU295" s="109" t="s">
        <v>545</v>
      </c>
      <c r="AV295" s="109">
        <v>76240</v>
      </c>
      <c r="AW295" s="109" t="s">
        <v>329</v>
      </c>
      <c r="AX295" s="109">
        <v>0</v>
      </c>
      <c r="AY295" s="109" t="s">
        <v>329</v>
      </c>
      <c r="AZ295" s="109"/>
      <c r="BA295" s="109"/>
      <c r="BB295" s="109"/>
      <c r="BC295" s="109"/>
      <c r="BD295" s="109" t="s">
        <v>2463</v>
      </c>
      <c r="BE295" s="109" t="s">
        <v>560</v>
      </c>
      <c r="BF295" s="109">
        <v>4425022011</v>
      </c>
      <c r="BG295" s="109" t="s">
        <v>685</v>
      </c>
      <c r="BH295" s="109" t="s">
        <v>334</v>
      </c>
      <c r="BI295" s="109" t="s">
        <v>3831</v>
      </c>
      <c r="BJ295" s="109" t="s">
        <v>3888</v>
      </c>
      <c r="BK295" s="109" t="s">
        <v>3911</v>
      </c>
      <c r="BL295" s="111">
        <v>7</v>
      </c>
      <c r="BM295" s="109"/>
      <c r="BN295" s="109">
        <v>0</v>
      </c>
      <c r="BO295" s="111">
        <v>0</v>
      </c>
      <c r="BP295" s="109"/>
      <c r="BQ295" s="109">
        <v>0</v>
      </c>
      <c r="BR295" s="109">
        <v>0</v>
      </c>
      <c r="BS295" s="109"/>
      <c r="BT295" s="109">
        <v>0</v>
      </c>
      <c r="BU295" s="109">
        <v>0</v>
      </c>
      <c r="BV295" s="109"/>
      <c r="BW295" s="109">
        <v>0</v>
      </c>
      <c r="BX295" s="109">
        <v>0</v>
      </c>
      <c r="BY295" s="109"/>
      <c r="BZ295" s="109">
        <v>0</v>
      </c>
      <c r="CA295" s="109"/>
      <c r="CB295" s="109"/>
      <c r="CC295" s="109"/>
      <c r="CD295" s="110"/>
    </row>
    <row r="296" spans="1:82" s="116" customFormat="1" ht="13.9" customHeight="1" x14ac:dyDescent="0.2">
      <c r="A296" s="109">
        <v>829</v>
      </c>
      <c r="B296" s="109" t="s">
        <v>4080</v>
      </c>
      <c r="C296" s="110" t="s">
        <v>335</v>
      </c>
      <c r="D296" s="111" t="s">
        <v>140</v>
      </c>
      <c r="E296" s="111" t="s">
        <v>6636</v>
      </c>
      <c r="F296" s="112">
        <v>45726</v>
      </c>
      <c r="G296" s="112">
        <v>45726</v>
      </c>
      <c r="H296" s="113">
        <f t="shared" si="24"/>
        <v>45816</v>
      </c>
      <c r="I296" s="113" t="s">
        <v>290</v>
      </c>
      <c r="J296" s="109" t="s">
        <v>4364</v>
      </c>
      <c r="K296" s="109" t="s">
        <v>4487</v>
      </c>
      <c r="L296" s="109" t="s">
        <v>706</v>
      </c>
      <c r="M296" s="128" t="str">
        <f t="shared" si="25"/>
        <v>MEDINA DOMINGUEZ MIGUEL ANGEL</v>
      </c>
      <c r="N296" s="128" t="s">
        <v>7043</v>
      </c>
      <c r="O296" s="128" t="s">
        <v>4671</v>
      </c>
      <c r="P296" s="109" t="s">
        <v>1953</v>
      </c>
      <c r="Q296" s="112">
        <v>33366</v>
      </c>
      <c r="R296" s="125">
        <f t="shared" si="26"/>
        <v>8</v>
      </c>
      <c r="S296" s="125">
        <f t="shared" si="27"/>
        <v>5</v>
      </c>
      <c r="T296" s="125">
        <f t="shared" si="28"/>
        <v>1991</v>
      </c>
      <c r="U296" s="142">
        <f t="shared" ca="1" si="29"/>
        <v>35.454794520547942</v>
      </c>
      <c r="V296" s="114" t="s">
        <v>342</v>
      </c>
      <c r="W296" s="114" t="s">
        <v>2082</v>
      </c>
      <c r="X296" s="109" t="s">
        <v>454</v>
      </c>
      <c r="Y296" s="109" t="s">
        <v>117</v>
      </c>
      <c r="Z296" s="109" t="s">
        <v>142</v>
      </c>
      <c r="AA296" s="109" t="s">
        <v>347</v>
      </c>
      <c r="AB296" s="109" t="s">
        <v>1166</v>
      </c>
      <c r="AC296" s="109" t="s">
        <v>313</v>
      </c>
      <c r="AD296" s="109" t="s">
        <v>314</v>
      </c>
      <c r="AE296" s="109">
        <v>90</v>
      </c>
      <c r="AF296" s="114" t="s">
        <v>554</v>
      </c>
      <c r="AG296" s="109" t="s">
        <v>290</v>
      </c>
      <c r="AH296" s="115" t="s">
        <v>555</v>
      </c>
      <c r="AI296" s="109" t="s">
        <v>317</v>
      </c>
      <c r="AJ296" s="109" t="s">
        <v>318</v>
      </c>
      <c r="AK296" s="109">
        <v>4423474645</v>
      </c>
      <c r="AL296" s="115" t="s">
        <v>2988</v>
      </c>
      <c r="AM296" s="109" t="s">
        <v>2464</v>
      </c>
      <c r="AN296" s="109" t="s">
        <v>381</v>
      </c>
      <c r="AO296" s="109" t="s">
        <v>398</v>
      </c>
      <c r="AP296" s="109"/>
      <c r="AQ296" s="109" t="s">
        <v>3269</v>
      </c>
      <c r="AR296" s="109" t="s">
        <v>699</v>
      </c>
      <c r="AS296" s="109">
        <v>0</v>
      </c>
      <c r="AT296" s="109" t="s">
        <v>1090</v>
      </c>
      <c r="AU296" s="109" t="s">
        <v>545</v>
      </c>
      <c r="AV296" s="109">
        <v>76240</v>
      </c>
      <c r="AW296" s="109" t="s">
        <v>329</v>
      </c>
      <c r="AX296" s="109">
        <v>0</v>
      </c>
      <c r="AY296" s="109" t="s">
        <v>329</v>
      </c>
      <c r="AZ296" s="109"/>
      <c r="BA296" s="109"/>
      <c r="BB296" s="109"/>
      <c r="BC296" s="109"/>
      <c r="BD296" s="109" t="s">
        <v>2464</v>
      </c>
      <c r="BE296" s="109" t="s">
        <v>381</v>
      </c>
      <c r="BF296" s="109">
        <v>4423474645</v>
      </c>
      <c r="BG296" s="109" t="s">
        <v>333</v>
      </c>
      <c r="BH296" s="109" t="s">
        <v>334</v>
      </c>
      <c r="BI296" s="109" t="s">
        <v>3831</v>
      </c>
      <c r="BJ296" s="109" t="s">
        <v>3888</v>
      </c>
      <c r="BK296" s="109" t="s">
        <v>3911</v>
      </c>
      <c r="BL296" s="111">
        <v>1</v>
      </c>
      <c r="BM296" s="109"/>
      <c r="BN296" s="109" t="s">
        <v>571</v>
      </c>
      <c r="BO296" s="111">
        <v>10</v>
      </c>
      <c r="BP296" s="109"/>
      <c r="BQ296" s="109">
        <v>0</v>
      </c>
      <c r="BR296" s="109">
        <v>0</v>
      </c>
      <c r="BS296" s="109"/>
      <c r="BT296" s="109">
        <v>0</v>
      </c>
      <c r="BU296" s="109">
        <v>0</v>
      </c>
      <c r="BV296" s="109"/>
      <c r="BW296" s="109">
        <v>0</v>
      </c>
      <c r="BX296" s="109">
        <v>0</v>
      </c>
      <c r="BY296" s="109"/>
      <c r="BZ296" s="109">
        <v>0</v>
      </c>
      <c r="CA296" s="109"/>
      <c r="CB296" s="109"/>
      <c r="CC296" s="109"/>
      <c r="CD296" s="110"/>
    </row>
    <row r="297" spans="1:82" s="116" customFormat="1" ht="13.9" customHeight="1" x14ac:dyDescent="0.25">
      <c r="A297" s="109">
        <v>832</v>
      </c>
      <c r="B297" s="109" t="s">
        <v>4027</v>
      </c>
      <c r="C297" s="110" t="s">
        <v>363</v>
      </c>
      <c r="D297" s="109" t="s">
        <v>7242</v>
      </c>
      <c r="E297" s="129" t="s">
        <v>6816</v>
      </c>
      <c r="F297" s="112">
        <v>45734</v>
      </c>
      <c r="G297" s="112">
        <v>45734</v>
      </c>
      <c r="H297" s="113">
        <f t="shared" si="24"/>
        <v>45824</v>
      </c>
      <c r="I297" s="113" t="s">
        <v>291</v>
      </c>
      <c r="J297" s="109" t="s">
        <v>4529</v>
      </c>
      <c r="K297" s="109" t="s">
        <v>1280</v>
      </c>
      <c r="L297" s="109" t="s">
        <v>4906</v>
      </c>
      <c r="M297" s="128" t="str">
        <f t="shared" si="25"/>
        <v>ROMERO RAMIREZ IVAN JONATHAN</v>
      </c>
      <c r="N297" s="128" t="s">
        <v>4907</v>
      </c>
      <c r="O297" s="128" t="s">
        <v>4908</v>
      </c>
      <c r="P297" s="109" t="s">
        <v>1953</v>
      </c>
      <c r="Q297" s="112">
        <v>27695</v>
      </c>
      <c r="R297" s="125">
        <f t="shared" si="26"/>
        <v>28</v>
      </c>
      <c r="S297" s="125">
        <f t="shared" si="27"/>
        <v>10</v>
      </c>
      <c r="T297" s="125">
        <f t="shared" si="28"/>
        <v>1975</v>
      </c>
      <c r="U297" s="142">
        <f t="shared" ca="1" si="29"/>
        <v>50.991780821917807</v>
      </c>
      <c r="V297" s="114" t="s">
        <v>452</v>
      </c>
      <c r="W297" s="114" t="s">
        <v>4909</v>
      </c>
      <c r="X297" s="109" t="s">
        <v>310</v>
      </c>
      <c r="Y297" s="109" t="s">
        <v>216</v>
      </c>
      <c r="Z297" s="109" t="s">
        <v>246</v>
      </c>
      <c r="AA297" s="109" t="s">
        <v>857</v>
      </c>
      <c r="AB297" s="109" t="s">
        <v>1428</v>
      </c>
      <c r="AC297" s="109" t="s">
        <v>313</v>
      </c>
      <c r="AD297" s="109" t="s">
        <v>314</v>
      </c>
      <c r="AE297" s="109">
        <v>90</v>
      </c>
      <c r="AF297" s="114" t="s">
        <v>375</v>
      </c>
      <c r="AG297" s="109" t="s">
        <v>291</v>
      </c>
      <c r="AH297" s="115" t="s">
        <v>2348</v>
      </c>
      <c r="AI297" s="109" t="s">
        <v>317</v>
      </c>
      <c r="AJ297" s="109" t="s">
        <v>318</v>
      </c>
      <c r="AK297" s="109" t="s">
        <v>4910</v>
      </c>
      <c r="AL297" s="115" t="s">
        <v>4911</v>
      </c>
      <c r="AM297" s="109" t="s">
        <v>4912</v>
      </c>
      <c r="AN297" s="109" t="s">
        <v>560</v>
      </c>
      <c r="AO297" s="109" t="s">
        <v>398</v>
      </c>
      <c r="AP297" s="109"/>
      <c r="AQ297" s="109" t="s">
        <v>4913</v>
      </c>
      <c r="AR297" s="109">
        <v>55</v>
      </c>
      <c r="AS297" s="109" t="s">
        <v>328</v>
      </c>
      <c r="AT297" s="109" t="s">
        <v>4914</v>
      </c>
      <c r="AU297" s="109" t="s">
        <v>1066</v>
      </c>
      <c r="AV297" s="109">
        <v>57100</v>
      </c>
      <c r="AW297" s="109" t="s">
        <v>357</v>
      </c>
      <c r="AX297" s="109"/>
      <c r="AY297" s="109" t="s">
        <v>357</v>
      </c>
      <c r="AZ297" s="109"/>
      <c r="BA297" s="109"/>
      <c r="BB297" s="109"/>
      <c r="BC297" s="109"/>
      <c r="BD297" s="109" t="s">
        <v>4912</v>
      </c>
      <c r="BE297" s="109" t="s">
        <v>602</v>
      </c>
      <c r="BF297" s="109">
        <v>5516558867</v>
      </c>
      <c r="BG297" s="109" t="s">
        <v>333</v>
      </c>
      <c r="BH297" s="109" t="s">
        <v>334</v>
      </c>
      <c r="BI297" s="109" t="s">
        <v>3831</v>
      </c>
      <c r="BJ297" s="109" t="s">
        <v>3888</v>
      </c>
      <c r="BK297" s="109" t="s">
        <v>571</v>
      </c>
      <c r="BL297" s="111">
        <v>28</v>
      </c>
      <c r="BM297" s="109"/>
      <c r="BN297" s="109" t="s">
        <v>571</v>
      </c>
      <c r="BO297" s="111">
        <v>24</v>
      </c>
      <c r="BP297" s="109"/>
      <c r="BQ297" s="109" t="s">
        <v>571</v>
      </c>
      <c r="BR297" s="109">
        <v>23</v>
      </c>
      <c r="BS297" s="109"/>
      <c r="BT297" s="109">
        <v>0</v>
      </c>
      <c r="BU297" s="109">
        <v>0</v>
      </c>
      <c r="BV297" s="109"/>
      <c r="BW297" s="109">
        <v>0</v>
      </c>
      <c r="BX297" s="109">
        <v>0</v>
      </c>
      <c r="BY297" s="109"/>
      <c r="BZ297" s="109">
        <v>0</v>
      </c>
      <c r="CA297" s="109"/>
      <c r="CB297" s="109"/>
      <c r="CC297" s="109"/>
      <c r="CD297" s="110"/>
    </row>
    <row r="298" spans="1:82" s="116" customFormat="1" ht="13.9" customHeight="1" x14ac:dyDescent="0.2">
      <c r="A298" s="12">
        <v>833</v>
      </c>
      <c r="B298" s="12" t="s">
        <v>4107</v>
      </c>
      <c r="C298" s="78" t="s">
        <v>335</v>
      </c>
      <c r="D298" s="99" t="s">
        <v>86</v>
      </c>
      <c r="E298" s="99" t="s">
        <v>6637</v>
      </c>
      <c r="F298" s="100">
        <v>45736</v>
      </c>
      <c r="G298" s="100">
        <v>45736</v>
      </c>
      <c r="H298" s="101">
        <f t="shared" si="24"/>
        <v>45826</v>
      </c>
      <c r="I298" s="101" t="s">
        <v>290</v>
      </c>
      <c r="J298" s="12" t="s">
        <v>4322</v>
      </c>
      <c r="K298" s="12" t="s">
        <v>4495</v>
      </c>
      <c r="L298" s="12" t="s">
        <v>1826</v>
      </c>
      <c r="M298" s="102" t="str">
        <f t="shared" si="25"/>
        <v>CAMACHO BANDIN JESUS ALFREDO</v>
      </c>
      <c r="N298" s="102" t="s">
        <v>7044</v>
      </c>
      <c r="O298" s="102" t="s">
        <v>4703</v>
      </c>
      <c r="P298" s="12" t="s">
        <v>1953</v>
      </c>
      <c r="Q298" s="100">
        <v>35141</v>
      </c>
      <c r="R298" s="77">
        <f t="shared" si="26"/>
        <v>17</v>
      </c>
      <c r="S298" s="77">
        <f t="shared" si="27"/>
        <v>3</v>
      </c>
      <c r="T298" s="77">
        <f t="shared" si="28"/>
        <v>1996</v>
      </c>
      <c r="U298" s="103">
        <f t="shared" ca="1" si="29"/>
        <v>30.591780821917808</v>
      </c>
      <c r="V298" s="13" t="s">
        <v>452</v>
      </c>
      <c r="W298" s="13" t="s">
        <v>2114</v>
      </c>
      <c r="X298" s="12" t="s">
        <v>530</v>
      </c>
      <c r="Y298" s="12" t="s">
        <v>150</v>
      </c>
      <c r="Z298" s="12" t="s">
        <v>153</v>
      </c>
      <c r="AA298" s="12" t="s">
        <v>347</v>
      </c>
      <c r="AB298" s="12" t="s">
        <v>842</v>
      </c>
      <c r="AC298" s="12" t="s">
        <v>313</v>
      </c>
      <c r="AD298" s="12" t="s">
        <v>314</v>
      </c>
      <c r="AE298" s="12">
        <v>90</v>
      </c>
      <c r="AF298" s="13" t="s">
        <v>315</v>
      </c>
      <c r="AG298" s="12" t="s">
        <v>290</v>
      </c>
      <c r="AH298" s="104" t="s">
        <v>843</v>
      </c>
      <c r="AI298" s="12" t="s">
        <v>317</v>
      </c>
      <c r="AJ298" s="12" t="s">
        <v>318</v>
      </c>
      <c r="AK298" s="12">
        <v>4441948460</v>
      </c>
      <c r="AL298" s="104" t="s">
        <v>3020</v>
      </c>
      <c r="AM298" s="12" t="s">
        <v>2491</v>
      </c>
      <c r="AN298" s="12" t="s">
        <v>560</v>
      </c>
      <c r="AO298" s="12" t="s">
        <v>398</v>
      </c>
      <c r="AP298" s="12"/>
      <c r="AQ298" s="12" t="s">
        <v>3282</v>
      </c>
      <c r="AR298" s="12">
        <v>109</v>
      </c>
      <c r="AS298" s="12">
        <v>0</v>
      </c>
      <c r="AT298" s="12" t="s">
        <v>482</v>
      </c>
      <c r="AU298" s="12" t="s">
        <v>483</v>
      </c>
      <c r="AV298" s="12">
        <v>78430</v>
      </c>
      <c r="AW298" s="12" t="s">
        <v>357</v>
      </c>
      <c r="AX298" s="12">
        <v>0</v>
      </c>
      <c r="AY298" s="12" t="s">
        <v>357</v>
      </c>
      <c r="AZ298" s="12"/>
      <c r="BA298" s="12"/>
      <c r="BB298" s="12"/>
      <c r="BC298" s="12"/>
      <c r="BD298" s="12" t="s">
        <v>3508</v>
      </c>
      <c r="BE298" s="12" t="s">
        <v>560</v>
      </c>
      <c r="BF298" s="12">
        <v>4442095898</v>
      </c>
      <c r="BG298" s="12" t="s">
        <v>685</v>
      </c>
      <c r="BH298" s="12" t="s">
        <v>334</v>
      </c>
      <c r="BI298" s="12" t="s">
        <v>3831</v>
      </c>
      <c r="BJ298" s="12" t="s">
        <v>3888</v>
      </c>
      <c r="BK298" s="12" t="s">
        <v>3911</v>
      </c>
      <c r="BL298" s="105">
        <v>7</v>
      </c>
      <c r="BM298" s="12"/>
      <c r="BN298" s="12" t="s">
        <v>3911</v>
      </c>
      <c r="BO298" s="105">
        <v>5</v>
      </c>
      <c r="BP298" s="12"/>
      <c r="BQ298" s="12" t="s">
        <v>3911</v>
      </c>
      <c r="BR298" s="12">
        <v>3</v>
      </c>
      <c r="BS298" s="12"/>
      <c r="BT298" s="12">
        <v>0</v>
      </c>
      <c r="BU298" s="12">
        <v>0</v>
      </c>
      <c r="BV298" s="12"/>
      <c r="BW298" s="12">
        <v>0</v>
      </c>
      <c r="BX298" s="12">
        <v>0</v>
      </c>
      <c r="BY298" s="12"/>
      <c r="BZ298" s="12">
        <v>0</v>
      </c>
      <c r="CA298" s="12"/>
      <c r="CB298" s="12"/>
      <c r="CC298" s="12"/>
      <c r="CD298" s="110"/>
    </row>
    <row r="299" spans="1:82" s="116" customFormat="1" ht="13.9" customHeight="1" x14ac:dyDescent="0.2">
      <c r="A299" s="109">
        <v>834</v>
      </c>
      <c r="B299" s="109" t="s">
        <v>4108</v>
      </c>
      <c r="C299" s="110" t="s">
        <v>335</v>
      </c>
      <c r="D299" s="111" t="s">
        <v>86</v>
      </c>
      <c r="E299" s="111" t="s">
        <v>6778</v>
      </c>
      <c r="F299" s="112">
        <v>45736</v>
      </c>
      <c r="G299" s="112">
        <v>45736</v>
      </c>
      <c r="H299" s="113">
        <f t="shared" si="24"/>
        <v>45826</v>
      </c>
      <c r="I299" s="113" t="s">
        <v>290</v>
      </c>
      <c r="J299" s="109" t="s">
        <v>793</v>
      </c>
      <c r="K299" s="109" t="s">
        <v>4496</v>
      </c>
      <c r="L299" s="109" t="s">
        <v>1827</v>
      </c>
      <c r="M299" s="128" t="str">
        <f t="shared" si="25"/>
        <v>LOPEZ GUEL  JUAN EDUARDO</v>
      </c>
      <c r="N299" s="128" t="s">
        <v>7191</v>
      </c>
      <c r="O299" s="128" t="s">
        <v>4704</v>
      </c>
      <c r="P299" s="109" t="s">
        <v>1953</v>
      </c>
      <c r="Q299" s="112">
        <v>38157</v>
      </c>
      <c r="R299" s="125">
        <f t="shared" si="26"/>
        <v>19</v>
      </c>
      <c r="S299" s="125">
        <f t="shared" si="27"/>
        <v>6</v>
      </c>
      <c r="T299" s="125">
        <f t="shared" si="28"/>
        <v>2004</v>
      </c>
      <c r="U299" s="142">
        <f t="shared" ca="1" si="29"/>
        <v>22.328767123287673</v>
      </c>
      <c r="V299" s="114" t="s">
        <v>452</v>
      </c>
      <c r="W299" s="114" t="s">
        <v>2115</v>
      </c>
      <c r="X299" s="109" t="s">
        <v>454</v>
      </c>
      <c r="Y299" s="109" t="s">
        <v>150</v>
      </c>
      <c r="Z299" s="109" t="s">
        <v>153</v>
      </c>
      <c r="AA299" s="109" t="s">
        <v>347</v>
      </c>
      <c r="AB299" s="109" t="s">
        <v>842</v>
      </c>
      <c r="AC299" s="109" t="s">
        <v>313</v>
      </c>
      <c r="AD299" s="109" t="s">
        <v>314</v>
      </c>
      <c r="AE299" s="109">
        <v>90</v>
      </c>
      <c r="AF299" s="114" t="s">
        <v>315</v>
      </c>
      <c r="AG299" s="109" t="s">
        <v>290</v>
      </c>
      <c r="AH299" s="115" t="s">
        <v>843</v>
      </c>
      <c r="AI299" s="109" t="s">
        <v>317</v>
      </c>
      <c r="AJ299" s="109" t="s">
        <v>318</v>
      </c>
      <c r="AK299" s="109">
        <v>4448120045</v>
      </c>
      <c r="AL299" s="115" t="s">
        <v>3021</v>
      </c>
      <c r="AM299" s="109" t="s">
        <v>2492</v>
      </c>
      <c r="AN299" s="109" t="s">
        <v>622</v>
      </c>
      <c r="AO299" s="109" t="s">
        <v>398</v>
      </c>
      <c r="AP299" s="109"/>
      <c r="AQ299" s="109" t="s">
        <v>3283</v>
      </c>
      <c r="AR299" s="109">
        <v>1156</v>
      </c>
      <c r="AS299" s="109">
        <v>0</v>
      </c>
      <c r="AT299" s="109" t="s">
        <v>483</v>
      </c>
      <c r="AU299" s="109" t="s">
        <v>483</v>
      </c>
      <c r="AV299" s="109">
        <v>78174</v>
      </c>
      <c r="AW299" s="109" t="s">
        <v>357</v>
      </c>
      <c r="AX299" s="109">
        <v>0</v>
      </c>
      <c r="AY299" s="109" t="s">
        <v>357</v>
      </c>
      <c r="AZ299" s="109"/>
      <c r="BA299" s="109"/>
      <c r="BB299" s="109"/>
      <c r="BC299" s="109"/>
      <c r="BD299" s="109" t="s">
        <v>2492</v>
      </c>
      <c r="BE299" s="109" t="s">
        <v>622</v>
      </c>
      <c r="BF299" s="109">
        <v>4441211405</v>
      </c>
      <c r="BG299" s="109" t="s">
        <v>685</v>
      </c>
      <c r="BH299" s="109" t="s">
        <v>334</v>
      </c>
      <c r="BI299" s="109" t="s">
        <v>3831</v>
      </c>
      <c r="BJ299" s="109" t="s">
        <v>3888</v>
      </c>
      <c r="BK299" s="109" t="s">
        <v>571</v>
      </c>
      <c r="BL299" s="111">
        <v>3</v>
      </c>
      <c r="BM299" s="109"/>
      <c r="BN299" s="109">
        <v>0</v>
      </c>
      <c r="BO299" s="111">
        <v>0</v>
      </c>
      <c r="BP299" s="109"/>
      <c r="BQ299" s="109">
        <v>0</v>
      </c>
      <c r="BR299" s="109">
        <v>0</v>
      </c>
      <c r="BS299" s="109"/>
      <c r="BT299" s="109">
        <v>0</v>
      </c>
      <c r="BU299" s="109">
        <v>0</v>
      </c>
      <c r="BV299" s="109"/>
      <c r="BW299" s="109">
        <v>0</v>
      </c>
      <c r="BX299" s="109">
        <v>0</v>
      </c>
      <c r="BY299" s="109"/>
      <c r="BZ299" s="109">
        <v>0</v>
      </c>
      <c r="CA299" s="109"/>
      <c r="CB299" s="109"/>
      <c r="CC299" s="109"/>
      <c r="CD299" s="110"/>
    </row>
    <row r="300" spans="1:82" ht="13.9" customHeight="1" x14ac:dyDescent="0.2">
      <c r="A300" s="107">
        <v>836</v>
      </c>
      <c r="B300" s="107" t="s">
        <v>7258</v>
      </c>
      <c r="C300" s="78" t="s">
        <v>363</v>
      </c>
      <c r="D300" s="12" t="s">
        <v>86</v>
      </c>
      <c r="E300" s="99" t="s">
        <v>6638</v>
      </c>
      <c r="F300" s="100">
        <v>45741</v>
      </c>
      <c r="G300" s="117">
        <v>45740</v>
      </c>
      <c r="H300" s="101">
        <f t="shared" si="24"/>
        <v>45830</v>
      </c>
      <c r="I300" s="101" t="s">
        <v>290</v>
      </c>
      <c r="J300" s="12" t="s">
        <v>4501</v>
      </c>
      <c r="K300" s="12" t="s">
        <v>4869</v>
      </c>
      <c r="L300" s="12" t="s">
        <v>1854</v>
      </c>
      <c r="M300" s="102" t="str">
        <f t="shared" si="25"/>
        <v>QUINTANA GOVEA JORGE</v>
      </c>
      <c r="N300" s="102" t="s">
        <v>7045</v>
      </c>
      <c r="O300" s="102" t="s">
        <v>4870</v>
      </c>
      <c r="P300" s="12" t="s">
        <v>1953</v>
      </c>
      <c r="Q300" s="100">
        <v>30362</v>
      </c>
      <c r="R300" s="77">
        <f t="shared" si="26"/>
        <v>15</v>
      </c>
      <c r="S300" s="77">
        <f t="shared" si="27"/>
        <v>2</v>
      </c>
      <c r="T300" s="77">
        <f t="shared" si="28"/>
        <v>1983</v>
      </c>
      <c r="U300" s="103">
        <f t="shared" ca="1" si="29"/>
        <v>43.684931506849317</v>
      </c>
      <c r="V300" s="13" t="s">
        <v>452</v>
      </c>
      <c r="W300" s="13" t="s">
        <v>4871</v>
      </c>
      <c r="X300" s="12" t="s">
        <v>454</v>
      </c>
      <c r="Y300" s="108" t="s">
        <v>391</v>
      </c>
      <c r="Z300" s="12" t="s">
        <v>88</v>
      </c>
      <c r="AA300" s="12" t="s">
        <v>392</v>
      </c>
      <c r="AB300" s="12" t="s">
        <v>374</v>
      </c>
      <c r="AC300" s="12" t="s">
        <v>313</v>
      </c>
      <c r="AD300" s="12" t="s">
        <v>314</v>
      </c>
      <c r="AE300" s="12">
        <v>90</v>
      </c>
      <c r="AF300" s="13" t="s">
        <v>375</v>
      </c>
      <c r="AG300" s="12" t="s">
        <v>290</v>
      </c>
      <c r="AH300" s="104" t="s">
        <v>473</v>
      </c>
      <c r="AI300" s="12" t="s">
        <v>317</v>
      </c>
      <c r="AJ300" s="12" t="s">
        <v>318</v>
      </c>
      <c r="AK300" s="12">
        <v>4446291867</v>
      </c>
      <c r="AL300" s="104" t="s">
        <v>4872</v>
      </c>
      <c r="AM300" s="12" t="s">
        <v>4873</v>
      </c>
      <c r="AN300" s="12" t="s">
        <v>461</v>
      </c>
      <c r="AO300" s="12" t="s">
        <v>398</v>
      </c>
      <c r="AP300" s="12"/>
      <c r="AQ300" s="12" t="s">
        <v>4874</v>
      </c>
      <c r="AR300" s="12">
        <v>440</v>
      </c>
      <c r="AS300" s="12"/>
      <c r="AT300" s="12" t="s">
        <v>483</v>
      </c>
      <c r="AU300" s="12" t="s">
        <v>3400</v>
      </c>
      <c r="AV300" s="12">
        <v>78395</v>
      </c>
      <c r="AW300" s="12" t="s">
        <v>357</v>
      </c>
      <c r="AX300" s="12"/>
      <c r="AY300" s="12" t="s">
        <v>329</v>
      </c>
      <c r="AZ300" s="12"/>
      <c r="BA300" s="12"/>
      <c r="BB300" s="12"/>
      <c r="BC300" s="12"/>
      <c r="BD300" s="12" t="s">
        <v>4873</v>
      </c>
      <c r="BE300" s="12" t="s">
        <v>461</v>
      </c>
      <c r="BF300" s="12">
        <v>4444900860</v>
      </c>
      <c r="BG300" s="12" t="s">
        <v>333</v>
      </c>
      <c r="BH300" s="12" t="s">
        <v>334</v>
      </c>
      <c r="BI300" s="12">
        <v>1</v>
      </c>
      <c r="BJ300" s="12" t="s">
        <v>3888</v>
      </c>
      <c r="BK300" s="12" t="s">
        <v>571</v>
      </c>
      <c r="BL300" s="105">
        <v>24</v>
      </c>
      <c r="BM300" s="12" t="s">
        <v>571</v>
      </c>
      <c r="BN300" s="12" t="s">
        <v>3888</v>
      </c>
      <c r="BO300" s="105">
        <v>14</v>
      </c>
      <c r="BP300" s="12"/>
      <c r="BQ300" s="12"/>
      <c r="BR300" s="12"/>
      <c r="BS300" s="12"/>
      <c r="BT300" s="12"/>
      <c r="BU300" s="12"/>
      <c r="BV300" s="12"/>
      <c r="BW300" s="12"/>
      <c r="BX300" s="12"/>
      <c r="BY300" s="12"/>
      <c r="BZ300" s="12"/>
      <c r="CA300" s="12"/>
      <c r="CB300" s="12"/>
      <c r="CC300" s="12"/>
      <c r="CD300" s="78"/>
    </row>
    <row r="301" spans="1:82" ht="13.9" customHeight="1" x14ac:dyDescent="0.2">
      <c r="A301" s="12" t="s">
        <v>294</v>
      </c>
      <c r="B301" s="12"/>
      <c r="C301" s="78" t="s">
        <v>363</v>
      </c>
      <c r="D301" s="77" t="s">
        <v>6329</v>
      </c>
      <c r="E301" s="99"/>
      <c r="F301" s="100">
        <v>45748</v>
      </c>
      <c r="G301" s="100"/>
      <c r="H301" s="101">
        <f t="shared" si="24"/>
        <v>90</v>
      </c>
      <c r="I301" s="101" t="s">
        <v>291</v>
      </c>
      <c r="J301" s="12" t="s">
        <v>882</v>
      </c>
      <c r="K301" s="12" t="s">
        <v>447</v>
      </c>
      <c r="L301" s="12" t="s">
        <v>1724</v>
      </c>
      <c r="M301" s="153" t="str">
        <f t="shared" si="25"/>
        <v>OCHOA GARCIA JOSE ANGEL</v>
      </c>
      <c r="N301" s="102" t="e">
        <v>#N/A</v>
      </c>
      <c r="O301" s="102" t="e">
        <v>#N/A</v>
      </c>
      <c r="P301" s="12" t="s">
        <v>1953</v>
      </c>
      <c r="Q301" s="100" t="e">
        <v>#N/A</v>
      </c>
      <c r="R301" s="77" t="e">
        <f t="shared" si="26"/>
        <v>#N/A</v>
      </c>
      <c r="S301" s="77" t="e">
        <f t="shared" si="27"/>
        <v>#N/A</v>
      </c>
      <c r="T301" s="77" t="e">
        <f t="shared" si="28"/>
        <v>#N/A</v>
      </c>
      <c r="U301" s="103" t="e">
        <f t="shared" ca="1" si="29"/>
        <v>#N/A</v>
      </c>
      <c r="V301" s="13" t="e">
        <v>#N/A</v>
      </c>
      <c r="W301" s="13" t="e">
        <v>#N/A</v>
      </c>
      <c r="X301" s="12" t="e">
        <v>#N/A</v>
      </c>
      <c r="Y301" s="108"/>
      <c r="Z301" s="12" t="s">
        <v>293</v>
      </c>
      <c r="AA301" s="12" t="e">
        <v>#N/A</v>
      </c>
      <c r="AB301" s="12" t="e">
        <v>#N/A</v>
      </c>
      <c r="AC301" s="12" t="s">
        <v>313</v>
      </c>
      <c r="AD301" s="12" t="s">
        <v>314</v>
      </c>
      <c r="AE301" s="12">
        <v>90</v>
      </c>
      <c r="AF301" s="13" t="e">
        <v>#N/A</v>
      </c>
      <c r="AG301" s="12" t="e">
        <v>#N/A</v>
      </c>
      <c r="AH301" s="104" t="e">
        <v>#N/A</v>
      </c>
      <c r="AI301" s="12" t="e">
        <v>#N/A</v>
      </c>
      <c r="AJ301" s="12" t="e">
        <v>#N/A</v>
      </c>
      <c r="AK301" s="12" t="e">
        <v>#N/A</v>
      </c>
      <c r="AL301" s="104" t="e">
        <v>#N/A</v>
      </c>
      <c r="AM301" s="12" t="e">
        <f>VLOOKUP(A301,#REF!,47,0)</f>
        <v>#REF!</v>
      </c>
      <c r="AN301" s="12" t="e">
        <v>#N/A</v>
      </c>
      <c r="AO301" s="12" t="e">
        <v>#N/A</v>
      </c>
      <c r="AP301" s="12"/>
      <c r="AQ301" s="12" t="e">
        <v>#N/A</v>
      </c>
      <c r="AR301" s="12" t="e">
        <v>#N/A</v>
      </c>
      <c r="AS301" s="12" t="e">
        <v>#N/A</v>
      </c>
      <c r="AT301" s="12" t="e">
        <v>#N/A</v>
      </c>
      <c r="AU301" s="12" t="e">
        <v>#N/A</v>
      </c>
      <c r="AV301" s="12" t="e">
        <v>#N/A</v>
      </c>
      <c r="AW301" s="12" t="e">
        <v>#N/A</v>
      </c>
      <c r="AX301" s="12" t="e">
        <v>#N/A</v>
      </c>
      <c r="AY301" s="12" t="e">
        <v>#N/A</v>
      </c>
      <c r="AZ301" s="12" t="e">
        <v>#N/A</v>
      </c>
      <c r="BA301" s="12" t="e">
        <v>#N/A</v>
      </c>
      <c r="BB301" s="12" t="e">
        <v>#N/A</v>
      </c>
      <c r="BC301" s="12" t="e">
        <v>#N/A</v>
      </c>
      <c r="BD301" s="12" t="e">
        <v>#N/A</v>
      </c>
      <c r="BE301" s="12" t="e">
        <v>#N/A</v>
      </c>
      <c r="BF301" s="12" t="e">
        <v>#N/A</v>
      </c>
      <c r="BG301" s="12" t="e">
        <v>#N/A</v>
      </c>
      <c r="BH301" s="12" t="e">
        <v>#N/A</v>
      </c>
      <c r="BI301" s="12" t="e">
        <v>#N/A</v>
      </c>
      <c r="BJ301" s="12" t="e">
        <v>#N/A</v>
      </c>
      <c r="BK301" s="12" t="e">
        <v>#N/A</v>
      </c>
      <c r="BL301" s="105" t="e">
        <v>#N/A</v>
      </c>
      <c r="BM301" s="12"/>
      <c r="BN301" s="12" t="e">
        <v>#N/A</v>
      </c>
      <c r="BO301" s="105" t="e">
        <v>#N/A</v>
      </c>
      <c r="BP301" s="12"/>
      <c r="BQ301" s="12" t="e">
        <v>#N/A</v>
      </c>
      <c r="BR301" s="12" t="e">
        <v>#N/A</v>
      </c>
      <c r="BS301" s="12"/>
      <c r="BT301" s="12" t="e">
        <v>#N/A</v>
      </c>
      <c r="BU301" s="12" t="e">
        <v>#N/A</v>
      </c>
      <c r="BV301" s="12"/>
      <c r="BW301" s="12" t="e">
        <v>#N/A</v>
      </c>
      <c r="BX301" s="12" t="e">
        <v>#N/A</v>
      </c>
      <c r="BY301" s="12"/>
      <c r="BZ301" s="12" t="e">
        <v>#N/A</v>
      </c>
      <c r="CA301" s="12"/>
      <c r="CB301" s="12"/>
      <c r="CC301" s="12"/>
      <c r="CD301" s="78"/>
    </row>
    <row r="302" spans="1:82" s="116" customFormat="1" ht="13.9" customHeight="1" x14ac:dyDescent="0.2">
      <c r="A302" s="109">
        <v>468</v>
      </c>
      <c r="B302" s="109" t="s">
        <v>4081</v>
      </c>
      <c r="C302" s="110" t="s">
        <v>335</v>
      </c>
      <c r="D302" s="111" t="s">
        <v>140</v>
      </c>
      <c r="E302" s="111" t="s">
        <v>6639</v>
      </c>
      <c r="F302" s="112">
        <v>45755</v>
      </c>
      <c r="G302" s="112">
        <v>45755</v>
      </c>
      <c r="H302" s="113">
        <f t="shared" si="24"/>
        <v>45845</v>
      </c>
      <c r="I302" s="113" t="s">
        <v>290</v>
      </c>
      <c r="J302" s="109" t="s">
        <v>704</v>
      </c>
      <c r="K302" s="109" t="s">
        <v>507</v>
      </c>
      <c r="L302" s="109" t="s">
        <v>1710</v>
      </c>
      <c r="M302" s="128" t="str">
        <f t="shared" si="25"/>
        <v>GONZALEZ MARTINEZ FRANCISCO JAVIER</v>
      </c>
      <c r="N302" s="128" t="s">
        <v>7046</v>
      </c>
      <c r="O302" s="128" t="s">
        <v>4672</v>
      </c>
      <c r="P302" s="109" t="s">
        <v>1953</v>
      </c>
      <c r="Q302" s="112">
        <v>34005</v>
      </c>
      <c r="R302" s="125">
        <f t="shared" si="26"/>
        <v>5</v>
      </c>
      <c r="S302" s="125">
        <f t="shared" si="27"/>
        <v>2</v>
      </c>
      <c r="T302" s="125">
        <f t="shared" si="28"/>
        <v>1993</v>
      </c>
      <c r="U302" s="142">
        <f t="shared" ca="1" si="29"/>
        <v>33.704109589041096</v>
      </c>
      <c r="V302" s="114" t="s">
        <v>342</v>
      </c>
      <c r="W302" s="114" t="s">
        <v>2083</v>
      </c>
      <c r="X302" s="109" t="s">
        <v>1497</v>
      </c>
      <c r="Y302" s="109" t="s">
        <v>117</v>
      </c>
      <c r="Z302" s="109" t="s">
        <v>142</v>
      </c>
      <c r="AA302" s="109" t="s">
        <v>347</v>
      </c>
      <c r="AB302" s="109" t="s">
        <v>888</v>
      </c>
      <c r="AC302" s="109" t="s">
        <v>313</v>
      </c>
      <c r="AD302" s="109" t="s">
        <v>314</v>
      </c>
      <c r="AE302" s="109">
        <v>90</v>
      </c>
      <c r="AF302" s="114" t="s">
        <v>375</v>
      </c>
      <c r="AG302" s="109" t="s">
        <v>290</v>
      </c>
      <c r="AH302" s="115" t="s">
        <v>555</v>
      </c>
      <c r="AI302" s="109" t="s">
        <v>317</v>
      </c>
      <c r="AJ302" s="109" t="s">
        <v>318</v>
      </c>
      <c r="AK302" s="109" t="s">
        <v>2714</v>
      </c>
      <c r="AL302" s="115" t="s">
        <v>2989</v>
      </c>
      <c r="AM302" s="109" t="s">
        <v>2465</v>
      </c>
      <c r="AN302" s="109" t="s">
        <v>381</v>
      </c>
      <c r="AO302" s="109" t="s">
        <v>398</v>
      </c>
      <c r="AP302" s="109"/>
      <c r="AQ302" s="109" t="s">
        <v>3270</v>
      </c>
      <c r="AR302" s="109">
        <v>6</v>
      </c>
      <c r="AS302" s="109" t="s">
        <v>328</v>
      </c>
      <c r="AT302" s="109" t="s">
        <v>3393</v>
      </c>
      <c r="AU302" s="109" t="s">
        <v>1184</v>
      </c>
      <c r="AV302" s="109">
        <v>38513</v>
      </c>
      <c r="AW302" s="109">
        <v>0</v>
      </c>
      <c r="AX302" s="109">
        <v>0</v>
      </c>
      <c r="AY302" s="109">
        <v>0</v>
      </c>
      <c r="AZ302" s="109"/>
      <c r="BA302" s="109"/>
      <c r="BB302" s="109"/>
      <c r="BC302" s="109"/>
      <c r="BD302" s="109" t="s">
        <v>3497</v>
      </c>
      <c r="BE302" s="109" t="s">
        <v>381</v>
      </c>
      <c r="BF302" s="109" t="s">
        <v>3664</v>
      </c>
      <c r="BG302" s="109" t="s">
        <v>333</v>
      </c>
      <c r="BH302" s="109" t="s">
        <v>334</v>
      </c>
      <c r="BI302" s="109">
        <v>3</v>
      </c>
      <c r="BJ302" s="109" t="s">
        <v>3859</v>
      </c>
      <c r="BK302" s="109" t="s">
        <v>3911</v>
      </c>
      <c r="BL302" s="111">
        <v>0</v>
      </c>
      <c r="BM302" s="109"/>
      <c r="BN302" s="109">
        <v>0</v>
      </c>
      <c r="BO302" s="111">
        <v>0</v>
      </c>
      <c r="BP302" s="109"/>
      <c r="BQ302" s="109">
        <v>0</v>
      </c>
      <c r="BR302" s="109">
        <v>0</v>
      </c>
      <c r="BS302" s="109"/>
      <c r="BT302" s="109">
        <v>0</v>
      </c>
      <c r="BU302" s="109">
        <v>0</v>
      </c>
      <c r="BV302" s="109"/>
      <c r="BW302" s="109">
        <v>0</v>
      </c>
      <c r="BX302" s="109">
        <v>0</v>
      </c>
      <c r="BY302" s="109"/>
      <c r="BZ302" s="109">
        <v>0</v>
      </c>
      <c r="CA302" s="109"/>
      <c r="CB302" s="109"/>
      <c r="CC302" s="109"/>
      <c r="CD302" s="110"/>
    </row>
    <row r="303" spans="1:82" s="116" customFormat="1" ht="13.9" customHeight="1" x14ac:dyDescent="0.2">
      <c r="A303" s="109">
        <v>328</v>
      </c>
      <c r="B303" s="109" t="s">
        <v>4168</v>
      </c>
      <c r="C303" s="110" t="s">
        <v>335</v>
      </c>
      <c r="D303" s="109" t="s">
        <v>140</v>
      </c>
      <c r="E303" s="111" t="s">
        <v>6640</v>
      </c>
      <c r="F303" s="112">
        <v>45761</v>
      </c>
      <c r="G303" s="112">
        <v>45761</v>
      </c>
      <c r="H303" s="113">
        <f t="shared" si="24"/>
        <v>45851</v>
      </c>
      <c r="I303" s="113" t="s">
        <v>291</v>
      </c>
      <c r="J303" s="109" t="s">
        <v>793</v>
      </c>
      <c r="K303" s="109" t="s">
        <v>4529</v>
      </c>
      <c r="L303" s="109" t="s">
        <v>1915</v>
      </c>
      <c r="M303" s="128" t="str">
        <f t="shared" si="25"/>
        <v>LOPEZ ROMERO YVETT</v>
      </c>
      <c r="N303" s="128" t="s">
        <v>7047</v>
      </c>
      <c r="O303" s="128" t="s">
        <v>4814</v>
      </c>
      <c r="P303" s="109" t="s">
        <v>1954</v>
      </c>
      <c r="Q303" s="112">
        <v>26774</v>
      </c>
      <c r="R303" s="125">
        <f t="shared" si="26"/>
        <v>20</v>
      </c>
      <c r="S303" s="125">
        <f t="shared" si="27"/>
        <v>4</v>
      </c>
      <c r="T303" s="125">
        <f t="shared" si="28"/>
        <v>1973</v>
      </c>
      <c r="U303" s="142">
        <f t="shared" ca="1" si="29"/>
        <v>53.515068493150686</v>
      </c>
      <c r="V303" s="114" t="s">
        <v>308</v>
      </c>
      <c r="W303" s="114" t="s">
        <v>2224</v>
      </c>
      <c r="X303" s="109" t="s">
        <v>1497</v>
      </c>
      <c r="Y303" s="120" t="s">
        <v>216</v>
      </c>
      <c r="Z303" s="109" t="s">
        <v>238</v>
      </c>
      <c r="AA303" s="109" t="s">
        <v>857</v>
      </c>
      <c r="AB303" s="109" t="s">
        <v>2311</v>
      </c>
      <c r="AC303" s="109" t="s">
        <v>313</v>
      </c>
      <c r="AD303" s="109" t="s">
        <v>314</v>
      </c>
      <c r="AE303" s="109">
        <v>90</v>
      </c>
      <c r="AF303" s="114" t="s">
        <v>554</v>
      </c>
      <c r="AG303" s="109" t="s">
        <v>291</v>
      </c>
      <c r="AH303" s="115" t="s">
        <v>555</v>
      </c>
      <c r="AI303" s="109" t="s">
        <v>317</v>
      </c>
      <c r="AJ303" s="109" t="s">
        <v>318</v>
      </c>
      <c r="AK303" s="109" t="s">
        <v>2827</v>
      </c>
      <c r="AL303" s="115" t="s">
        <v>3128</v>
      </c>
      <c r="AM303" s="109" t="s">
        <v>2597</v>
      </c>
      <c r="AN303" s="109" t="s">
        <v>832</v>
      </c>
      <c r="AO303" s="109" t="s">
        <v>398</v>
      </c>
      <c r="AP303" s="109"/>
      <c r="AQ303" s="109">
        <v>0</v>
      </c>
      <c r="AR303" s="109">
        <v>0</v>
      </c>
      <c r="AS303" s="109">
        <v>0</v>
      </c>
      <c r="AT303" s="109">
        <v>0</v>
      </c>
      <c r="AU303" s="109">
        <v>0</v>
      </c>
      <c r="AV303" s="109">
        <v>0</v>
      </c>
      <c r="AW303" s="109" t="s">
        <v>420</v>
      </c>
      <c r="AX303" s="109" t="s">
        <v>329</v>
      </c>
      <c r="AY303" s="109" t="s">
        <v>330</v>
      </c>
      <c r="AZ303" s="109"/>
      <c r="BA303" s="109"/>
      <c r="BB303" s="109"/>
      <c r="BC303" s="109"/>
      <c r="BD303" s="109" t="s">
        <v>2597</v>
      </c>
      <c r="BE303" s="109" t="s">
        <v>832</v>
      </c>
      <c r="BF303" s="109" t="s">
        <v>3780</v>
      </c>
      <c r="BG303" s="109" t="s">
        <v>333</v>
      </c>
      <c r="BH303" s="109" t="s">
        <v>334</v>
      </c>
      <c r="BI303" s="109">
        <v>1</v>
      </c>
      <c r="BJ303" s="112">
        <v>38336</v>
      </c>
      <c r="BK303" s="109" t="s">
        <v>3911</v>
      </c>
      <c r="BL303" s="111">
        <f ca="1">(+TODAY()-BJ303)/365</f>
        <v>21.838356164383562</v>
      </c>
      <c r="BM303" s="109"/>
      <c r="BN303" s="109">
        <v>0</v>
      </c>
      <c r="BO303" s="111">
        <v>0</v>
      </c>
      <c r="BP303" s="109"/>
      <c r="BQ303" s="109">
        <v>0</v>
      </c>
      <c r="BR303" s="109">
        <v>0</v>
      </c>
      <c r="BS303" s="109"/>
      <c r="BT303" s="109">
        <v>0</v>
      </c>
      <c r="BU303" s="109">
        <v>0</v>
      </c>
      <c r="BV303" s="109"/>
      <c r="BW303" s="109">
        <v>0</v>
      </c>
      <c r="BX303" s="109">
        <v>0</v>
      </c>
      <c r="BY303" s="109"/>
      <c r="BZ303" s="109">
        <v>0</v>
      </c>
      <c r="CA303" s="109"/>
      <c r="CB303" s="109"/>
      <c r="CC303" s="109"/>
      <c r="CD303" s="110"/>
    </row>
    <row r="304" spans="1:82" ht="13.9" customHeight="1" x14ac:dyDescent="0.2">
      <c r="A304" s="12">
        <v>840</v>
      </c>
      <c r="B304" s="12" t="s">
        <v>7433</v>
      </c>
      <c r="C304" s="104" t="s">
        <v>299</v>
      </c>
      <c r="D304" s="107" t="s">
        <v>80</v>
      </c>
      <c r="E304" s="99" t="s">
        <v>1694</v>
      </c>
      <c r="F304" s="100">
        <v>45761</v>
      </c>
      <c r="G304" s="100">
        <v>45761</v>
      </c>
      <c r="H304" s="101">
        <f t="shared" si="24"/>
        <v>45851</v>
      </c>
      <c r="I304" s="101" t="s">
        <v>290</v>
      </c>
      <c r="J304" s="12" t="s">
        <v>4427</v>
      </c>
      <c r="K304" s="12" t="s">
        <v>4531</v>
      </c>
      <c r="L304" s="12" t="s">
        <v>1927</v>
      </c>
      <c r="M304" s="102" t="str">
        <f t="shared" si="25"/>
        <v>CONTRERAS  CASTRO ALAN MANUEL</v>
      </c>
      <c r="N304" s="102" t="s">
        <v>7192</v>
      </c>
      <c r="O304" s="102" t="s">
        <v>4833</v>
      </c>
      <c r="P304" s="12" t="s">
        <v>1953</v>
      </c>
      <c r="Q304" s="100">
        <v>37349</v>
      </c>
      <c r="R304" s="77">
        <f t="shared" si="26"/>
        <v>3</v>
      </c>
      <c r="S304" s="77">
        <f t="shared" si="27"/>
        <v>4</v>
      </c>
      <c r="T304" s="77">
        <f t="shared" si="28"/>
        <v>2002</v>
      </c>
      <c r="U304" s="103">
        <f t="shared" ca="1" si="29"/>
        <v>24.542465753424658</v>
      </c>
      <c r="V304" s="13" t="s">
        <v>452</v>
      </c>
      <c r="W304" s="13" t="s">
        <v>2244</v>
      </c>
      <c r="X304" s="12" t="s">
        <v>1497</v>
      </c>
      <c r="Y304" s="108" t="s">
        <v>261</v>
      </c>
      <c r="Z304" s="12" t="s">
        <v>260</v>
      </c>
      <c r="AA304" s="12" t="s">
        <v>311</v>
      </c>
      <c r="AB304" s="12" t="s">
        <v>312</v>
      </c>
      <c r="AC304" s="12" t="s">
        <v>313</v>
      </c>
      <c r="AD304" s="12" t="s">
        <v>314</v>
      </c>
      <c r="AE304" s="12">
        <v>90</v>
      </c>
      <c r="AF304" s="13" t="s">
        <v>315</v>
      </c>
      <c r="AG304" s="12" t="s">
        <v>290</v>
      </c>
      <c r="AH304" s="104" t="s">
        <v>1329</v>
      </c>
      <c r="AI304" s="12" t="s">
        <v>317</v>
      </c>
      <c r="AJ304" s="12" t="s">
        <v>318</v>
      </c>
      <c r="AK304" s="12" t="s">
        <v>2844</v>
      </c>
      <c r="AL304" s="104" t="s">
        <v>3148</v>
      </c>
      <c r="AM304" s="12" t="s">
        <v>2615</v>
      </c>
      <c r="AN304" s="12" t="s">
        <v>461</v>
      </c>
      <c r="AO304" s="12" t="s">
        <v>398</v>
      </c>
      <c r="AP304" s="12"/>
      <c r="AQ304" s="12" t="s">
        <v>3339</v>
      </c>
      <c r="AR304" s="12">
        <v>189</v>
      </c>
      <c r="AS304" s="12">
        <v>189</v>
      </c>
      <c r="AT304" s="12" t="s">
        <v>483</v>
      </c>
      <c r="AU304" s="12" t="s">
        <v>483</v>
      </c>
      <c r="AV304" s="12">
        <v>78115</v>
      </c>
      <c r="AW304" s="12" t="s">
        <v>329</v>
      </c>
      <c r="AX304" s="12">
        <v>0</v>
      </c>
      <c r="AY304" s="12">
        <v>0</v>
      </c>
      <c r="AZ304" s="12"/>
      <c r="BA304" s="12"/>
      <c r="BB304" s="12"/>
      <c r="BC304" s="12"/>
      <c r="BD304" s="12" t="s">
        <v>2615</v>
      </c>
      <c r="BE304" s="12" t="s">
        <v>560</v>
      </c>
      <c r="BF304" s="12" t="s">
        <v>3796</v>
      </c>
      <c r="BG304" s="12" t="s">
        <v>333</v>
      </c>
      <c r="BH304" s="12" t="s">
        <v>334</v>
      </c>
      <c r="BI304" s="12" t="s">
        <v>3831</v>
      </c>
      <c r="BJ304" s="12" t="s">
        <v>3888</v>
      </c>
      <c r="BK304" s="12" t="s">
        <v>3911</v>
      </c>
      <c r="BL304" s="105" t="s">
        <v>3960</v>
      </c>
      <c r="BM304" s="12"/>
      <c r="BN304" s="12">
        <v>0</v>
      </c>
      <c r="BO304" s="105">
        <v>0</v>
      </c>
      <c r="BP304" s="12"/>
      <c r="BQ304" s="12">
        <v>0</v>
      </c>
      <c r="BR304" s="12">
        <v>0</v>
      </c>
      <c r="BS304" s="12"/>
      <c r="BT304" s="12">
        <v>0</v>
      </c>
      <c r="BU304" s="12">
        <v>0</v>
      </c>
      <c r="BV304" s="12"/>
      <c r="BW304" s="12">
        <v>0</v>
      </c>
      <c r="BX304" s="12">
        <v>0</v>
      </c>
      <c r="BY304" s="12"/>
      <c r="BZ304" s="12">
        <v>0</v>
      </c>
      <c r="CA304" s="12"/>
      <c r="CB304" s="12"/>
      <c r="CC304" s="12"/>
      <c r="CD304" s="78"/>
    </row>
    <row r="305" spans="1:82" ht="13.9" customHeight="1" x14ac:dyDescent="0.2">
      <c r="A305" s="12">
        <v>1078</v>
      </c>
      <c r="B305" s="12" t="s">
        <v>4258</v>
      </c>
      <c r="C305" s="104" t="s">
        <v>299</v>
      </c>
      <c r="D305" s="99" t="s">
        <v>80</v>
      </c>
      <c r="E305" s="99" t="s">
        <v>6641</v>
      </c>
      <c r="F305" s="100">
        <v>45761</v>
      </c>
      <c r="G305" s="100">
        <v>45761</v>
      </c>
      <c r="H305" s="101">
        <f t="shared" si="24"/>
        <v>45851</v>
      </c>
      <c r="I305" s="101" t="s">
        <v>291</v>
      </c>
      <c r="J305" s="12" t="s">
        <v>507</v>
      </c>
      <c r="K305" s="12" t="s">
        <v>4511</v>
      </c>
      <c r="L305" s="12" t="s">
        <v>1830</v>
      </c>
      <c r="M305" s="102" t="str">
        <f t="shared" si="25"/>
        <v>MARTINEZ MUÑIZ JESUS</v>
      </c>
      <c r="N305" s="102" t="s">
        <v>7048</v>
      </c>
      <c r="O305" s="102" t="s">
        <v>4761</v>
      </c>
      <c r="P305" s="12" t="s">
        <v>1953</v>
      </c>
      <c r="Q305" s="100">
        <v>27182</v>
      </c>
      <c r="R305" s="77">
        <f t="shared" si="26"/>
        <v>2</v>
      </c>
      <c r="S305" s="77">
        <f t="shared" si="27"/>
        <v>6</v>
      </c>
      <c r="T305" s="77">
        <f t="shared" si="28"/>
        <v>1974</v>
      </c>
      <c r="U305" s="103">
        <f t="shared" ca="1" si="29"/>
        <v>52.397260273972606</v>
      </c>
      <c r="V305" s="13" t="s">
        <v>342</v>
      </c>
      <c r="W305" s="13" t="s">
        <v>2172</v>
      </c>
      <c r="X305" s="12" t="s">
        <v>530</v>
      </c>
      <c r="Y305" s="12" t="s">
        <v>189</v>
      </c>
      <c r="Z305" s="12" t="s">
        <v>170</v>
      </c>
      <c r="AA305" s="12" t="s">
        <v>636</v>
      </c>
      <c r="AB305" s="12" t="s">
        <v>2279</v>
      </c>
      <c r="AC305" s="12" t="s">
        <v>313</v>
      </c>
      <c r="AD305" s="12" t="s">
        <v>314</v>
      </c>
      <c r="AE305" s="12">
        <v>90</v>
      </c>
      <c r="AF305" s="13" t="s">
        <v>315</v>
      </c>
      <c r="AG305" s="12" t="s">
        <v>291</v>
      </c>
      <c r="AH305" s="104" t="s">
        <v>316</v>
      </c>
      <c r="AI305" s="12" t="s">
        <v>317</v>
      </c>
      <c r="AJ305" s="12" t="s">
        <v>318</v>
      </c>
      <c r="AK305" s="12">
        <v>4441697515</v>
      </c>
      <c r="AL305" s="104" t="s">
        <v>3077</v>
      </c>
      <c r="AM305" s="12" t="s">
        <v>2549</v>
      </c>
      <c r="AN305" s="12" t="s">
        <v>381</v>
      </c>
      <c r="AO305" s="12">
        <v>0</v>
      </c>
      <c r="AP305" s="12"/>
      <c r="AQ305" s="12" t="s">
        <v>3305</v>
      </c>
      <c r="AR305" s="12">
        <v>2301</v>
      </c>
      <c r="AS305" s="12">
        <v>0</v>
      </c>
      <c r="AT305" s="12" t="s">
        <v>105</v>
      </c>
      <c r="AU305" s="12" t="s">
        <v>3405</v>
      </c>
      <c r="AV305" s="12">
        <v>20276</v>
      </c>
      <c r="AW305" s="12" t="s">
        <v>3417</v>
      </c>
      <c r="AX305" s="12">
        <v>0</v>
      </c>
      <c r="AY305" s="12" t="s">
        <v>3417</v>
      </c>
      <c r="AZ305" s="12"/>
      <c r="BA305" s="12"/>
      <c r="BB305" s="12"/>
      <c r="BC305" s="12"/>
      <c r="BD305" s="12" t="s">
        <v>2549</v>
      </c>
      <c r="BE305" s="12" t="s">
        <v>381</v>
      </c>
      <c r="BF305" s="12">
        <v>4446658650</v>
      </c>
      <c r="BG305" s="12" t="s">
        <v>488</v>
      </c>
      <c r="BH305" s="12" t="s">
        <v>398</v>
      </c>
      <c r="BI305" s="12" t="s">
        <v>3831</v>
      </c>
      <c r="BJ305" s="12" t="s">
        <v>3888</v>
      </c>
      <c r="BK305" s="12" t="s">
        <v>3911</v>
      </c>
      <c r="BL305" s="105">
        <v>20</v>
      </c>
      <c r="BM305" s="12"/>
      <c r="BN305" s="12" t="s">
        <v>3911</v>
      </c>
      <c r="BO305" s="105">
        <v>15</v>
      </c>
      <c r="BP305" s="12"/>
      <c r="BQ305" s="12">
        <v>0</v>
      </c>
      <c r="BR305" s="12">
        <v>0</v>
      </c>
      <c r="BS305" s="12"/>
      <c r="BT305" s="12">
        <v>0</v>
      </c>
      <c r="BU305" s="12">
        <v>0</v>
      </c>
      <c r="BV305" s="12"/>
      <c r="BW305" s="12">
        <v>0</v>
      </c>
      <c r="BX305" s="12">
        <v>0</v>
      </c>
      <c r="BY305" s="12"/>
      <c r="BZ305" s="12">
        <v>0</v>
      </c>
      <c r="CA305" s="12"/>
      <c r="CB305" s="12"/>
      <c r="CC305" s="12"/>
      <c r="CD305" s="78"/>
    </row>
    <row r="306" spans="1:82" s="116" customFormat="1" ht="13.9" customHeight="1" x14ac:dyDescent="0.2">
      <c r="A306" s="109">
        <v>841</v>
      </c>
      <c r="B306" s="109" t="s">
        <v>4140</v>
      </c>
      <c r="C306" s="110" t="s">
        <v>335</v>
      </c>
      <c r="D306" s="109" t="s">
        <v>105</v>
      </c>
      <c r="E306" s="111" t="s">
        <v>6779</v>
      </c>
      <c r="F306" s="112">
        <v>45768</v>
      </c>
      <c r="G306" s="112">
        <v>45768</v>
      </c>
      <c r="H306" s="113">
        <f t="shared" si="24"/>
        <v>45768</v>
      </c>
      <c r="I306" s="113" t="s">
        <v>291</v>
      </c>
      <c r="J306" s="109" t="s">
        <v>4409</v>
      </c>
      <c r="K306" s="109" t="s">
        <v>4518</v>
      </c>
      <c r="L306" s="109" t="s">
        <v>338</v>
      </c>
      <c r="M306" s="128" t="str">
        <f t="shared" si="25"/>
        <v>MONTIEL  ROLDAN JUAN CARLOS</v>
      </c>
      <c r="N306" s="128" t="s">
        <v>7193</v>
      </c>
      <c r="O306" s="128" t="s">
        <v>4784</v>
      </c>
      <c r="P306" s="109" t="s">
        <v>1953</v>
      </c>
      <c r="Q306" s="112">
        <v>28758</v>
      </c>
      <c r="R306" s="125">
        <f t="shared" si="26"/>
        <v>25</v>
      </c>
      <c r="S306" s="125">
        <f t="shared" si="27"/>
        <v>9</v>
      </c>
      <c r="T306" s="125">
        <f t="shared" si="28"/>
        <v>1978</v>
      </c>
      <c r="U306" s="142">
        <f t="shared" ca="1" si="29"/>
        <v>48.079452054794523</v>
      </c>
      <c r="V306" s="114">
        <v>0</v>
      </c>
      <c r="W306" s="114">
        <v>0</v>
      </c>
      <c r="X306" s="109">
        <v>0</v>
      </c>
      <c r="Y306" s="120" t="s">
        <v>216</v>
      </c>
      <c r="Z306" s="109" t="s">
        <v>227</v>
      </c>
      <c r="AA306" s="109">
        <v>0</v>
      </c>
      <c r="AB306" s="109">
        <v>0</v>
      </c>
      <c r="AC306" s="109" t="s">
        <v>313</v>
      </c>
      <c r="AD306" s="109">
        <v>0</v>
      </c>
      <c r="AE306" s="109">
        <v>0</v>
      </c>
      <c r="AF306" s="114">
        <v>0</v>
      </c>
      <c r="AG306" s="109">
        <v>0</v>
      </c>
      <c r="AH306" s="115">
        <v>0</v>
      </c>
      <c r="AI306" s="109">
        <v>0</v>
      </c>
      <c r="AJ306" s="109">
        <v>0</v>
      </c>
      <c r="AK306" s="109">
        <v>0</v>
      </c>
      <c r="AL306" s="115">
        <v>0</v>
      </c>
      <c r="AM306" s="109">
        <v>0</v>
      </c>
      <c r="AN306" s="109">
        <v>0</v>
      </c>
      <c r="AO306" s="109">
        <v>0</v>
      </c>
      <c r="AP306" s="109"/>
      <c r="AQ306" s="109">
        <v>0</v>
      </c>
      <c r="AR306" s="109">
        <v>0</v>
      </c>
      <c r="AS306" s="109">
        <v>0</v>
      </c>
      <c r="AT306" s="109">
        <v>0</v>
      </c>
      <c r="AU306" s="109">
        <v>0</v>
      </c>
      <c r="AV306" s="109">
        <v>0</v>
      </c>
      <c r="AW306" s="109" t="s">
        <v>357</v>
      </c>
      <c r="AX306" s="109">
        <v>0</v>
      </c>
      <c r="AY306" s="109">
        <v>0</v>
      </c>
      <c r="AZ306" s="109"/>
      <c r="BA306" s="109"/>
      <c r="BB306" s="109"/>
      <c r="BC306" s="109"/>
      <c r="BD306" s="109">
        <v>0</v>
      </c>
      <c r="BE306" s="109">
        <v>0</v>
      </c>
      <c r="BF306" s="109">
        <v>0</v>
      </c>
      <c r="BG306" s="109">
        <v>0</v>
      </c>
      <c r="BH306" s="109">
        <v>0</v>
      </c>
      <c r="BI306" s="109" t="s">
        <v>3831</v>
      </c>
      <c r="BJ306" s="109" t="s">
        <v>3831</v>
      </c>
      <c r="BK306" s="109"/>
      <c r="BL306" s="111"/>
      <c r="BM306" s="109"/>
      <c r="BN306" s="109"/>
      <c r="BO306" s="111"/>
      <c r="BP306" s="109"/>
      <c r="BQ306" s="109"/>
      <c r="BR306" s="109"/>
      <c r="BS306" s="109"/>
      <c r="BT306" s="109"/>
      <c r="BU306" s="109"/>
      <c r="BV306" s="109"/>
      <c r="BW306" s="109"/>
      <c r="BX306" s="109"/>
      <c r="BY306" s="109"/>
      <c r="BZ306" s="109"/>
      <c r="CA306" s="109"/>
      <c r="CB306" s="109"/>
      <c r="CC306" s="109"/>
      <c r="CD306" s="110"/>
    </row>
    <row r="307" spans="1:82" ht="13.9" customHeight="1" x14ac:dyDescent="0.2">
      <c r="A307" s="12">
        <v>842</v>
      </c>
      <c r="B307" s="12" t="s">
        <v>4141</v>
      </c>
      <c r="C307" s="78" t="s">
        <v>335</v>
      </c>
      <c r="D307" s="107" t="s">
        <v>105</v>
      </c>
      <c r="E307" s="99" t="s">
        <v>6642</v>
      </c>
      <c r="F307" s="100">
        <v>45768</v>
      </c>
      <c r="G307" s="100">
        <v>45768</v>
      </c>
      <c r="H307" s="101">
        <f t="shared" si="24"/>
        <v>45768</v>
      </c>
      <c r="I307" s="101" t="s">
        <v>291</v>
      </c>
      <c r="J307" s="12" t="s">
        <v>1321</v>
      </c>
      <c r="K307" s="12" t="s">
        <v>1079</v>
      </c>
      <c r="L307" s="12" t="s">
        <v>1811</v>
      </c>
      <c r="M307" s="153" t="str">
        <f t="shared" si="25"/>
        <v>CARDENAS CASTILLO JORGE MIGUEL</v>
      </c>
      <c r="N307" s="102" t="s">
        <v>7049</v>
      </c>
      <c r="O307" s="102" t="s">
        <v>4785</v>
      </c>
      <c r="P307" s="12" t="s">
        <v>1953</v>
      </c>
      <c r="Q307" s="100">
        <v>27940</v>
      </c>
      <c r="R307" s="77">
        <f t="shared" si="26"/>
        <v>29</v>
      </c>
      <c r="S307" s="77">
        <f t="shared" si="27"/>
        <v>6</v>
      </c>
      <c r="T307" s="77">
        <f t="shared" si="28"/>
        <v>1976</v>
      </c>
      <c r="U307" s="103">
        <f t="shared" ca="1" si="29"/>
        <v>50.320547945205476</v>
      </c>
      <c r="V307" s="13">
        <v>0</v>
      </c>
      <c r="W307" s="13">
        <v>0</v>
      </c>
      <c r="X307" s="12">
        <v>0</v>
      </c>
      <c r="Y307" s="108" t="s">
        <v>216</v>
      </c>
      <c r="Z307" s="12" t="s">
        <v>227</v>
      </c>
      <c r="AA307" s="12">
        <v>0</v>
      </c>
      <c r="AB307" s="12">
        <v>0</v>
      </c>
      <c r="AC307" s="12" t="s">
        <v>313</v>
      </c>
      <c r="AD307" s="12">
        <v>0</v>
      </c>
      <c r="AE307" s="12">
        <v>0</v>
      </c>
      <c r="AF307" s="13">
        <v>0</v>
      </c>
      <c r="AG307" s="12">
        <v>0</v>
      </c>
      <c r="AH307" s="104">
        <v>0</v>
      </c>
      <c r="AI307" s="12">
        <v>0</v>
      </c>
      <c r="AJ307" s="12">
        <v>0</v>
      </c>
      <c r="AK307" s="12">
        <v>0</v>
      </c>
      <c r="AL307" s="104">
        <v>0</v>
      </c>
      <c r="AM307" s="12">
        <v>0</v>
      </c>
      <c r="AN307" s="12">
        <v>0</v>
      </c>
      <c r="AO307" s="12">
        <v>0</v>
      </c>
      <c r="AP307" s="12"/>
      <c r="AQ307" s="12">
        <v>0</v>
      </c>
      <c r="AR307" s="12">
        <v>0</v>
      </c>
      <c r="AS307" s="12">
        <v>0</v>
      </c>
      <c r="AT307" s="12">
        <v>0</v>
      </c>
      <c r="AU307" s="12">
        <v>0</v>
      </c>
      <c r="AV307" s="12">
        <v>0</v>
      </c>
      <c r="AW307" s="12" t="s">
        <v>357</v>
      </c>
      <c r="AX307" s="12">
        <v>0</v>
      </c>
      <c r="AY307" s="12">
        <v>0</v>
      </c>
      <c r="AZ307" s="12"/>
      <c r="BA307" s="12"/>
      <c r="BB307" s="12"/>
      <c r="BC307" s="12"/>
      <c r="BD307" s="12">
        <v>0</v>
      </c>
      <c r="BE307" s="12">
        <v>0</v>
      </c>
      <c r="BF307" s="12">
        <v>0</v>
      </c>
      <c r="BG307" s="12">
        <v>0</v>
      </c>
      <c r="BH307" s="12">
        <v>0</v>
      </c>
      <c r="BI307" s="12" t="s">
        <v>3831</v>
      </c>
      <c r="BJ307" s="12" t="s">
        <v>3831</v>
      </c>
      <c r="BK307" s="12"/>
      <c r="BL307" s="105"/>
      <c r="BM307" s="12"/>
      <c r="BN307" s="12"/>
      <c r="BO307" s="105"/>
      <c r="BP307" s="12"/>
      <c r="BQ307" s="12"/>
      <c r="BR307" s="12"/>
      <c r="BS307" s="12"/>
      <c r="BT307" s="12"/>
      <c r="BU307" s="12"/>
      <c r="BV307" s="12"/>
      <c r="BW307" s="12"/>
      <c r="BX307" s="12"/>
      <c r="BY307" s="12"/>
      <c r="BZ307" s="12"/>
      <c r="CA307" s="12"/>
      <c r="CB307" s="12"/>
      <c r="CC307" s="12"/>
      <c r="CD307" s="78"/>
    </row>
    <row r="308" spans="1:82" ht="13.9" customHeight="1" x14ac:dyDescent="0.2">
      <c r="A308" s="107">
        <v>662</v>
      </c>
      <c r="B308" s="107" t="s">
        <v>3992</v>
      </c>
      <c r="C308" s="104" t="s">
        <v>564</v>
      </c>
      <c r="D308" s="107" t="s">
        <v>81</v>
      </c>
      <c r="E308" s="99" t="s">
        <v>6643</v>
      </c>
      <c r="F308" s="100">
        <v>45770</v>
      </c>
      <c r="G308" s="100">
        <v>45770</v>
      </c>
      <c r="H308" s="101">
        <f t="shared" si="24"/>
        <v>45860</v>
      </c>
      <c r="I308" s="101" t="s">
        <v>290</v>
      </c>
      <c r="J308" s="12" t="s">
        <v>704</v>
      </c>
      <c r="K308" s="12" t="s">
        <v>705</v>
      </c>
      <c r="L308" s="12" t="s">
        <v>706</v>
      </c>
      <c r="M308" s="102" t="str">
        <f t="shared" si="25"/>
        <v>GONZALEZ PLASCENCIA MIGUEL ANGEL</v>
      </c>
      <c r="N308" s="102" t="s">
        <v>707</v>
      </c>
      <c r="O308" s="102" t="s">
        <v>708</v>
      </c>
      <c r="P308" s="12" t="s">
        <v>1953</v>
      </c>
      <c r="Q308" s="100">
        <v>35334</v>
      </c>
      <c r="R308" s="77">
        <f t="shared" si="26"/>
        <v>26</v>
      </c>
      <c r="S308" s="77">
        <f t="shared" si="27"/>
        <v>9</v>
      </c>
      <c r="T308" s="77">
        <f t="shared" si="28"/>
        <v>1996</v>
      </c>
      <c r="U308" s="103">
        <f t="shared" ca="1" si="29"/>
        <v>30.063013698630137</v>
      </c>
      <c r="V308" s="13" t="s">
        <v>452</v>
      </c>
      <c r="W308" s="13" t="s">
        <v>709</v>
      </c>
      <c r="X308" s="12" t="s">
        <v>472</v>
      </c>
      <c r="Y308" s="12" t="s">
        <v>83</v>
      </c>
      <c r="Z308" s="12" t="s">
        <v>84</v>
      </c>
      <c r="AA308" s="12" t="s">
        <v>532</v>
      </c>
      <c r="AB308" s="12" t="s">
        <v>637</v>
      </c>
      <c r="AC308" s="12" t="s">
        <v>313</v>
      </c>
      <c r="AD308" s="12" t="s">
        <v>314</v>
      </c>
      <c r="AE308" s="12">
        <v>90</v>
      </c>
      <c r="AF308" s="13" t="s">
        <v>710</v>
      </c>
      <c r="AG308" s="12" t="s">
        <v>290</v>
      </c>
      <c r="AH308" s="104" t="s">
        <v>575</v>
      </c>
      <c r="AI308" s="12" t="s">
        <v>317</v>
      </c>
      <c r="AJ308" s="12" t="s">
        <v>318</v>
      </c>
      <c r="AK308" s="12" t="s">
        <v>712</v>
      </c>
      <c r="AL308" s="104" t="s">
        <v>713</v>
      </c>
      <c r="AM308" s="12" t="s">
        <v>714</v>
      </c>
      <c r="AN308" s="12" t="s">
        <v>560</v>
      </c>
      <c r="AO308" s="12" t="s">
        <v>327</v>
      </c>
      <c r="AP308" s="12"/>
      <c r="AQ308" s="12" t="s">
        <v>715</v>
      </c>
      <c r="AR308" s="12" t="s">
        <v>716</v>
      </c>
      <c r="AS308" s="12" t="s">
        <v>328</v>
      </c>
      <c r="AT308" s="12" t="s">
        <v>717</v>
      </c>
      <c r="AU308" s="12" t="s">
        <v>583</v>
      </c>
      <c r="AV308" s="12">
        <v>45400</v>
      </c>
      <c r="AW308" s="12" t="s">
        <v>329</v>
      </c>
      <c r="AX308" s="12" t="s">
        <v>357</v>
      </c>
      <c r="AY308" s="12" t="s">
        <v>357</v>
      </c>
      <c r="AZ308" s="12"/>
      <c r="BA308" s="12"/>
      <c r="BB308" s="12"/>
      <c r="BC308" s="12"/>
      <c r="BD308" s="12" t="s">
        <v>714</v>
      </c>
      <c r="BE308" s="12" t="s">
        <v>560</v>
      </c>
      <c r="BF308" s="12" t="s">
        <v>719</v>
      </c>
      <c r="BG308" s="12" t="s">
        <v>333</v>
      </c>
      <c r="BH308" s="12" t="s">
        <v>334</v>
      </c>
      <c r="BI308" s="12" t="s">
        <v>3831</v>
      </c>
      <c r="BJ308" s="12" t="s">
        <v>3888</v>
      </c>
      <c r="BK308" s="12" t="s">
        <v>571</v>
      </c>
      <c r="BL308" s="105" t="s">
        <v>3926</v>
      </c>
      <c r="BM308" s="12"/>
      <c r="BN308" s="12" t="s">
        <v>571</v>
      </c>
      <c r="BO308" s="105" t="s">
        <v>3927</v>
      </c>
      <c r="BP308" s="12"/>
      <c r="BQ308" s="12">
        <v>0</v>
      </c>
      <c r="BR308" s="12">
        <v>0</v>
      </c>
      <c r="BS308" s="12"/>
      <c r="BT308" s="12">
        <v>0</v>
      </c>
      <c r="BU308" s="12">
        <v>0</v>
      </c>
      <c r="BV308" s="12"/>
      <c r="BW308" s="12">
        <v>0</v>
      </c>
      <c r="BX308" s="12">
        <v>0</v>
      </c>
      <c r="BY308" s="12"/>
      <c r="BZ308" s="12">
        <v>0</v>
      </c>
      <c r="CA308" s="12"/>
      <c r="CB308" s="12"/>
      <c r="CC308" s="12"/>
      <c r="CD308" s="78"/>
    </row>
    <row r="309" spans="1:82" s="116" customFormat="1" ht="13.9" customHeight="1" x14ac:dyDescent="0.2">
      <c r="A309" s="109">
        <v>844</v>
      </c>
      <c r="B309" s="109" t="s">
        <v>4014</v>
      </c>
      <c r="C309" s="115" t="s">
        <v>564</v>
      </c>
      <c r="D309" s="109" t="s">
        <v>81</v>
      </c>
      <c r="E309" s="111" t="s">
        <v>6780</v>
      </c>
      <c r="F309" s="112">
        <v>45775</v>
      </c>
      <c r="G309" s="112">
        <v>45775</v>
      </c>
      <c r="H309" s="113">
        <f t="shared" si="24"/>
        <v>45865</v>
      </c>
      <c r="I309" s="113" t="s">
        <v>291</v>
      </c>
      <c r="J309" s="109" t="s">
        <v>384</v>
      </c>
      <c r="K309" s="109" t="s">
        <v>766</v>
      </c>
      <c r="L309" s="109" t="s">
        <v>1928</v>
      </c>
      <c r="M309" s="128" t="str">
        <f t="shared" si="25"/>
        <v>SANCHEZ HERNANDEZ  ALFREDO EMMANUEL</v>
      </c>
      <c r="N309" s="128" t="s">
        <v>7194</v>
      </c>
      <c r="O309" s="128" t="s">
        <v>4834</v>
      </c>
      <c r="P309" s="109" t="s">
        <v>1953</v>
      </c>
      <c r="Q309" s="112">
        <v>36582</v>
      </c>
      <c r="R309" s="125">
        <f t="shared" si="26"/>
        <v>26</v>
      </c>
      <c r="S309" s="125">
        <f t="shared" si="27"/>
        <v>2</v>
      </c>
      <c r="T309" s="125">
        <f t="shared" si="28"/>
        <v>2000</v>
      </c>
      <c r="U309" s="142">
        <f t="shared" ca="1" si="29"/>
        <v>26.643835616438356</v>
      </c>
      <c r="V309" s="114" t="s">
        <v>389</v>
      </c>
      <c r="W309" s="114" t="s">
        <v>2245</v>
      </c>
      <c r="X309" s="109" t="s">
        <v>530</v>
      </c>
      <c r="Y309" s="120" t="s">
        <v>262</v>
      </c>
      <c r="Z309" s="109" t="s">
        <v>259</v>
      </c>
      <c r="AA309" s="109" t="s">
        <v>636</v>
      </c>
      <c r="AB309" s="109" t="s">
        <v>637</v>
      </c>
      <c r="AC309" s="109" t="s">
        <v>313</v>
      </c>
      <c r="AD309" s="109" t="s">
        <v>314</v>
      </c>
      <c r="AE309" s="109">
        <v>90</v>
      </c>
      <c r="AF309" s="114" t="s">
        <v>350</v>
      </c>
      <c r="AG309" s="109" t="s">
        <v>290</v>
      </c>
      <c r="AH309" s="115" t="s">
        <v>575</v>
      </c>
      <c r="AI309" s="109" t="s">
        <v>317</v>
      </c>
      <c r="AJ309" s="109" t="s">
        <v>318</v>
      </c>
      <c r="AK309" s="109">
        <v>33377335521</v>
      </c>
      <c r="AL309" s="115" t="s">
        <v>3149</v>
      </c>
      <c r="AM309" s="109">
        <v>0</v>
      </c>
      <c r="AN309" s="109">
        <v>0</v>
      </c>
      <c r="AO309" s="109">
        <v>0</v>
      </c>
      <c r="AP309" s="109"/>
      <c r="AQ309" s="109" t="s">
        <v>3340</v>
      </c>
      <c r="AR309" s="109">
        <v>224</v>
      </c>
      <c r="AS309" s="109" t="s">
        <v>642</v>
      </c>
      <c r="AT309" s="109" t="s">
        <v>624</v>
      </c>
      <c r="AU309" s="109" t="s">
        <v>3400</v>
      </c>
      <c r="AV309" s="109">
        <v>45680</v>
      </c>
      <c r="AW309" s="109" t="s">
        <v>3417</v>
      </c>
      <c r="AX309" s="109">
        <v>0</v>
      </c>
      <c r="AY309" s="109" t="s">
        <v>329</v>
      </c>
      <c r="AZ309" s="109"/>
      <c r="BA309" s="109"/>
      <c r="BB309" s="109"/>
      <c r="BC309" s="109"/>
      <c r="BD309" s="109">
        <v>0</v>
      </c>
      <c r="BE309" s="109">
        <v>0</v>
      </c>
      <c r="BF309" s="109">
        <v>0</v>
      </c>
      <c r="BG309" s="109" t="s">
        <v>333</v>
      </c>
      <c r="BH309" s="109" t="s">
        <v>398</v>
      </c>
      <c r="BI309" s="109" t="s">
        <v>3831</v>
      </c>
      <c r="BJ309" s="109" t="s">
        <v>3831</v>
      </c>
      <c r="BK309" s="109"/>
      <c r="BL309" s="111"/>
      <c r="BM309" s="109"/>
      <c r="BN309" s="109"/>
      <c r="BO309" s="111"/>
      <c r="BP309" s="109"/>
      <c r="BQ309" s="109"/>
      <c r="BR309" s="109"/>
      <c r="BS309" s="109"/>
      <c r="BT309" s="109"/>
      <c r="BU309" s="109"/>
      <c r="BV309" s="109"/>
      <c r="BW309" s="109"/>
      <c r="BX309" s="109"/>
      <c r="BY309" s="109"/>
      <c r="BZ309" s="109"/>
      <c r="CA309" s="109"/>
      <c r="CB309" s="109"/>
      <c r="CC309" s="109"/>
      <c r="CD309" s="110"/>
    </row>
    <row r="310" spans="1:82" s="116" customFormat="1" ht="13.9" customHeight="1" x14ac:dyDescent="0.2">
      <c r="A310" s="109">
        <v>845</v>
      </c>
      <c r="B310" s="109" t="s">
        <v>4211</v>
      </c>
      <c r="C310" s="110" t="s">
        <v>363</v>
      </c>
      <c r="D310" s="109" t="s">
        <v>249</v>
      </c>
      <c r="E310" s="111" t="s">
        <v>6644</v>
      </c>
      <c r="F310" s="112">
        <v>45775</v>
      </c>
      <c r="G310" s="112">
        <v>45775</v>
      </c>
      <c r="H310" s="113">
        <f t="shared" si="24"/>
        <v>45865</v>
      </c>
      <c r="I310" s="113" t="s">
        <v>291</v>
      </c>
      <c r="J310" s="109" t="s">
        <v>1281</v>
      </c>
      <c r="K310" s="109" t="s">
        <v>1212</v>
      </c>
      <c r="L310" s="109" t="s">
        <v>1703</v>
      </c>
      <c r="M310" s="128" t="str">
        <f t="shared" si="25"/>
        <v>GUZMAN ALVAREZ JOSE LUIS</v>
      </c>
      <c r="N310" s="128" t="s">
        <v>7050</v>
      </c>
      <c r="O310" s="128" t="s">
        <v>4823</v>
      </c>
      <c r="P310" s="109" t="s">
        <v>1953</v>
      </c>
      <c r="Q310" s="112">
        <v>34798</v>
      </c>
      <c r="R310" s="125">
        <f t="shared" si="26"/>
        <v>9</v>
      </c>
      <c r="S310" s="125">
        <f t="shared" si="27"/>
        <v>4</v>
      </c>
      <c r="T310" s="125">
        <f t="shared" si="28"/>
        <v>1995</v>
      </c>
      <c r="U310" s="142">
        <f t="shared" ca="1" si="29"/>
        <v>31.531506849315068</v>
      </c>
      <c r="V310" s="114" t="s">
        <v>389</v>
      </c>
      <c r="W310" s="114" t="s">
        <v>2234</v>
      </c>
      <c r="X310" s="109" t="s">
        <v>310</v>
      </c>
      <c r="Y310" s="109" t="s">
        <v>252</v>
      </c>
      <c r="Z310" s="109" t="s">
        <v>251</v>
      </c>
      <c r="AA310" s="109">
        <v>0</v>
      </c>
      <c r="AB310" s="109" t="s">
        <v>2285</v>
      </c>
      <c r="AC310" s="109" t="s">
        <v>313</v>
      </c>
      <c r="AD310" s="109" t="s">
        <v>314</v>
      </c>
      <c r="AE310" s="109">
        <v>90</v>
      </c>
      <c r="AF310" s="114" t="s">
        <v>375</v>
      </c>
      <c r="AG310" s="109" t="s">
        <v>291</v>
      </c>
      <c r="AH310" s="115" t="s">
        <v>2348</v>
      </c>
      <c r="AI310" s="109" t="s">
        <v>317</v>
      </c>
      <c r="AJ310" s="109" t="s">
        <v>318</v>
      </c>
      <c r="AK310" s="109">
        <v>4861151705</v>
      </c>
      <c r="AL310" s="115" t="s">
        <v>3138</v>
      </c>
      <c r="AM310" s="109" t="s">
        <v>2607</v>
      </c>
      <c r="AN310" s="109" t="s">
        <v>325</v>
      </c>
      <c r="AO310" s="109" t="s">
        <v>398</v>
      </c>
      <c r="AP310" s="109"/>
      <c r="AQ310" s="109" t="s">
        <v>3334</v>
      </c>
      <c r="AR310" s="109">
        <v>5</v>
      </c>
      <c r="AS310" s="109">
        <v>0</v>
      </c>
      <c r="AT310" s="109" t="s">
        <v>249</v>
      </c>
      <c r="AU310" s="109" t="s">
        <v>3400</v>
      </c>
      <c r="AV310" s="109">
        <v>79407</v>
      </c>
      <c r="AW310" s="109" t="s">
        <v>329</v>
      </c>
      <c r="AX310" s="109">
        <v>0</v>
      </c>
      <c r="AY310" s="109" t="s">
        <v>329</v>
      </c>
      <c r="AZ310" s="109"/>
      <c r="BA310" s="109"/>
      <c r="BB310" s="109"/>
      <c r="BC310" s="109"/>
      <c r="BD310" s="109" t="s">
        <v>3563</v>
      </c>
      <c r="BE310" s="109" t="s">
        <v>401</v>
      </c>
      <c r="BF310" s="109">
        <v>4861135536</v>
      </c>
      <c r="BG310" s="109">
        <v>0</v>
      </c>
      <c r="BH310" s="109" t="s">
        <v>3827</v>
      </c>
      <c r="BI310" s="109" t="s">
        <v>3831</v>
      </c>
      <c r="BJ310" s="109" t="s">
        <v>3831</v>
      </c>
      <c r="BK310" s="109"/>
      <c r="BL310" s="111"/>
      <c r="BM310" s="109"/>
      <c r="BN310" s="109"/>
      <c r="BO310" s="111"/>
      <c r="BP310" s="109"/>
      <c r="BQ310" s="109"/>
      <c r="BR310" s="109"/>
      <c r="BS310" s="109"/>
      <c r="BT310" s="109"/>
      <c r="BU310" s="109"/>
      <c r="BV310" s="109"/>
      <c r="BW310" s="109"/>
      <c r="BX310" s="109"/>
      <c r="BY310" s="109"/>
      <c r="BZ310" s="109"/>
      <c r="CA310" s="109"/>
      <c r="CB310" s="109"/>
      <c r="CC310" s="109"/>
      <c r="CD310" s="110"/>
    </row>
    <row r="311" spans="1:82" s="116" customFormat="1" ht="13.9" customHeight="1" x14ac:dyDescent="0.2">
      <c r="A311" s="109">
        <v>1082</v>
      </c>
      <c r="B311" s="109" t="s">
        <v>3974</v>
      </c>
      <c r="C311" s="115" t="s">
        <v>299</v>
      </c>
      <c r="D311" s="111" t="s">
        <v>80</v>
      </c>
      <c r="E311" s="111" t="s">
        <v>6645</v>
      </c>
      <c r="F311" s="112">
        <v>45776</v>
      </c>
      <c r="G311" s="112">
        <v>45776</v>
      </c>
      <c r="H311" s="113">
        <f t="shared" si="24"/>
        <v>45866</v>
      </c>
      <c r="I311" s="113" t="s">
        <v>290</v>
      </c>
      <c r="J311" s="109" t="s">
        <v>1044</v>
      </c>
      <c r="K311" s="109" t="s">
        <v>590</v>
      </c>
      <c r="L311" s="109" t="s">
        <v>1710</v>
      </c>
      <c r="M311" s="128" t="str">
        <f t="shared" si="25"/>
        <v>RODRIGUEZ PEREZ FRANCISCO JAVIER</v>
      </c>
      <c r="N311" s="128" t="s">
        <v>7051</v>
      </c>
      <c r="O311" s="128" t="s">
        <v>4560</v>
      </c>
      <c r="P311" s="109" t="s">
        <v>1953</v>
      </c>
      <c r="Q311" s="112">
        <v>36828</v>
      </c>
      <c r="R311" s="125">
        <f t="shared" si="26"/>
        <v>29</v>
      </c>
      <c r="S311" s="125">
        <f t="shared" si="27"/>
        <v>10</v>
      </c>
      <c r="T311" s="125">
        <f t="shared" si="28"/>
        <v>2000</v>
      </c>
      <c r="U311" s="142">
        <f t="shared" ca="1" si="29"/>
        <v>25.969863013698632</v>
      </c>
      <c r="V311" s="114">
        <v>0</v>
      </c>
      <c r="W311" s="114" t="s">
        <v>1970</v>
      </c>
      <c r="X311" s="109">
        <v>0</v>
      </c>
      <c r="Y311" s="109" t="s">
        <v>77</v>
      </c>
      <c r="Z311" s="109" t="s">
        <v>73</v>
      </c>
      <c r="AA311" s="109" t="s">
        <v>311</v>
      </c>
      <c r="AB311" s="109" t="s">
        <v>312</v>
      </c>
      <c r="AC311" s="109" t="s">
        <v>313</v>
      </c>
      <c r="AD311" s="109" t="s">
        <v>314</v>
      </c>
      <c r="AE311" s="109">
        <v>90</v>
      </c>
      <c r="AF311" s="114" t="s">
        <v>315</v>
      </c>
      <c r="AG311" s="109" t="s">
        <v>290</v>
      </c>
      <c r="AH311" s="115" t="s">
        <v>1329</v>
      </c>
      <c r="AI311" s="109" t="s">
        <v>317</v>
      </c>
      <c r="AJ311" s="109" t="s">
        <v>318</v>
      </c>
      <c r="AK311" s="109">
        <v>0</v>
      </c>
      <c r="AL311" s="115">
        <v>0</v>
      </c>
      <c r="AM311" s="109">
        <v>0</v>
      </c>
      <c r="AN311" s="109">
        <v>0</v>
      </c>
      <c r="AO311" s="109">
        <v>0</v>
      </c>
      <c r="AP311" s="109"/>
      <c r="AQ311" s="109" t="s">
        <v>3192</v>
      </c>
      <c r="AR311" s="109">
        <v>552</v>
      </c>
      <c r="AS311" s="109">
        <v>0</v>
      </c>
      <c r="AT311" s="109" t="s">
        <v>483</v>
      </c>
      <c r="AU311" s="109" t="s">
        <v>3400</v>
      </c>
      <c r="AV311" s="109">
        <v>78170</v>
      </c>
      <c r="AW311" s="109" t="s">
        <v>329</v>
      </c>
      <c r="AX311" s="109">
        <v>0</v>
      </c>
      <c r="AY311" s="109" t="s">
        <v>329</v>
      </c>
      <c r="AZ311" s="109"/>
      <c r="BA311" s="109"/>
      <c r="BB311" s="109"/>
      <c r="BC311" s="109"/>
      <c r="BD311" s="109">
        <v>0</v>
      </c>
      <c r="BE311" s="109">
        <v>0</v>
      </c>
      <c r="BF311" s="109">
        <v>0</v>
      </c>
      <c r="BG311" s="109">
        <v>0</v>
      </c>
      <c r="BH311" s="109">
        <v>0</v>
      </c>
      <c r="BI311" s="109" t="s">
        <v>3831</v>
      </c>
      <c r="BJ311" s="109" t="s">
        <v>3831</v>
      </c>
      <c r="BK311" s="109"/>
      <c r="BL311" s="111"/>
      <c r="BM311" s="109"/>
      <c r="BN311" s="109"/>
      <c r="BO311" s="111"/>
      <c r="BP311" s="109"/>
      <c r="BQ311" s="109"/>
      <c r="BR311" s="109"/>
      <c r="BS311" s="109"/>
      <c r="BT311" s="109"/>
      <c r="BU311" s="109"/>
      <c r="BV311" s="109"/>
      <c r="BW311" s="109"/>
      <c r="BX311" s="109"/>
      <c r="BY311" s="109"/>
      <c r="BZ311" s="109"/>
      <c r="CA311" s="109"/>
      <c r="CB311" s="109"/>
      <c r="CC311" s="109"/>
      <c r="CD311" s="110"/>
    </row>
    <row r="312" spans="1:82" s="116" customFormat="1" ht="13.9" customHeight="1" x14ac:dyDescent="0.2">
      <c r="A312" s="109">
        <v>847</v>
      </c>
      <c r="B312" s="109" t="s">
        <v>4148</v>
      </c>
      <c r="C312" s="110" t="s">
        <v>335</v>
      </c>
      <c r="D312" s="109" t="s">
        <v>228</v>
      </c>
      <c r="E312" s="111" t="s">
        <v>6781</v>
      </c>
      <c r="F312" s="112">
        <v>45779</v>
      </c>
      <c r="G312" s="112">
        <v>45779</v>
      </c>
      <c r="H312" s="113">
        <f t="shared" si="24"/>
        <v>45869</v>
      </c>
      <c r="I312" s="113" t="s">
        <v>291</v>
      </c>
      <c r="J312" s="109" t="s">
        <v>4411</v>
      </c>
      <c r="K312" s="109" t="s">
        <v>507</v>
      </c>
      <c r="L312" s="109" t="s">
        <v>1902</v>
      </c>
      <c r="M312" s="128" t="str">
        <f t="shared" si="25"/>
        <v>ANDRADE  MARTINEZ ENOC</v>
      </c>
      <c r="N312" s="128" t="s">
        <v>7195</v>
      </c>
      <c r="O312" s="128" t="s">
        <v>4792</v>
      </c>
      <c r="P312" s="109" t="s">
        <v>1953</v>
      </c>
      <c r="Q312" s="112">
        <v>30983</v>
      </c>
      <c r="R312" s="125">
        <f t="shared" si="26"/>
        <v>28</v>
      </c>
      <c r="S312" s="125">
        <f t="shared" si="27"/>
        <v>10</v>
      </c>
      <c r="T312" s="125">
        <f t="shared" si="28"/>
        <v>1984</v>
      </c>
      <c r="U312" s="142">
        <f t="shared" ca="1" si="29"/>
        <v>41.983561643835614</v>
      </c>
      <c r="V312" s="114" t="s">
        <v>389</v>
      </c>
      <c r="W312" s="114" t="s">
        <v>2201</v>
      </c>
      <c r="X312" s="109" t="s">
        <v>693</v>
      </c>
      <c r="Y312" s="120" t="s">
        <v>216</v>
      </c>
      <c r="Z312" s="109" t="s">
        <v>230</v>
      </c>
      <c r="AA312" s="109" t="s">
        <v>857</v>
      </c>
      <c r="AB312" s="109" t="s">
        <v>948</v>
      </c>
      <c r="AC312" s="109" t="s">
        <v>313</v>
      </c>
      <c r="AD312" s="109" t="s">
        <v>314</v>
      </c>
      <c r="AE312" s="109">
        <v>90</v>
      </c>
      <c r="AF312" s="114" t="s">
        <v>949</v>
      </c>
      <c r="AG312" s="109" t="s">
        <v>291</v>
      </c>
      <c r="AH312" s="115" t="s">
        <v>950</v>
      </c>
      <c r="AI312" s="109" t="s">
        <v>317</v>
      </c>
      <c r="AJ312" s="109" t="s">
        <v>318</v>
      </c>
      <c r="AK312" s="109">
        <v>4872204041</v>
      </c>
      <c r="AL312" s="115" t="s">
        <v>3105</v>
      </c>
      <c r="AM312" s="109" t="s">
        <v>2574</v>
      </c>
      <c r="AN312" s="109" t="s">
        <v>439</v>
      </c>
      <c r="AO312" s="109">
        <v>0</v>
      </c>
      <c r="AP312" s="109"/>
      <c r="AQ312" s="109" t="s">
        <v>3316</v>
      </c>
      <c r="AR312" s="109">
        <v>719</v>
      </c>
      <c r="AS312" s="109">
        <v>0</v>
      </c>
      <c r="AT312" s="109" t="s">
        <v>1573</v>
      </c>
      <c r="AU312" s="109" t="s">
        <v>483</v>
      </c>
      <c r="AV312" s="109">
        <v>79650</v>
      </c>
      <c r="AW312" s="109" t="s">
        <v>3416</v>
      </c>
      <c r="AX312" s="109">
        <v>0</v>
      </c>
      <c r="AY312" s="109" t="s">
        <v>329</v>
      </c>
      <c r="AZ312" s="109"/>
      <c r="BA312" s="109"/>
      <c r="BB312" s="109"/>
      <c r="BC312" s="109"/>
      <c r="BD312" s="109" t="s">
        <v>3548</v>
      </c>
      <c r="BE312" s="109" t="s">
        <v>439</v>
      </c>
      <c r="BF312" s="109">
        <v>4443048992</v>
      </c>
      <c r="BG312" s="109" t="s">
        <v>488</v>
      </c>
      <c r="BH312" s="109" t="s">
        <v>3825</v>
      </c>
      <c r="BI312" s="109" t="s">
        <v>3831</v>
      </c>
      <c r="BJ312" s="109" t="s">
        <v>3831</v>
      </c>
      <c r="BK312" s="109"/>
      <c r="BL312" s="111"/>
      <c r="BM312" s="109"/>
      <c r="BN312" s="109"/>
      <c r="BO312" s="111"/>
      <c r="BP312" s="109"/>
      <c r="BQ312" s="109"/>
      <c r="BR312" s="109"/>
      <c r="BS312" s="109"/>
      <c r="BT312" s="109"/>
      <c r="BU312" s="109"/>
      <c r="BV312" s="109"/>
      <c r="BW312" s="109"/>
      <c r="BX312" s="109"/>
      <c r="BY312" s="109"/>
      <c r="BZ312" s="109"/>
      <c r="CA312" s="109"/>
      <c r="CB312" s="109"/>
      <c r="CC312" s="109"/>
      <c r="CD312" s="110"/>
    </row>
    <row r="313" spans="1:82" ht="13.9" customHeight="1" x14ac:dyDescent="0.2">
      <c r="A313" s="107">
        <v>1083</v>
      </c>
      <c r="B313" s="107" t="s">
        <v>3975</v>
      </c>
      <c r="C313" s="104" t="s">
        <v>299</v>
      </c>
      <c r="D313" s="99" t="s">
        <v>80</v>
      </c>
      <c r="E313" s="99" t="s">
        <v>6782</v>
      </c>
      <c r="F313" s="100">
        <v>45783</v>
      </c>
      <c r="G313" s="100">
        <v>45783</v>
      </c>
      <c r="H313" s="101">
        <f t="shared" si="24"/>
        <v>45873</v>
      </c>
      <c r="I313" s="101" t="s">
        <v>290</v>
      </c>
      <c r="J313" s="12" t="s">
        <v>4313</v>
      </c>
      <c r="K313" s="12" t="s">
        <v>4401</v>
      </c>
      <c r="L313" s="12" t="s">
        <v>688</v>
      </c>
      <c r="M313" s="102" t="str">
        <f t="shared" si="25"/>
        <v>BRAVO  MORENO JUAN ANTONIO</v>
      </c>
      <c r="N313" s="102" t="s">
        <v>7196</v>
      </c>
      <c r="O313" s="102" t="s">
        <v>4561</v>
      </c>
      <c r="P313" s="12" t="s">
        <v>1953</v>
      </c>
      <c r="Q313" s="100">
        <v>37495</v>
      </c>
      <c r="R313" s="77">
        <f t="shared" si="26"/>
        <v>27</v>
      </c>
      <c r="S313" s="77">
        <f t="shared" si="27"/>
        <v>8</v>
      </c>
      <c r="T313" s="77">
        <f t="shared" si="28"/>
        <v>2002</v>
      </c>
      <c r="U313" s="103">
        <f t="shared" ca="1" si="29"/>
        <v>24.142465753424659</v>
      </c>
      <c r="V313" s="13" t="s">
        <v>389</v>
      </c>
      <c r="W313" s="13" t="s">
        <v>1971</v>
      </c>
      <c r="X313" s="12" t="s">
        <v>693</v>
      </c>
      <c r="Y313" s="12" t="s">
        <v>77</v>
      </c>
      <c r="Z313" s="12" t="s">
        <v>73</v>
      </c>
      <c r="AA313" s="12" t="s">
        <v>311</v>
      </c>
      <c r="AB313" s="12" t="s">
        <v>312</v>
      </c>
      <c r="AC313" s="12" t="s">
        <v>313</v>
      </c>
      <c r="AD313" s="12" t="s">
        <v>314</v>
      </c>
      <c r="AE313" s="12">
        <v>90</v>
      </c>
      <c r="AF313" s="13" t="s">
        <v>315</v>
      </c>
      <c r="AG313" s="12" t="s">
        <v>290</v>
      </c>
      <c r="AH313" s="104" t="s">
        <v>1329</v>
      </c>
      <c r="AI313" s="12" t="s">
        <v>317</v>
      </c>
      <c r="AJ313" s="12" t="s">
        <v>318</v>
      </c>
      <c r="AK313" s="12">
        <v>444574618</v>
      </c>
      <c r="AL313" s="104" t="s">
        <v>2878</v>
      </c>
      <c r="AM313" s="12" t="s">
        <v>2361</v>
      </c>
      <c r="AN313" s="12" t="s">
        <v>776</v>
      </c>
      <c r="AO313" s="12">
        <v>0</v>
      </c>
      <c r="AP313" s="12"/>
      <c r="AQ313" s="12" t="s">
        <v>3193</v>
      </c>
      <c r="AR313" s="12" t="s">
        <v>3351</v>
      </c>
      <c r="AS313" s="12">
        <v>0</v>
      </c>
      <c r="AT313" s="12" t="s">
        <v>483</v>
      </c>
      <c r="AU313" s="12" t="s">
        <v>483</v>
      </c>
      <c r="AV313" s="12">
        <v>78418</v>
      </c>
      <c r="AW313" s="12" t="s">
        <v>3417</v>
      </c>
      <c r="AX313" s="12">
        <v>0</v>
      </c>
      <c r="AY313" s="12" t="s">
        <v>3417</v>
      </c>
      <c r="AZ313" s="12"/>
      <c r="BA313" s="12"/>
      <c r="BB313" s="12"/>
      <c r="BC313" s="12"/>
      <c r="BD313" s="12" t="s">
        <v>3459</v>
      </c>
      <c r="BE313" s="12" t="s">
        <v>1003</v>
      </c>
      <c r="BF313" s="12">
        <v>4443929679</v>
      </c>
      <c r="BG313" s="12" t="s">
        <v>685</v>
      </c>
      <c r="BH313" s="12" t="s">
        <v>398</v>
      </c>
      <c r="BI313" s="12" t="s">
        <v>3831</v>
      </c>
      <c r="BJ313" s="12" t="s">
        <v>3831</v>
      </c>
      <c r="BK313" s="12"/>
      <c r="BL313" s="105"/>
      <c r="BM313" s="12"/>
      <c r="BN313" s="12"/>
      <c r="BO313" s="105"/>
      <c r="BP313" s="12"/>
      <c r="BQ313" s="12"/>
      <c r="BR313" s="12"/>
      <c r="BS313" s="12"/>
      <c r="BT313" s="12"/>
      <c r="BU313" s="12"/>
      <c r="BV313" s="12"/>
      <c r="BW313" s="12"/>
      <c r="BX313" s="12"/>
      <c r="BY313" s="12"/>
      <c r="BZ313" s="12"/>
      <c r="CA313" s="12"/>
      <c r="CB313" s="12"/>
      <c r="CC313" s="12"/>
      <c r="CD313" s="78"/>
    </row>
    <row r="314" spans="1:82" s="116" customFormat="1" ht="13.9" customHeight="1" x14ac:dyDescent="0.2">
      <c r="A314" s="109">
        <v>830</v>
      </c>
      <c r="B314" s="109" t="s">
        <v>4003</v>
      </c>
      <c r="C314" s="115" t="s">
        <v>564</v>
      </c>
      <c r="D314" s="109" t="s">
        <v>81</v>
      </c>
      <c r="E314" s="111" t="s">
        <v>1257</v>
      </c>
      <c r="F314" s="112">
        <v>45784</v>
      </c>
      <c r="G314" s="112">
        <v>45784</v>
      </c>
      <c r="H314" s="113">
        <f t="shared" si="24"/>
        <v>45874</v>
      </c>
      <c r="I314" s="113" t="s">
        <v>290</v>
      </c>
      <c r="J314" s="109" t="s">
        <v>1258</v>
      </c>
      <c r="K314" s="109" t="s">
        <v>1259</v>
      </c>
      <c r="L314" s="109" t="s">
        <v>1260</v>
      </c>
      <c r="M314" s="128" t="str">
        <f t="shared" si="25"/>
        <v>RAZO HINOJOSA BRANDOM JEREMY</v>
      </c>
      <c r="N314" s="128" t="s">
        <v>1261</v>
      </c>
      <c r="O314" s="128" t="s">
        <v>1262</v>
      </c>
      <c r="P314" s="109" t="s">
        <v>1953</v>
      </c>
      <c r="Q314" s="112">
        <v>36355</v>
      </c>
      <c r="R314" s="125">
        <f t="shared" si="26"/>
        <v>14</v>
      </c>
      <c r="S314" s="125">
        <f t="shared" si="27"/>
        <v>7</v>
      </c>
      <c r="T314" s="125">
        <f t="shared" si="28"/>
        <v>1999</v>
      </c>
      <c r="U314" s="142">
        <f t="shared" ca="1" si="29"/>
        <v>27.265753424657536</v>
      </c>
      <c r="V314" s="114" t="s">
        <v>452</v>
      </c>
      <c r="W314" s="114" t="s">
        <v>1263</v>
      </c>
      <c r="X314" s="109" t="s">
        <v>454</v>
      </c>
      <c r="Y314" s="109" t="s">
        <v>83</v>
      </c>
      <c r="Z314" s="109" t="s">
        <v>84</v>
      </c>
      <c r="AA314" s="109" t="s">
        <v>532</v>
      </c>
      <c r="AB314" s="109" t="s">
        <v>574</v>
      </c>
      <c r="AC314" s="109" t="s">
        <v>313</v>
      </c>
      <c r="AD314" s="109" t="s">
        <v>314</v>
      </c>
      <c r="AE314" s="109">
        <v>90</v>
      </c>
      <c r="AF314" s="114" t="s">
        <v>710</v>
      </c>
      <c r="AG314" s="109" t="s">
        <v>290</v>
      </c>
      <c r="AH314" s="115" t="s">
        <v>575</v>
      </c>
      <c r="AI314" s="109" t="s">
        <v>317</v>
      </c>
      <c r="AJ314" s="109" t="s">
        <v>318</v>
      </c>
      <c r="AK314" s="109">
        <v>3313399419</v>
      </c>
      <c r="AL314" s="115" t="s">
        <v>1265</v>
      </c>
      <c r="AM314" s="109" t="s">
        <v>1266</v>
      </c>
      <c r="AN314" s="109" t="s">
        <v>560</v>
      </c>
      <c r="AO314" s="109" t="s">
        <v>398</v>
      </c>
      <c r="AP314" s="109"/>
      <c r="AQ314" s="109" t="s">
        <v>1267</v>
      </c>
      <c r="AR314" s="109">
        <v>610</v>
      </c>
      <c r="AS314" s="109">
        <v>0</v>
      </c>
      <c r="AT314" s="109" t="s">
        <v>624</v>
      </c>
      <c r="AU314" s="109" t="s">
        <v>583</v>
      </c>
      <c r="AV314" s="109">
        <v>45685</v>
      </c>
      <c r="AW314" s="109" t="s">
        <v>329</v>
      </c>
      <c r="AX314" s="109">
        <v>0</v>
      </c>
      <c r="AY314" s="109" t="s">
        <v>329</v>
      </c>
      <c r="AZ314" s="109"/>
      <c r="BA314" s="109"/>
      <c r="BB314" s="109"/>
      <c r="BC314" s="109"/>
      <c r="BD314" s="109" t="s">
        <v>1266</v>
      </c>
      <c r="BE314" s="109" t="s">
        <v>560</v>
      </c>
      <c r="BF314" s="109">
        <v>3330137519</v>
      </c>
      <c r="BG314" s="109" t="s">
        <v>333</v>
      </c>
      <c r="BH314" s="109" t="s">
        <v>334</v>
      </c>
      <c r="BI314" s="109" t="s">
        <v>3831</v>
      </c>
      <c r="BJ314" s="109" t="s">
        <v>3831</v>
      </c>
      <c r="BK314" s="109"/>
      <c r="BL314" s="111"/>
      <c r="BM314" s="109"/>
      <c r="BN314" s="109"/>
      <c r="BO314" s="111"/>
      <c r="BP314" s="109"/>
      <c r="BQ314" s="109"/>
      <c r="BR314" s="109"/>
      <c r="BS314" s="109"/>
      <c r="BT314" s="109"/>
      <c r="BU314" s="109"/>
      <c r="BV314" s="109"/>
      <c r="BW314" s="109"/>
      <c r="BX314" s="109"/>
      <c r="BY314" s="109"/>
      <c r="BZ314" s="109"/>
      <c r="CA314" s="109"/>
      <c r="CB314" s="109"/>
      <c r="CC314" s="109"/>
      <c r="CD314" s="110"/>
    </row>
    <row r="315" spans="1:82" s="116" customFormat="1" ht="13.9" customHeight="1" x14ac:dyDescent="0.2">
      <c r="A315" s="109">
        <v>848</v>
      </c>
      <c r="B315" s="109" t="s">
        <v>4004</v>
      </c>
      <c r="C315" s="115" t="s">
        <v>564</v>
      </c>
      <c r="D315" s="109" t="s">
        <v>81</v>
      </c>
      <c r="E315" s="111" t="s">
        <v>1633</v>
      </c>
      <c r="F315" s="112">
        <v>45785</v>
      </c>
      <c r="G315" s="112">
        <v>45785</v>
      </c>
      <c r="H315" s="113">
        <f t="shared" si="24"/>
        <v>45875</v>
      </c>
      <c r="I315" s="113" t="s">
        <v>290</v>
      </c>
      <c r="J315" s="109" t="s">
        <v>4329</v>
      </c>
      <c r="K315" s="109" t="s">
        <v>1044</v>
      </c>
      <c r="L315" s="109" t="s">
        <v>1729</v>
      </c>
      <c r="M315" s="128" t="str">
        <f t="shared" si="25"/>
        <v>JARAMILLO RODRIGUEZ JOSE ALEJANDRO</v>
      </c>
      <c r="N315" s="128" t="s">
        <v>7052</v>
      </c>
      <c r="O315" s="128" t="s">
        <v>4587</v>
      </c>
      <c r="P315" s="109" t="s">
        <v>1953</v>
      </c>
      <c r="Q315" s="112">
        <v>38322</v>
      </c>
      <c r="R315" s="125">
        <f t="shared" si="26"/>
        <v>1</v>
      </c>
      <c r="S315" s="125">
        <f t="shared" si="27"/>
        <v>12</v>
      </c>
      <c r="T315" s="125">
        <f t="shared" si="28"/>
        <v>2004</v>
      </c>
      <c r="U315" s="142">
        <f t="shared" ca="1" si="29"/>
        <v>21.876712328767123</v>
      </c>
      <c r="V315" s="114" t="s">
        <v>452</v>
      </c>
      <c r="W315" s="114" t="s">
        <v>1998</v>
      </c>
      <c r="X315" s="109" t="s">
        <v>472</v>
      </c>
      <c r="Y315" s="109" t="s">
        <v>83</v>
      </c>
      <c r="Z315" s="109" t="s">
        <v>84</v>
      </c>
      <c r="AA315" s="109" t="s">
        <v>532</v>
      </c>
      <c r="AB315" s="109" t="s">
        <v>574</v>
      </c>
      <c r="AC315" s="109" t="s">
        <v>313</v>
      </c>
      <c r="AD315" s="109" t="s">
        <v>314</v>
      </c>
      <c r="AE315" s="109">
        <v>90</v>
      </c>
      <c r="AF315" s="114" t="s">
        <v>710</v>
      </c>
      <c r="AG315" s="109" t="s">
        <v>290</v>
      </c>
      <c r="AH315" s="115" t="s">
        <v>575</v>
      </c>
      <c r="AI315" s="109" t="s">
        <v>317</v>
      </c>
      <c r="AJ315" s="109" t="s">
        <v>318</v>
      </c>
      <c r="AK315" s="109">
        <v>3348085370</v>
      </c>
      <c r="AL315" s="115" t="s">
        <v>2905</v>
      </c>
      <c r="AM315" s="109" t="s">
        <v>2387</v>
      </c>
      <c r="AN315" s="109" t="s">
        <v>478</v>
      </c>
      <c r="AO315" s="109">
        <v>0</v>
      </c>
      <c r="AP315" s="109"/>
      <c r="AQ315" s="109" t="s">
        <v>1374</v>
      </c>
      <c r="AR315" s="109">
        <v>78</v>
      </c>
      <c r="AS315" s="109">
        <v>0</v>
      </c>
      <c r="AT315" s="109" t="s">
        <v>1375</v>
      </c>
      <c r="AU315" s="109" t="s">
        <v>681</v>
      </c>
      <c r="AV315" s="109" t="s">
        <v>3409</v>
      </c>
      <c r="AW315" s="109" t="s">
        <v>3417</v>
      </c>
      <c r="AX315" s="109">
        <v>0</v>
      </c>
      <c r="AY315" s="109" t="s">
        <v>329</v>
      </c>
      <c r="AZ315" s="109"/>
      <c r="BA315" s="109"/>
      <c r="BB315" s="109"/>
      <c r="BC315" s="109"/>
      <c r="BD315" s="109" t="s">
        <v>2387</v>
      </c>
      <c r="BE315" s="109" t="s">
        <v>3575</v>
      </c>
      <c r="BF315" s="109">
        <v>3317540540</v>
      </c>
      <c r="BG315" s="109" t="s">
        <v>333</v>
      </c>
      <c r="BH315" s="109" t="s">
        <v>3817</v>
      </c>
      <c r="BI315" s="109" t="s">
        <v>3831</v>
      </c>
      <c r="BJ315" s="109" t="s">
        <v>3888</v>
      </c>
      <c r="BK315" s="109" t="s">
        <v>571</v>
      </c>
      <c r="BL315" s="111">
        <v>5</v>
      </c>
      <c r="BM315" s="109"/>
      <c r="BN315" s="109" t="s">
        <v>571</v>
      </c>
      <c r="BO315" s="111">
        <v>2</v>
      </c>
      <c r="BP315" s="109"/>
      <c r="BQ315" s="109">
        <v>0</v>
      </c>
      <c r="BR315" s="109">
        <v>0</v>
      </c>
      <c r="BS315" s="109"/>
      <c r="BT315" s="109">
        <v>0</v>
      </c>
      <c r="BU315" s="109">
        <v>0</v>
      </c>
      <c r="BV315" s="109"/>
      <c r="BW315" s="109">
        <v>0</v>
      </c>
      <c r="BX315" s="109">
        <v>0</v>
      </c>
      <c r="BY315" s="109"/>
      <c r="BZ315" s="109">
        <v>0</v>
      </c>
      <c r="CA315" s="109"/>
      <c r="CB315" s="109"/>
      <c r="CC315" s="109"/>
      <c r="CD315" s="110"/>
    </row>
    <row r="316" spans="1:82" s="116" customFormat="1" ht="13.9" customHeight="1" x14ac:dyDescent="0.2">
      <c r="A316" s="109">
        <v>849</v>
      </c>
      <c r="B316" s="109" t="s">
        <v>4018</v>
      </c>
      <c r="C316" s="110" t="s">
        <v>335</v>
      </c>
      <c r="D316" s="111" t="s">
        <v>140</v>
      </c>
      <c r="E316" s="111" t="s">
        <v>6646</v>
      </c>
      <c r="F316" s="112">
        <v>45786</v>
      </c>
      <c r="G316" s="112">
        <v>45786</v>
      </c>
      <c r="H316" s="113">
        <f t="shared" si="24"/>
        <v>45876</v>
      </c>
      <c r="I316" s="113" t="s">
        <v>290</v>
      </c>
      <c r="J316" s="109" t="s">
        <v>4361</v>
      </c>
      <c r="K316" s="109" t="s">
        <v>4519</v>
      </c>
      <c r="L316" s="109" t="s">
        <v>4898</v>
      </c>
      <c r="M316" s="128" t="str">
        <f t="shared" si="25"/>
        <v>MENDOZA ARIAS JOSE DOLORES</v>
      </c>
      <c r="N316" s="128" t="s">
        <v>7053</v>
      </c>
      <c r="O316" s="128" t="s">
        <v>4899</v>
      </c>
      <c r="P316" s="109" t="s">
        <v>1953</v>
      </c>
      <c r="Q316" s="112">
        <v>27726</v>
      </c>
      <c r="R316" s="125">
        <f t="shared" si="26"/>
        <v>28</v>
      </c>
      <c r="S316" s="125">
        <f t="shared" si="27"/>
        <v>11</v>
      </c>
      <c r="T316" s="125">
        <f t="shared" si="28"/>
        <v>1975</v>
      </c>
      <c r="U316" s="142">
        <f t="shared" ca="1" si="29"/>
        <v>50.906849315068492</v>
      </c>
      <c r="V316" s="114" t="s">
        <v>342</v>
      </c>
      <c r="W316" s="114" t="s">
        <v>4900</v>
      </c>
      <c r="X316" s="109" t="s">
        <v>472</v>
      </c>
      <c r="Y316" s="109" t="s">
        <v>617</v>
      </c>
      <c r="Z316" s="109" t="s">
        <v>921</v>
      </c>
      <c r="AA316" s="109" t="s">
        <v>347</v>
      </c>
      <c r="AB316" s="109" t="s">
        <v>2292</v>
      </c>
      <c r="AC316" s="109" t="s">
        <v>313</v>
      </c>
      <c r="AD316" s="109" t="s">
        <v>314</v>
      </c>
      <c r="AE316" s="109">
        <v>90</v>
      </c>
      <c r="AF316" s="114" t="s">
        <v>554</v>
      </c>
      <c r="AG316" s="109" t="s">
        <v>290</v>
      </c>
      <c r="AH316" s="115" t="s">
        <v>555</v>
      </c>
      <c r="AI316" s="109" t="s">
        <v>317</v>
      </c>
      <c r="AJ316" s="109" t="s">
        <v>318</v>
      </c>
      <c r="AK316" s="109">
        <v>4427711432</v>
      </c>
      <c r="AL316" s="115" t="s">
        <v>4901</v>
      </c>
      <c r="AM316" s="109" t="s">
        <v>4902</v>
      </c>
      <c r="AN316" s="109" t="s">
        <v>381</v>
      </c>
      <c r="AO316" s="109" t="s">
        <v>398</v>
      </c>
      <c r="AP316" s="109"/>
      <c r="AQ316" s="109" t="s">
        <v>4903</v>
      </c>
      <c r="AR316" s="109" t="s">
        <v>880</v>
      </c>
      <c r="AS316" s="109"/>
      <c r="AT316" s="109" t="s">
        <v>1014</v>
      </c>
      <c r="AU316" s="109" t="s">
        <v>545</v>
      </c>
      <c r="AV316" s="109">
        <v>76927</v>
      </c>
      <c r="AW316" s="109" t="s">
        <v>329</v>
      </c>
      <c r="AX316" s="109"/>
      <c r="AY316" s="109" t="s">
        <v>329</v>
      </c>
      <c r="AZ316" s="109"/>
      <c r="BA316" s="109"/>
      <c r="BB316" s="109"/>
      <c r="BC316" s="109"/>
      <c r="BD316" s="109" t="s">
        <v>4904</v>
      </c>
      <c r="BE316" s="109" t="s">
        <v>602</v>
      </c>
      <c r="BF316" s="109"/>
      <c r="BG316" s="109" t="s">
        <v>685</v>
      </c>
      <c r="BH316" s="109" t="s">
        <v>685</v>
      </c>
      <c r="BI316" s="109" t="s">
        <v>3831</v>
      </c>
      <c r="BJ316" s="109" t="s">
        <v>3888</v>
      </c>
      <c r="BK316" s="109"/>
      <c r="BL316" s="111"/>
      <c r="BM316" s="109"/>
      <c r="BN316" s="109"/>
      <c r="BO316" s="111"/>
      <c r="BP316" s="109"/>
      <c r="BQ316" s="109"/>
      <c r="BR316" s="109"/>
      <c r="BS316" s="109"/>
      <c r="BT316" s="109"/>
      <c r="BU316" s="109"/>
      <c r="BV316" s="109"/>
      <c r="BW316" s="109"/>
      <c r="BX316" s="109"/>
      <c r="BY316" s="109"/>
      <c r="BZ316" s="109"/>
      <c r="CA316" s="109"/>
      <c r="CB316" s="109"/>
      <c r="CC316" s="109"/>
      <c r="CD316" s="110"/>
    </row>
    <row r="317" spans="1:82" ht="13.9" customHeight="1" x14ac:dyDescent="0.2">
      <c r="A317" s="12">
        <v>1086</v>
      </c>
      <c r="B317" s="12" t="s">
        <v>4259</v>
      </c>
      <c r="C317" s="104" t="s">
        <v>299</v>
      </c>
      <c r="D317" s="99" t="s">
        <v>80</v>
      </c>
      <c r="E317" s="99" t="s">
        <v>6647</v>
      </c>
      <c r="F317" s="100">
        <v>45789</v>
      </c>
      <c r="G317" s="100">
        <v>45789</v>
      </c>
      <c r="H317" s="101">
        <f t="shared" si="24"/>
        <v>45879</v>
      </c>
      <c r="I317" s="101" t="s">
        <v>291</v>
      </c>
      <c r="J317" s="12" t="s">
        <v>4400</v>
      </c>
      <c r="K317" s="12" t="s">
        <v>704</v>
      </c>
      <c r="L317" s="12" t="s">
        <v>1877</v>
      </c>
      <c r="M317" s="102" t="str">
        <f t="shared" si="25"/>
        <v>SILVA GONZALEZ SANDRA</v>
      </c>
      <c r="N317" s="102" t="s">
        <v>7054</v>
      </c>
      <c r="O317" s="102" t="s">
        <v>4762</v>
      </c>
      <c r="P317" s="12" t="s">
        <v>1953</v>
      </c>
      <c r="Q317" s="100">
        <v>32247</v>
      </c>
      <c r="R317" s="77">
        <f t="shared" si="26"/>
        <v>14</v>
      </c>
      <c r="S317" s="77">
        <f t="shared" si="27"/>
        <v>4</v>
      </c>
      <c r="T317" s="77">
        <f t="shared" si="28"/>
        <v>1988</v>
      </c>
      <c r="U317" s="103">
        <f t="shared" ca="1" si="29"/>
        <v>38.520547945205479</v>
      </c>
      <c r="V317" s="13" t="s">
        <v>308</v>
      </c>
      <c r="W317" s="13" t="s">
        <v>2173</v>
      </c>
      <c r="X317" s="12" t="s">
        <v>310</v>
      </c>
      <c r="Y317" s="12" t="s">
        <v>208</v>
      </c>
      <c r="Z317" s="12" t="s">
        <v>183</v>
      </c>
      <c r="AA317" s="12" t="s">
        <v>311</v>
      </c>
      <c r="AB317" s="12" t="s">
        <v>312</v>
      </c>
      <c r="AC317" s="12" t="s">
        <v>313</v>
      </c>
      <c r="AD317" s="12" t="s">
        <v>314</v>
      </c>
      <c r="AE317" s="12">
        <v>90</v>
      </c>
      <c r="AF317" s="13" t="s">
        <v>315</v>
      </c>
      <c r="AG317" s="12" t="s">
        <v>291</v>
      </c>
      <c r="AH317" s="104" t="s">
        <v>1329</v>
      </c>
      <c r="AI317" s="12" t="s">
        <v>317</v>
      </c>
      <c r="AJ317" s="12" t="s">
        <v>318</v>
      </c>
      <c r="AK317" s="12" t="s">
        <v>2783</v>
      </c>
      <c r="AL317" s="104" t="s">
        <v>3078</v>
      </c>
      <c r="AM317" s="12" t="s">
        <v>2471</v>
      </c>
      <c r="AN317" s="12" t="s">
        <v>325</v>
      </c>
      <c r="AO317" s="12" t="s">
        <v>327</v>
      </c>
      <c r="AP317" s="12"/>
      <c r="AQ317" s="12" t="s">
        <v>1374</v>
      </c>
      <c r="AR317" s="12">
        <v>78</v>
      </c>
      <c r="AS317" s="12">
        <v>0</v>
      </c>
      <c r="AT317" s="12" t="s">
        <v>1375</v>
      </c>
      <c r="AU317" s="12" t="s">
        <v>681</v>
      </c>
      <c r="AV317" s="12" t="s">
        <v>3410</v>
      </c>
      <c r="AW317" s="12" t="s">
        <v>3417</v>
      </c>
      <c r="AX317" s="12">
        <v>0</v>
      </c>
      <c r="AY317" s="12" t="s">
        <v>3417</v>
      </c>
      <c r="AZ317" s="12"/>
      <c r="BA317" s="12"/>
      <c r="BB317" s="12"/>
      <c r="BC317" s="12"/>
      <c r="BD317" s="12" t="s">
        <v>3533</v>
      </c>
      <c r="BE317" s="12" t="s">
        <v>3579</v>
      </c>
      <c r="BF317" s="12" t="s">
        <v>3737</v>
      </c>
      <c r="BG317" s="12" t="s">
        <v>333</v>
      </c>
      <c r="BH317" s="12" t="s">
        <v>3815</v>
      </c>
      <c r="BI317" s="12" t="s">
        <v>3831</v>
      </c>
      <c r="BJ317" s="12" t="s">
        <v>3831</v>
      </c>
      <c r="BK317" s="12"/>
      <c r="BL317" s="105"/>
      <c r="BM317" s="12"/>
      <c r="BN317" s="12"/>
      <c r="BO317" s="105"/>
      <c r="BP317" s="12"/>
      <c r="BQ317" s="12"/>
      <c r="BR317" s="12"/>
      <c r="BS317" s="12"/>
      <c r="BT317" s="12"/>
      <c r="BU317" s="12"/>
      <c r="BV317" s="12"/>
      <c r="BW317" s="12"/>
      <c r="BX317" s="12"/>
      <c r="BY317" s="12"/>
      <c r="BZ317" s="12"/>
      <c r="CA317" s="12"/>
      <c r="CB317" s="12"/>
      <c r="CC317" s="12"/>
      <c r="CD317" s="78"/>
    </row>
    <row r="318" spans="1:82" s="116" customFormat="1" ht="13.9" customHeight="1" x14ac:dyDescent="0.2">
      <c r="A318" s="107">
        <v>1089</v>
      </c>
      <c r="B318" s="107" t="s">
        <v>3976</v>
      </c>
      <c r="C318" s="104" t="s">
        <v>299</v>
      </c>
      <c r="D318" s="99" t="s">
        <v>80</v>
      </c>
      <c r="E318" s="99" t="s">
        <v>6648</v>
      </c>
      <c r="F318" s="100">
        <v>45789</v>
      </c>
      <c r="G318" s="100">
        <v>45789</v>
      </c>
      <c r="H318" s="101">
        <f t="shared" si="24"/>
        <v>45879</v>
      </c>
      <c r="I318" s="101" t="s">
        <v>290</v>
      </c>
      <c r="J318" s="12" t="s">
        <v>507</v>
      </c>
      <c r="K318" s="12" t="s">
        <v>4439</v>
      </c>
      <c r="L318" s="12" t="s">
        <v>1711</v>
      </c>
      <c r="M318" s="102" t="str">
        <f t="shared" si="25"/>
        <v>MARTINEZ CERDA KEVIN ALEXIS</v>
      </c>
      <c r="N318" s="102" t="s">
        <v>7055</v>
      </c>
      <c r="O318" s="102" t="s">
        <v>4562</v>
      </c>
      <c r="P318" s="12" t="s">
        <v>1953</v>
      </c>
      <c r="Q318" s="100">
        <v>37328</v>
      </c>
      <c r="R318" s="77">
        <f t="shared" si="26"/>
        <v>13</v>
      </c>
      <c r="S318" s="77">
        <f t="shared" si="27"/>
        <v>3</v>
      </c>
      <c r="T318" s="77">
        <f t="shared" si="28"/>
        <v>2002</v>
      </c>
      <c r="U318" s="103">
        <f t="shared" ca="1" si="29"/>
        <v>24.6</v>
      </c>
      <c r="V318" s="13" t="s">
        <v>389</v>
      </c>
      <c r="W318" s="13" t="s">
        <v>1972</v>
      </c>
      <c r="X318" s="12" t="s">
        <v>1327</v>
      </c>
      <c r="Y318" s="12" t="s">
        <v>79</v>
      </c>
      <c r="Z318" s="12" t="s">
        <v>73</v>
      </c>
      <c r="AA318" s="12" t="s">
        <v>311</v>
      </c>
      <c r="AB318" s="12" t="s">
        <v>312</v>
      </c>
      <c r="AC318" s="12" t="s">
        <v>313</v>
      </c>
      <c r="AD318" s="12" t="s">
        <v>314</v>
      </c>
      <c r="AE318" s="12">
        <v>90</v>
      </c>
      <c r="AF318" s="13" t="s">
        <v>315</v>
      </c>
      <c r="AG318" s="12" t="s">
        <v>290</v>
      </c>
      <c r="AH318" s="104" t="s">
        <v>1329</v>
      </c>
      <c r="AI318" s="12" t="s">
        <v>317</v>
      </c>
      <c r="AJ318" s="12" t="s">
        <v>318</v>
      </c>
      <c r="AK318" s="12">
        <v>4441247025</v>
      </c>
      <c r="AL318" s="104" t="s">
        <v>2879</v>
      </c>
      <c r="AM318" s="12" t="s">
        <v>2362</v>
      </c>
      <c r="AN318" s="12" t="s">
        <v>3175</v>
      </c>
      <c r="AO318" s="12" t="s">
        <v>398</v>
      </c>
      <c r="AP318" s="12"/>
      <c r="AQ318" s="12" t="s">
        <v>3194</v>
      </c>
      <c r="AR318" s="12" t="s">
        <v>983</v>
      </c>
      <c r="AS318" s="12" t="s">
        <v>880</v>
      </c>
      <c r="AT318" s="12" t="s">
        <v>3375</v>
      </c>
      <c r="AU318" s="12" t="s">
        <v>483</v>
      </c>
      <c r="AV318" s="12">
        <v>78466</v>
      </c>
      <c r="AW318" s="12" t="s">
        <v>3417</v>
      </c>
      <c r="AX318" s="12">
        <v>0</v>
      </c>
      <c r="AY318" s="12" t="s">
        <v>3417</v>
      </c>
      <c r="AZ318" s="12"/>
      <c r="BA318" s="12"/>
      <c r="BB318" s="12"/>
      <c r="BC318" s="12"/>
      <c r="BD318" s="12" t="s">
        <v>3460</v>
      </c>
      <c r="BE318" s="12" t="s">
        <v>401</v>
      </c>
      <c r="BF318" s="12">
        <v>4443713156</v>
      </c>
      <c r="BG318" s="12" t="s">
        <v>333</v>
      </c>
      <c r="BH318" s="12" t="s">
        <v>3815</v>
      </c>
      <c r="BI318" s="12" t="s">
        <v>3831</v>
      </c>
      <c r="BJ318" s="12" t="s">
        <v>3831</v>
      </c>
      <c r="BK318" s="12"/>
      <c r="BL318" s="105"/>
      <c r="BM318" s="12"/>
      <c r="BN318" s="12"/>
      <c r="BO318" s="105"/>
      <c r="BP318" s="12"/>
      <c r="BQ318" s="12"/>
      <c r="BR318" s="12"/>
      <c r="BS318" s="12"/>
      <c r="BT318" s="12"/>
      <c r="BU318" s="12"/>
      <c r="BV318" s="12"/>
      <c r="BW318" s="12"/>
      <c r="BX318" s="12"/>
      <c r="BY318" s="12"/>
      <c r="BZ318" s="12"/>
      <c r="CA318" s="12"/>
      <c r="CB318" s="12"/>
      <c r="CC318" s="12"/>
      <c r="CD318" s="110"/>
    </row>
    <row r="319" spans="1:82" s="116" customFormat="1" ht="13.9" customHeight="1" x14ac:dyDescent="0.2">
      <c r="A319" s="109">
        <v>1090</v>
      </c>
      <c r="B319" s="109" t="s">
        <v>3977</v>
      </c>
      <c r="C319" s="115" t="s">
        <v>299</v>
      </c>
      <c r="D319" s="111" t="s">
        <v>80</v>
      </c>
      <c r="E319" s="111" t="s">
        <v>6783</v>
      </c>
      <c r="F319" s="112">
        <v>45789</v>
      </c>
      <c r="G319" s="112">
        <v>45789</v>
      </c>
      <c r="H319" s="113">
        <f t="shared" si="24"/>
        <v>45879</v>
      </c>
      <c r="I319" s="113" t="s">
        <v>290</v>
      </c>
      <c r="J319" s="109" t="s">
        <v>4314</v>
      </c>
      <c r="K319" s="109" t="s">
        <v>1134</v>
      </c>
      <c r="L319" s="109" t="s">
        <v>1712</v>
      </c>
      <c r="M319" s="128" t="str">
        <f t="shared" si="25"/>
        <v>TORRES  CHAVEZ JORGE ALEJANDRO</v>
      </c>
      <c r="N319" s="128" t="s">
        <v>7197</v>
      </c>
      <c r="O319" s="128" t="s">
        <v>4563</v>
      </c>
      <c r="P319" s="109" t="s">
        <v>1953</v>
      </c>
      <c r="Q319" s="112">
        <v>33717</v>
      </c>
      <c r="R319" s="125">
        <f t="shared" si="26"/>
        <v>23</v>
      </c>
      <c r="S319" s="125">
        <f t="shared" si="27"/>
        <v>4</v>
      </c>
      <c r="T319" s="125">
        <f t="shared" si="28"/>
        <v>1992</v>
      </c>
      <c r="U319" s="142">
        <f t="shared" ca="1" si="29"/>
        <v>34.493150684931507</v>
      </c>
      <c r="V319" s="114" t="s">
        <v>389</v>
      </c>
      <c r="W319" s="114" t="s">
        <v>1973</v>
      </c>
      <c r="X319" s="109" t="s">
        <v>530</v>
      </c>
      <c r="Y319" s="109" t="s">
        <v>77</v>
      </c>
      <c r="Z319" s="109" t="s">
        <v>73</v>
      </c>
      <c r="AA319" s="109" t="s">
        <v>311</v>
      </c>
      <c r="AB319" s="109" t="s">
        <v>312</v>
      </c>
      <c r="AC319" s="109" t="s">
        <v>313</v>
      </c>
      <c r="AD319" s="109" t="s">
        <v>314</v>
      </c>
      <c r="AE319" s="109">
        <v>90</v>
      </c>
      <c r="AF319" s="114" t="s">
        <v>315</v>
      </c>
      <c r="AG319" s="109" t="s">
        <v>290</v>
      </c>
      <c r="AH319" s="115" t="s">
        <v>1329</v>
      </c>
      <c r="AI319" s="109" t="s">
        <v>317</v>
      </c>
      <c r="AJ319" s="109" t="s">
        <v>318</v>
      </c>
      <c r="AK319" s="109">
        <v>4445997254</v>
      </c>
      <c r="AL319" s="115" t="s">
        <v>2880</v>
      </c>
      <c r="AM319" s="109" t="s">
        <v>2363</v>
      </c>
      <c r="AN319" s="109" t="s">
        <v>3175</v>
      </c>
      <c r="AO319" s="109" t="s">
        <v>398</v>
      </c>
      <c r="AP319" s="109"/>
      <c r="AQ319" s="109" t="s">
        <v>3195</v>
      </c>
      <c r="AR319" s="109">
        <v>17200</v>
      </c>
      <c r="AS319" s="109" t="s">
        <v>880</v>
      </c>
      <c r="AT319" s="109" t="s">
        <v>482</v>
      </c>
      <c r="AU319" s="109" t="s">
        <v>483</v>
      </c>
      <c r="AV319" s="109">
        <v>78430</v>
      </c>
      <c r="AW319" s="109" t="s">
        <v>3416</v>
      </c>
      <c r="AX319" s="109">
        <v>0</v>
      </c>
      <c r="AY319" s="109" t="s">
        <v>329</v>
      </c>
      <c r="AZ319" s="109"/>
      <c r="BA319" s="109"/>
      <c r="BB319" s="109"/>
      <c r="BC319" s="109"/>
      <c r="BD319" s="109" t="s">
        <v>2363</v>
      </c>
      <c r="BE319" s="109" t="s">
        <v>3175</v>
      </c>
      <c r="BF319" s="109">
        <v>4447172192</v>
      </c>
      <c r="BG319" s="109" t="s">
        <v>333</v>
      </c>
      <c r="BH319" s="109" t="s">
        <v>3815</v>
      </c>
      <c r="BI319" s="109" t="s">
        <v>3831</v>
      </c>
      <c r="BJ319" s="109" t="s">
        <v>3831</v>
      </c>
      <c r="BK319" s="109"/>
      <c r="BL319" s="111"/>
      <c r="BM319" s="109"/>
      <c r="BN319" s="109"/>
      <c r="BO319" s="111"/>
      <c r="BP319" s="109"/>
      <c r="BQ319" s="109"/>
      <c r="BR319" s="109"/>
      <c r="BS319" s="109"/>
      <c r="BT319" s="109"/>
      <c r="BU319" s="109"/>
      <c r="BV319" s="109"/>
      <c r="BW319" s="109"/>
      <c r="BX319" s="109"/>
      <c r="BY319" s="109"/>
      <c r="BZ319" s="109"/>
      <c r="CA319" s="109"/>
      <c r="CB319" s="109"/>
      <c r="CC319" s="109"/>
      <c r="CD319" s="110"/>
    </row>
    <row r="320" spans="1:82" s="116" customFormat="1" ht="13.9" customHeight="1" x14ac:dyDescent="0.2">
      <c r="A320" s="109">
        <v>850</v>
      </c>
      <c r="B320" s="109" t="s">
        <v>4169</v>
      </c>
      <c r="C320" s="110" t="s">
        <v>335</v>
      </c>
      <c r="D320" s="109" t="s">
        <v>140</v>
      </c>
      <c r="E320" s="111" t="s">
        <v>6649</v>
      </c>
      <c r="F320" s="112">
        <v>45793</v>
      </c>
      <c r="G320" s="112">
        <v>45793</v>
      </c>
      <c r="H320" s="113">
        <f t="shared" si="24"/>
        <v>45883</v>
      </c>
      <c r="I320" s="113" t="s">
        <v>291</v>
      </c>
      <c r="J320" s="109" t="s">
        <v>687</v>
      </c>
      <c r="K320" s="109" t="s">
        <v>4388</v>
      </c>
      <c r="L320" s="109" t="s">
        <v>1916</v>
      </c>
      <c r="M320" s="128" t="str">
        <f t="shared" si="25"/>
        <v>RANGEL SOTO LUZ MARIA</v>
      </c>
      <c r="N320" s="128" t="s">
        <v>7056</v>
      </c>
      <c r="O320" s="128" t="s">
        <v>4815</v>
      </c>
      <c r="P320" s="109" t="s">
        <v>1953</v>
      </c>
      <c r="Q320" s="112">
        <v>28390</v>
      </c>
      <c r="R320" s="125">
        <f t="shared" si="26"/>
        <v>22</v>
      </c>
      <c r="S320" s="125">
        <f t="shared" si="27"/>
        <v>9</v>
      </c>
      <c r="T320" s="125">
        <f t="shared" si="28"/>
        <v>1977</v>
      </c>
      <c r="U320" s="142">
        <f t="shared" ca="1" si="29"/>
        <v>49.087671232876716</v>
      </c>
      <c r="V320" s="114" t="s">
        <v>1450</v>
      </c>
      <c r="W320" s="114" t="s">
        <v>2225</v>
      </c>
      <c r="X320" s="109" t="s">
        <v>310</v>
      </c>
      <c r="Y320" s="120" t="s">
        <v>240</v>
      </c>
      <c r="Z320" s="109" t="s">
        <v>239</v>
      </c>
      <c r="AA320" s="109" t="s">
        <v>636</v>
      </c>
      <c r="AB320" s="109" t="s">
        <v>934</v>
      </c>
      <c r="AC320" s="109" t="s">
        <v>313</v>
      </c>
      <c r="AD320" s="109" t="s">
        <v>314</v>
      </c>
      <c r="AE320" s="109">
        <v>90</v>
      </c>
      <c r="AF320" s="114" t="s">
        <v>554</v>
      </c>
      <c r="AG320" s="109" t="s">
        <v>291</v>
      </c>
      <c r="AH320" s="115" t="s">
        <v>555</v>
      </c>
      <c r="AI320" s="109" t="s">
        <v>317</v>
      </c>
      <c r="AJ320" s="109" t="s">
        <v>318</v>
      </c>
      <c r="AK320" s="109" t="s">
        <v>2828</v>
      </c>
      <c r="AL320" s="115" t="s">
        <v>3129</v>
      </c>
      <c r="AM320" s="109" t="s">
        <v>2598</v>
      </c>
      <c r="AN320" s="109" t="s">
        <v>832</v>
      </c>
      <c r="AO320" s="109" t="s">
        <v>327</v>
      </c>
      <c r="AP320" s="109"/>
      <c r="AQ320" s="109" t="s">
        <v>3329</v>
      </c>
      <c r="AR320" s="109">
        <v>12</v>
      </c>
      <c r="AS320" s="109">
        <v>0</v>
      </c>
      <c r="AT320" s="109" t="s">
        <v>140</v>
      </c>
      <c r="AU320" s="109" t="s">
        <v>545</v>
      </c>
      <c r="AV320" s="109">
        <v>76130</v>
      </c>
      <c r="AW320" s="109" t="s">
        <v>3416</v>
      </c>
      <c r="AX320" s="109">
        <v>0</v>
      </c>
      <c r="AY320" s="109" t="s">
        <v>329</v>
      </c>
      <c r="AZ320" s="109"/>
      <c r="BA320" s="109"/>
      <c r="BB320" s="109"/>
      <c r="BC320" s="109"/>
      <c r="BD320" s="109" t="s">
        <v>3558</v>
      </c>
      <c r="BE320" s="109" t="s">
        <v>832</v>
      </c>
      <c r="BF320" s="109" t="s">
        <v>3781</v>
      </c>
      <c r="BG320" s="109" t="s">
        <v>333</v>
      </c>
      <c r="BH320" s="109" t="s">
        <v>3815</v>
      </c>
      <c r="BI320" s="109" t="s">
        <v>3831</v>
      </c>
      <c r="BJ320" s="109" t="s">
        <v>3888</v>
      </c>
      <c r="BK320" s="109" t="s">
        <v>3911</v>
      </c>
      <c r="BL320" s="111" t="s">
        <v>3915</v>
      </c>
      <c r="BM320" s="109"/>
      <c r="BN320" s="109" t="s">
        <v>3911</v>
      </c>
      <c r="BO320" s="111" t="s">
        <v>3925</v>
      </c>
      <c r="BP320" s="109"/>
      <c r="BQ320" s="109">
        <v>0</v>
      </c>
      <c r="BR320" s="109">
        <v>0</v>
      </c>
      <c r="BS320" s="109"/>
      <c r="BT320" s="109">
        <v>0</v>
      </c>
      <c r="BU320" s="109">
        <v>0</v>
      </c>
      <c r="BV320" s="109"/>
      <c r="BW320" s="109">
        <v>0</v>
      </c>
      <c r="BX320" s="109">
        <v>0</v>
      </c>
      <c r="BY320" s="109"/>
      <c r="BZ320" s="109">
        <v>0</v>
      </c>
      <c r="CA320" s="109"/>
      <c r="CB320" s="109"/>
      <c r="CC320" s="109"/>
      <c r="CD320" s="110"/>
    </row>
    <row r="321" spans="1:82" s="116" customFormat="1" ht="13.9" customHeight="1" x14ac:dyDescent="0.2">
      <c r="A321" s="109">
        <v>851</v>
      </c>
      <c r="B321" s="109" t="s">
        <v>4170</v>
      </c>
      <c r="C321" s="110" t="s">
        <v>335</v>
      </c>
      <c r="D321" s="109" t="s">
        <v>140</v>
      </c>
      <c r="E321" s="111" t="s">
        <v>6650</v>
      </c>
      <c r="F321" s="112">
        <v>45793</v>
      </c>
      <c r="G321" s="112">
        <v>45793</v>
      </c>
      <c r="H321" s="113">
        <f t="shared" si="24"/>
        <v>45883</v>
      </c>
      <c r="I321" s="113" t="s">
        <v>291</v>
      </c>
      <c r="J321" s="109" t="s">
        <v>1045</v>
      </c>
      <c r="K321" s="109" t="s">
        <v>1408</v>
      </c>
      <c r="L321" s="109" t="s">
        <v>1917</v>
      </c>
      <c r="M321" s="128" t="str">
        <f t="shared" si="25"/>
        <v>CERVANTES RUIZ PEDRO FELIX</v>
      </c>
      <c r="N321" s="128" t="s">
        <v>7057</v>
      </c>
      <c r="O321" s="128" t="s">
        <v>4816</v>
      </c>
      <c r="P321" s="109" t="s">
        <v>1953</v>
      </c>
      <c r="Q321" s="112">
        <v>33524</v>
      </c>
      <c r="R321" s="125">
        <f t="shared" si="26"/>
        <v>13</v>
      </c>
      <c r="S321" s="125">
        <f t="shared" si="27"/>
        <v>10</v>
      </c>
      <c r="T321" s="125">
        <f t="shared" si="28"/>
        <v>1991</v>
      </c>
      <c r="U321" s="142">
        <f t="shared" ca="1" si="29"/>
        <v>35.021917808219179</v>
      </c>
      <c r="V321" s="114" t="s">
        <v>452</v>
      </c>
      <c r="W321" s="114" t="s">
        <v>2226</v>
      </c>
      <c r="X321" s="109" t="s">
        <v>310</v>
      </c>
      <c r="Y321" s="120" t="s">
        <v>242</v>
      </c>
      <c r="Z321" s="109" t="s">
        <v>241</v>
      </c>
      <c r="AA321" s="109" t="s">
        <v>636</v>
      </c>
      <c r="AB321" s="109" t="s">
        <v>934</v>
      </c>
      <c r="AC321" s="109" t="s">
        <v>313</v>
      </c>
      <c r="AD321" s="109" t="s">
        <v>314</v>
      </c>
      <c r="AE321" s="109">
        <v>90</v>
      </c>
      <c r="AF321" s="114" t="s">
        <v>554</v>
      </c>
      <c r="AG321" s="109" t="s">
        <v>291</v>
      </c>
      <c r="AH321" s="115" t="s">
        <v>555</v>
      </c>
      <c r="AI321" s="109" t="s">
        <v>317</v>
      </c>
      <c r="AJ321" s="109" t="s">
        <v>318</v>
      </c>
      <c r="AK321" s="109" t="s">
        <v>2829</v>
      </c>
      <c r="AL321" s="115" t="s">
        <v>3130</v>
      </c>
      <c r="AM321" s="109" t="s">
        <v>2599</v>
      </c>
      <c r="AN321" s="109" t="s">
        <v>560</v>
      </c>
      <c r="AO321" s="109">
        <v>0</v>
      </c>
      <c r="AP321" s="109"/>
      <c r="AQ321" s="109" t="s">
        <v>3330</v>
      </c>
      <c r="AR321" s="109">
        <v>205</v>
      </c>
      <c r="AS321" s="109">
        <v>0</v>
      </c>
      <c r="AT321" s="109" t="s">
        <v>3385</v>
      </c>
      <c r="AU321" s="109" t="s">
        <v>1224</v>
      </c>
      <c r="AV321" s="109">
        <v>89000</v>
      </c>
      <c r="AW321" s="109" t="s">
        <v>3416</v>
      </c>
      <c r="AX321" s="109">
        <v>0</v>
      </c>
      <c r="AY321" s="109" t="s">
        <v>329</v>
      </c>
      <c r="AZ321" s="109"/>
      <c r="BA321" s="109"/>
      <c r="BB321" s="109"/>
      <c r="BC321" s="109"/>
      <c r="BD321" s="109" t="s">
        <v>2599</v>
      </c>
      <c r="BE321" s="109" t="s">
        <v>560</v>
      </c>
      <c r="BF321" s="109">
        <v>0</v>
      </c>
      <c r="BG321" s="109" t="s">
        <v>333</v>
      </c>
      <c r="BH321" s="109" t="s">
        <v>3815</v>
      </c>
      <c r="BI321" s="109" t="s">
        <v>3831</v>
      </c>
      <c r="BJ321" s="109" t="s">
        <v>3888</v>
      </c>
      <c r="BK321" s="109" t="s">
        <v>571</v>
      </c>
      <c r="BL321" s="111" t="s">
        <v>3923</v>
      </c>
      <c r="BM321" s="109"/>
      <c r="BN321" s="109">
        <v>0</v>
      </c>
      <c r="BO321" s="111">
        <v>0</v>
      </c>
      <c r="BP321" s="109"/>
      <c r="BQ321" s="109">
        <v>0</v>
      </c>
      <c r="BR321" s="109">
        <v>0</v>
      </c>
      <c r="BS321" s="109"/>
      <c r="BT321" s="109">
        <v>0</v>
      </c>
      <c r="BU321" s="109">
        <v>0</v>
      </c>
      <c r="BV321" s="109"/>
      <c r="BW321" s="109">
        <v>0</v>
      </c>
      <c r="BX321" s="109">
        <v>0</v>
      </c>
      <c r="BY321" s="109"/>
      <c r="BZ321" s="109">
        <v>0</v>
      </c>
      <c r="CA321" s="109"/>
      <c r="CB321" s="109"/>
      <c r="CC321" s="109"/>
      <c r="CD321" s="110"/>
    </row>
    <row r="322" spans="1:82" ht="13.9" customHeight="1" x14ac:dyDescent="0.2">
      <c r="A322" s="12">
        <v>852</v>
      </c>
      <c r="B322" s="12" t="s">
        <v>4164</v>
      </c>
      <c r="C322" s="78" t="s">
        <v>335</v>
      </c>
      <c r="D322" s="107" t="s">
        <v>133</v>
      </c>
      <c r="E322" s="99" t="s">
        <v>6651</v>
      </c>
      <c r="F322" s="100">
        <v>45793</v>
      </c>
      <c r="G322" s="100">
        <v>45793</v>
      </c>
      <c r="H322" s="101">
        <f t="shared" ref="H322:H385" si="30">+G322+AE322</f>
        <v>45883</v>
      </c>
      <c r="I322" s="101" t="s">
        <v>291</v>
      </c>
      <c r="J322" s="12" t="s">
        <v>4419</v>
      </c>
      <c r="K322" s="12" t="s">
        <v>942</v>
      </c>
      <c r="L322" s="12" t="s">
        <v>1912</v>
      </c>
      <c r="M322" s="102" t="str">
        <f t="shared" ref="M322:M385" si="31">_xlfn.CONCAT(J322," ",K322," ",L322)</f>
        <v>AMBRIZ OROZCO SELENNE FABIOLA</v>
      </c>
      <c r="N322" s="102" t="s">
        <v>7058</v>
      </c>
      <c r="O322" s="102" t="s">
        <v>4810</v>
      </c>
      <c r="P322" s="12" t="s">
        <v>1953</v>
      </c>
      <c r="Q322" s="100">
        <v>30271</v>
      </c>
      <c r="R322" s="77">
        <f t="shared" si="26"/>
        <v>16</v>
      </c>
      <c r="S322" s="77">
        <f t="shared" si="27"/>
        <v>11</v>
      </c>
      <c r="T322" s="77">
        <f t="shared" si="28"/>
        <v>1982</v>
      </c>
      <c r="U322" s="103">
        <f t="shared" ca="1" si="29"/>
        <v>43.934246575342463</v>
      </c>
      <c r="V322" s="13" t="s">
        <v>452</v>
      </c>
      <c r="W322" s="13" t="s">
        <v>2220</v>
      </c>
      <c r="X322" s="12" t="s">
        <v>310</v>
      </c>
      <c r="Y322" s="108" t="s">
        <v>217</v>
      </c>
      <c r="Z322" s="12" t="s">
        <v>237</v>
      </c>
      <c r="AA322" s="12" t="s">
        <v>636</v>
      </c>
      <c r="AB322" s="12" t="s">
        <v>1583</v>
      </c>
      <c r="AC322" s="12" t="s">
        <v>313</v>
      </c>
      <c r="AD322" s="12" t="s">
        <v>314</v>
      </c>
      <c r="AE322" s="12">
        <v>90</v>
      </c>
      <c r="AF322" s="13" t="s">
        <v>671</v>
      </c>
      <c r="AG322" s="12" t="s">
        <v>291</v>
      </c>
      <c r="AH322" s="104" t="s">
        <v>672</v>
      </c>
      <c r="AI322" s="12" t="s">
        <v>317</v>
      </c>
      <c r="AJ322" s="12" t="s">
        <v>318</v>
      </c>
      <c r="AK322" s="12" t="s">
        <v>2823</v>
      </c>
      <c r="AL322" s="104" t="s">
        <v>3124</v>
      </c>
      <c r="AM322" s="12" t="s">
        <v>2593</v>
      </c>
      <c r="AN322" s="12" t="s">
        <v>832</v>
      </c>
      <c r="AO322" s="12">
        <v>0</v>
      </c>
      <c r="AP322" s="12"/>
      <c r="AQ322" s="12" t="s">
        <v>3326</v>
      </c>
      <c r="AR322" s="12">
        <v>206</v>
      </c>
      <c r="AS322" s="12">
        <v>0</v>
      </c>
      <c r="AT322" s="12" t="s">
        <v>3388</v>
      </c>
      <c r="AU322" s="12" t="s">
        <v>912</v>
      </c>
      <c r="AV322" s="12">
        <v>66614</v>
      </c>
      <c r="AW322" s="12" t="s">
        <v>3416</v>
      </c>
      <c r="AX322" s="12">
        <v>0</v>
      </c>
      <c r="AY322" s="12" t="s">
        <v>329</v>
      </c>
      <c r="AZ322" s="12"/>
      <c r="BA322" s="12"/>
      <c r="BB322" s="12"/>
      <c r="BC322" s="12"/>
      <c r="BD322" s="12" t="s">
        <v>3557</v>
      </c>
      <c r="BE322" s="12" t="s">
        <v>560</v>
      </c>
      <c r="BF322" s="12" t="s">
        <v>3776</v>
      </c>
      <c r="BG322" s="12" t="s">
        <v>333</v>
      </c>
      <c r="BH322" s="12" t="s">
        <v>3815</v>
      </c>
      <c r="BI322" s="12" t="s">
        <v>3831</v>
      </c>
      <c r="BJ322" s="12"/>
      <c r="BK322" s="12"/>
      <c r="BL322" s="105"/>
      <c r="BM322" s="12"/>
      <c r="BN322" s="12"/>
      <c r="BO322" s="105"/>
      <c r="BP322" s="12"/>
      <c r="BQ322" s="12"/>
      <c r="BR322" s="12"/>
      <c r="BS322" s="12"/>
      <c r="BT322" s="12"/>
      <c r="BU322" s="12"/>
      <c r="BV322" s="12"/>
      <c r="BW322" s="12"/>
      <c r="BX322" s="12"/>
      <c r="BY322" s="12"/>
      <c r="BZ322" s="12"/>
      <c r="CA322" s="12"/>
      <c r="CB322" s="12"/>
      <c r="CC322" s="12"/>
      <c r="CD322" s="78"/>
    </row>
    <row r="323" spans="1:82" s="116" customFormat="1" ht="13.9" customHeight="1" x14ac:dyDescent="0.2">
      <c r="A323" s="109">
        <v>853</v>
      </c>
      <c r="B323" s="109" t="s">
        <v>4191</v>
      </c>
      <c r="C323" s="115" t="s">
        <v>1390</v>
      </c>
      <c r="D323" s="109" t="s">
        <v>281</v>
      </c>
      <c r="E323" s="111" t="s">
        <v>6784</v>
      </c>
      <c r="F323" s="112">
        <v>45796</v>
      </c>
      <c r="G323" s="112">
        <v>45796</v>
      </c>
      <c r="H323" s="113">
        <f t="shared" si="30"/>
        <v>45886</v>
      </c>
      <c r="I323" s="113" t="s">
        <v>291</v>
      </c>
      <c r="J323" s="109" t="s">
        <v>1056</v>
      </c>
      <c r="K323" s="109" t="s">
        <v>4433</v>
      </c>
      <c r="L323" s="109" t="s">
        <v>1947</v>
      </c>
      <c r="M323" s="128" t="str">
        <f t="shared" si="31"/>
        <v>VARGAS  VERA ALMA JOANA</v>
      </c>
      <c r="N323" s="128" t="s">
        <v>7198</v>
      </c>
      <c r="O323" s="128" t="s">
        <v>4854</v>
      </c>
      <c r="P323" s="109" t="s">
        <v>1954</v>
      </c>
      <c r="Q323" s="112">
        <v>34200</v>
      </c>
      <c r="R323" s="125">
        <f t="shared" ref="R323:R386" si="32">DAY(Q323)</f>
        <v>19</v>
      </c>
      <c r="S323" s="125">
        <f t="shared" ref="S323:S386" si="33">MONTH(Q323)</f>
        <v>8</v>
      </c>
      <c r="T323" s="125">
        <f t="shared" ref="T323:T386" si="34">YEAR(Q323)</f>
        <v>1993</v>
      </c>
      <c r="U323" s="142">
        <f t="shared" ref="U323:U386" ca="1" si="35">(+TODAY()-Q323)/365</f>
        <v>33.169863013698631</v>
      </c>
      <c r="V323" s="114" t="s">
        <v>1450</v>
      </c>
      <c r="W323" s="114" t="s">
        <v>2265</v>
      </c>
      <c r="X323" s="109" t="s">
        <v>310</v>
      </c>
      <c r="Y323" s="120" t="s">
        <v>278</v>
      </c>
      <c r="Z323" s="109" t="s">
        <v>263</v>
      </c>
      <c r="AA323" s="109" t="s">
        <v>636</v>
      </c>
      <c r="AB323" s="109" t="s">
        <v>1397</v>
      </c>
      <c r="AC323" s="109" t="s">
        <v>313</v>
      </c>
      <c r="AD323" s="109" t="s">
        <v>314</v>
      </c>
      <c r="AE323" s="109">
        <v>90</v>
      </c>
      <c r="AF323" s="114" t="s">
        <v>375</v>
      </c>
      <c r="AG323" s="109" t="s">
        <v>291</v>
      </c>
      <c r="AH323" s="115" t="s">
        <v>1398</v>
      </c>
      <c r="AI323" s="109" t="s">
        <v>317</v>
      </c>
      <c r="AJ323" s="109" t="s">
        <v>318</v>
      </c>
      <c r="AK323" s="109" t="s">
        <v>2862</v>
      </c>
      <c r="AL323" s="115" t="s">
        <v>3169</v>
      </c>
      <c r="AM323" s="109" t="s">
        <v>2626</v>
      </c>
      <c r="AN323" s="109" t="s">
        <v>560</v>
      </c>
      <c r="AO323" s="109">
        <v>0</v>
      </c>
      <c r="AP323" s="109"/>
      <c r="AQ323" s="109" t="s">
        <v>3346</v>
      </c>
      <c r="AR323" s="109" t="s">
        <v>3368</v>
      </c>
      <c r="AS323" s="109">
        <v>102</v>
      </c>
      <c r="AT323" s="109" t="s">
        <v>3399</v>
      </c>
      <c r="AU323" s="109" t="s">
        <v>1066</v>
      </c>
      <c r="AV323" s="109">
        <v>54763</v>
      </c>
      <c r="AW323" s="109" t="s">
        <v>3416</v>
      </c>
      <c r="AX323" s="109">
        <v>0</v>
      </c>
      <c r="AY323" s="109" t="s">
        <v>329</v>
      </c>
      <c r="AZ323" s="109"/>
      <c r="BA323" s="109"/>
      <c r="BB323" s="109"/>
      <c r="BC323" s="109"/>
      <c r="BD323" s="109" t="s">
        <v>2626</v>
      </c>
      <c r="BE323" s="109" t="s">
        <v>560</v>
      </c>
      <c r="BF323" s="109" t="s">
        <v>3810</v>
      </c>
      <c r="BG323" s="109" t="s">
        <v>333</v>
      </c>
      <c r="BH323" s="109" t="s">
        <v>3815</v>
      </c>
      <c r="BI323" s="109" t="s">
        <v>3831</v>
      </c>
      <c r="BJ323" s="109" t="s">
        <v>3831</v>
      </c>
      <c r="BK323" s="109"/>
      <c r="BL323" s="111"/>
      <c r="BM323" s="109"/>
      <c r="BN323" s="109"/>
      <c r="BO323" s="111"/>
      <c r="BP323" s="109"/>
      <c r="BQ323" s="109"/>
      <c r="BR323" s="109"/>
      <c r="BS323" s="109"/>
      <c r="BT323" s="109"/>
      <c r="BU323" s="109"/>
      <c r="BV323" s="109"/>
      <c r="BW323" s="109"/>
      <c r="BX323" s="109"/>
      <c r="BY323" s="109"/>
      <c r="BZ323" s="109"/>
      <c r="CA323" s="109"/>
      <c r="CB323" s="109"/>
      <c r="CC323" s="109"/>
      <c r="CD323" s="110"/>
    </row>
    <row r="324" spans="1:82" s="116" customFormat="1" ht="13.9" customHeight="1" x14ac:dyDescent="0.2">
      <c r="A324" s="109">
        <v>1095</v>
      </c>
      <c r="B324" s="109" t="s">
        <v>4260</v>
      </c>
      <c r="C324" s="115" t="s">
        <v>299</v>
      </c>
      <c r="D324" s="111" t="s">
        <v>80</v>
      </c>
      <c r="E324" s="111" t="s">
        <v>6652</v>
      </c>
      <c r="F324" s="112">
        <v>45797</v>
      </c>
      <c r="G324" s="112">
        <v>45797</v>
      </c>
      <c r="H324" s="113">
        <f t="shared" si="30"/>
        <v>45887</v>
      </c>
      <c r="I324" s="113" t="s">
        <v>291</v>
      </c>
      <c r="J324" s="109" t="s">
        <v>4401</v>
      </c>
      <c r="K324" s="109" t="s">
        <v>4355</v>
      </c>
      <c r="L324" s="109" t="s">
        <v>1878</v>
      </c>
      <c r="M324" s="128" t="str">
        <f t="shared" si="31"/>
        <v>MORENO SANDOVAL ALBERTO ERNESTO</v>
      </c>
      <c r="N324" s="128" t="s">
        <v>7059</v>
      </c>
      <c r="O324" s="128" t="s">
        <v>4763</v>
      </c>
      <c r="P324" s="109" t="s">
        <v>1953</v>
      </c>
      <c r="Q324" s="112">
        <v>30621</v>
      </c>
      <c r="R324" s="125">
        <f t="shared" si="32"/>
        <v>1</v>
      </c>
      <c r="S324" s="125">
        <f t="shared" si="33"/>
        <v>11</v>
      </c>
      <c r="T324" s="125">
        <f t="shared" si="34"/>
        <v>1983</v>
      </c>
      <c r="U324" s="142">
        <f t="shared" ca="1" si="35"/>
        <v>42.975342465753428</v>
      </c>
      <c r="V324" s="114" t="s">
        <v>342</v>
      </c>
      <c r="W324" s="114" t="s">
        <v>2174</v>
      </c>
      <c r="X324" s="109" t="s">
        <v>1327</v>
      </c>
      <c r="Y324" s="109" t="s">
        <v>207</v>
      </c>
      <c r="Z324" s="109" t="s">
        <v>183</v>
      </c>
      <c r="AA324" s="109" t="s">
        <v>311</v>
      </c>
      <c r="AB324" s="109" t="s">
        <v>312</v>
      </c>
      <c r="AC324" s="109" t="s">
        <v>313</v>
      </c>
      <c r="AD324" s="109" t="s">
        <v>314</v>
      </c>
      <c r="AE324" s="109">
        <v>90</v>
      </c>
      <c r="AF324" s="114" t="s">
        <v>315</v>
      </c>
      <c r="AG324" s="109" t="s">
        <v>291</v>
      </c>
      <c r="AH324" s="115" t="s">
        <v>1329</v>
      </c>
      <c r="AI324" s="109" t="s">
        <v>317</v>
      </c>
      <c r="AJ324" s="109" t="s">
        <v>318</v>
      </c>
      <c r="AK324" s="109">
        <v>4291117744</v>
      </c>
      <c r="AL324" s="115" t="s">
        <v>3079</v>
      </c>
      <c r="AM324" s="109" t="s">
        <v>2550</v>
      </c>
      <c r="AN324" s="109" t="s">
        <v>381</v>
      </c>
      <c r="AO324" s="109" t="s">
        <v>327</v>
      </c>
      <c r="AP324" s="109"/>
      <c r="AQ324" s="109" t="s">
        <v>3306</v>
      </c>
      <c r="AR324" s="109" t="s">
        <v>880</v>
      </c>
      <c r="AS324" s="109" t="s">
        <v>880</v>
      </c>
      <c r="AT324" s="109" t="s">
        <v>3397</v>
      </c>
      <c r="AU324" s="109" t="s">
        <v>1184</v>
      </c>
      <c r="AV324" s="109">
        <v>36985</v>
      </c>
      <c r="AW324" s="109" t="s">
        <v>3416</v>
      </c>
      <c r="AX324" s="109">
        <v>0</v>
      </c>
      <c r="AY324" s="109" t="s">
        <v>329</v>
      </c>
      <c r="AZ324" s="109"/>
      <c r="BA324" s="109"/>
      <c r="BB324" s="109"/>
      <c r="BC324" s="109"/>
      <c r="BD324" s="109" t="s">
        <v>2550</v>
      </c>
      <c r="BE324" s="109" t="s">
        <v>381</v>
      </c>
      <c r="BF324" s="109">
        <v>4291516656</v>
      </c>
      <c r="BG324" s="109" t="s">
        <v>488</v>
      </c>
      <c r="BH324" s="109" t="s">
        <v>3815</v>
      </c>
      <c r="BI324" s="109" t="s">
        <v>3831</v>
      </c>
      <c r="BJ324" s="109" t="s">
        <v>3888</v>
      </c>
      <c r="BK324" s="109" t="s">
        <v>571</v>
      </c>
      <c r="BL324" s="111" t="s">
        <v>3913</v>
      </c>
      <c r="BM324" s="109"/>
      <c r="BN324" s="109" t="s">
        <v>571</v>
      </c>
      <c r="BO324" s="111" t="s">
        <v>3923</v>
      </c>
      <c r="BP324" s="109"/>
      <c r="BQ324" s="109">
        <v>0</v>
      </c>
      <c r="BR324" s="109">
        <v>0</v>
      </c>
      <c r="BS324" s="109"/>
      <c r="BT324" s="109">
        <v>0</v>
      </c>
      <c r="BU324" s="109">
        <v>0</v>
      </c>
      <c r="BV324" s="109"/>
      <c r="BW324" s="109">
        <v>0</v>
      </c>
      <c r="BX324" s="109">
        <v>0</v>
      </c>
      <c r="BY324" s="109"/>
      <c r="BZ324" s="109">
        <v>0</v>
      </c>
      <c r="CA324" s="109"/>
      <c r="CB324" s="109"/>
      <c r="CC324" s="109"/>
      <c r="CD324" s="110"/>
    </row>
    <row r="325" spans="1:82" s="116" customFormat="1" ht="13.9" customHeight="1" x14ac:dyDescent="0.2">
      <c r="A325" s="109">
        <v>160</v>
      </c>
      <c r="B325" s="109" t="s">
        <v>7259</v>
      </c>
      <c r="C325" s="110" t="s">
        <v>363</v>
      </c>
      <c r="D325" s="109" t="s">
        <v>86</v>
      </c>
      <c r="E325" s="111" t="s">
        <v>6653</v>
      </c>
      <c r="F325" s="112">
        <v>45803</v>
      </c>
      <c r="G325" s="112">
        <v>45803</v>
      </c>
      <c r="H325" s="113">
        <f t="shared" si="30"/>
        <v>45893</v>
      </c>
      <c r="I325" s="113" t="s">
        <v>290</v>
      </c>
      <c r="J325" s="109" t="s">
        <v>383</v>
      </c>
      <c r="K325" s="109" t="s">
        <v>384</v>
      </c>
      <c r="L325" s="109" t="s">
        <v>385</v>
      </c>
      <c r="M325" s="128" t="str">
        <f t="shared" si="31"/>
        <v>ORTIZ SANCHEZ JOSE PABLO</v>
      </c>
      <c r="N325" s="128" t="s">
        <v>7060</v>
      </c>
      <c r="O325" s="128" t="s">
        <v>388</v>
      </c>
      <c r="P325" s="109" t="s">
        <v>1953</v>
      </c>
      <c r="Q325" s="112">
        <v>33525</v>
      </c>
      <c r="R325" s="125">
        <f t="shared" si="32"/>
        <v>14</v>
      </c>
      <c r="S325" s="125">
        <f t="shared" si="33"/>
        <v>10</v>
      </c>
      <c r="T325" s="125">
        <f t="shared" si="34"/>
        <v>1991</v>
      </c>
      <c r="U325" s="142">
        <f t="shared" ca="1" si="35"/>
        <v>35.019178082191779</v>
      </c>
      <c r="V325" s="114" t="s">
        <v>389</v>
      </c>
      <c r="W325" s="114" t="s">
        <v>390</v>
      </c>
      <c r="X325" s="109" t="s">
        <v>1497</v>
      </c>
      <c r="Y325" s="109" t="s">
        <v>87</v>
      </c>
      <c r="Z325" s="109" t="s">
        <v>88</v>
      </c>
      <c r="AA325" s="109" t="s">
        <v>392</v>
      </c>
      <c r="AB325" s="109" t="s">
        <v>374</v>
      </c>
      <c r="AC325" s="109" t="s">
        <v>313</v>
      </c>
      <c r="AD325" s="109" t="s">
        <v>314</v>
      </c>
      <c r="AE325" s="109">
        <v>90</v>
      </c>
      <c r="AF325" s="114" t="s">
        <v>375</v>
      </c>
      <c r="AG325" s="109" t="s">
        <v>290</v>
      </c>
      <c r="AH325" s="115" t="s">
        <v>393</v>
      </c>
      <c r="AI325" s="109" t="s">
        <v>317</v>
      </c>
      <c r="AJ325" s="109" t="s">
        <v>318</v>
      </c>
      <c r="AK325" s="109" t="s">
        <v>395</v>
      </c>
      <c r="AL325" s="115" t="s">
        <v>396</v>
      </c>
      <c r="AM325" s="109" t="s">
        <v>397</v>
      </c>
      <c r="AN325" s="109" t="s">
        <v>325</v>
      </c>
      <c r="AO325" s="109" t="s">
        <v>398</v>
      </c>
      <c r="AP325" s="109"/>
      <c r="AQ325" s="109">
        <v>0</v>
      </c>
      <c r="AR325" s="109">
        <v>0</v>
      </c>
      <c r="AS325" s="109">
        <v>0</v>
      </c>
      <c r="AT325" s="109">
        <v>0</v>
      </c>
      <c r="AU325" s="109">
        <v>0</v>
      </c>
      <c r="AV325" s="109">
        <v>0</v>
      </c>
      <c r="AW325" s="109" t="s">
        <v>328</v>
      </c>
      <c r="AX325" s="109" t="s">
        <v>357</v>
      </c>
      <c r="AY325" s="109" t="s">
        <v>330</v>
      </c>
      <c r="AZ325" s="109"/>
      <c r="BA325" s="109"/>
      <c r="BB325" s="109"/>
      <c r="BC325" s="109"/>
      <c r="BD325" s="109" t="s">
        <v>400</v>
      </c>
      <c r="BE325" s="109" t="s">
        <v>401</v>
      </c>
      <c r="BF325" s="109" t="s">
        <v>402</v>
      </c>
      <c r="BG325" s="109" t="s">
        <v>362</v>
      </c>
      <c r="BH325" s="109" t="s">
        <v>362</v>
      </c>
      <c r="BI325" s="109" t="s">
        <v>362</v>
      </c>
      <c r="BJ325" s="109" t="s">
        <v>3888</v>
      </c>
      <c r="BK325" s="109" t="s">
        <v>3911</v>
      </c>
      <c r="BL325" s="111">
        <v>0</v>
      </c>
      <c r="BM325" s="109"/>
      <c r="BN325" s="109">
        <v>0</v>
      </c>
      <c r="BO325" s="111">
        <v>0</v>
      </c>
      <c r="BP325" s="109"/>
      <c r="BQ325" s="109">
        <v>0</v>
      </c>
      <c r="BR325" s="109">
        <v>0</v>
      </c>
      <c r="BS325" s="109"/>
      <c r="BT325" s="109">
        <v>0</v>
      </c>
      <c r="BU325" s="109">
        <v>0</v>
      </c>
      <c r="BV325" s="109"/>
      <c r="BW325" s="109">
        <v>0</v>
      </c>
      <c r="BX325" s="109">
        <v>0</v>
      </c>
      <c r="BY325" s="109"/>
      <c r="BZ325" s="109">
        <v>0</v>
      </c>
      <c r="CA325" s="109"/>
      <c r="CB325" s="109"/>
      <c r="CC325" s="109"/>
      <c r="CD325" s="110"/>
    </row>
    <row r="326" spans="1:82" s="116" customFormat="1" ht="13.9" customHeight="1" x14ac:dyDescent="0.2">
      <c r="A326" s="109">
        <v>1097</v>
      </c>
      <c r="B326" s="109" t="s">
        <v>4261</v>
      </c>
      <c r="C326" s="115" t="s">
        <v>299</v>
      </c>
      <c r="D326" s="111" t="s">
        <v>80</v>
      </c>
      <c r="E326" s="111" t="s">
        <v>6654</v>
      </c>
      <c r="F326" s="112">
        <v>45805</v>
      </c>
      <c r="G326" s="112">
        <v>45805</v>
      </c>
      <c r="H326" s="113">
        <f t="shared" si="30"/>
        <v>45895</v>
      </c>
      <c r="I326" s="113" t="s">
        <v>291</v>
      </c>
      <c r="J326" s="109" t="s">
        <v>590</v>
      </c>
      <c r="K326" s="109" t="s">
        <v>447</v>
      </c>
      <c r="L326" s="109" t="s">
        <v>1879</v>
      </c>
      <c r="M326" s="128" t="str">
        <f t="shared" si="31"/>
        <v>PEREZ GARCIA EDGAR</v>
      </c>
      <c r="N326" s="128" t="s">
        <v>7061</v>
      </c>
      <c r="O326" s="128" t="s">
        <v>4764</v>
      </c>
      <c r="P326" s="109" t="s">
        <v>1953</v>
      </c>
      <c r="Q326" s="112">
        <v>24634</v>
      </c>
      <c r="R326" s="125">
        <f t="shared" si="32"/>
        <v>11</v>
      </c>
      <c r="S326" s="125">
        <f t="shared" si="33"/>
        <v>6</v>
      </c>
      <c r="T326" s="125">
        <f t="shared" si="34"/>
        <v>1967</v>
      </c>
      <c r="U326" s="142">
        <f t="shared" ca="1" si="35"/>
        <v>59.37808219178082</v>
      </c>
      <c r="V326" s="114" t="s">
        <v>342</v>
      </c>
      <c r="W326" s="114" t="s">
        <v>2175</v>
      </c>
      <c r="X326" s="109" t="s">
        <v>693</v>
      </c>
      <c r="Y326" s="109" t="s">
        <v>210</v>
      </c>
      <c r="Z326" s="109" t="s">
        <v>209</v>
      </c>
      <c r="AA326" s="109">
        <v>0</v>
      </c>
      <c r="AB326" s="109">
        <v>0</v>
      </c>
      <c r="AC326" s="109" t="s">
        <v>313</v>
      </c>
      <c r="AD326" s="109" t="s">
        <v>314</v>
      </c>
      <c r="AE326" s="109">
        <v>90</v>
      </c>
      <c r="AF326" s="114" t="s">
        <v>315</v>
      </c>
      <c r="AG326" s="109" t="s">
        <v>291</v>
      </c>
      <c r="AH326" s="115" t="s">
        <v>1329</v>
      </c>
      <c r="AI326" s="109" t="s">
        <v>317</v>
      </c>
      <c r="AJ326" s="109" t="s">
        <v>318</v>
      </c>
      <c r="AK326" s="109">
        <v>5586114338</v>
      </c>
      <c r="AL326" s="115" t="s">
        <v>3080</v>
      </c>
      <c r="AM326" s="109" t="s">
        <v>2551</v>
      </c>
      <c r="AN326" s="109" t="s">
        <v>381</v>
      </c>
      <c r="AO326" s="109" t="s">
        <v>398</v>
      </c>
      <c r="AP326" s="109"/>
      <c r="AQ326" s="109" t="s">
        <v>3307</v>
      </c>
      <c r="AR326" s="109">
        <v>83</v>
      </c>
      <c r="AS326" s="109" t="s">
        <v>880</v>
      </c>
      <c r="AT326" s="109" t="s">
        <v>894</v>
      </c>
      <c r="AU326" s="109" t="s">
        <v>681</v>
      </c>
      <c r="AV326" s="109">
        <v>7950</v>
      </c>
      <c r="AW326" s="109" t="s">
        <v>3416</v>
      </c>
      <c r="AX326" s="109">
        <v>0</v>
      </c>
      <c r="AY326" s="109" t="s">
        <v>329</v>
      </c>
      <c r="AZ326" s="109"/>
      <c r="BA326" s="109"/>
      <c r="BB326" s="109"/>
      <c r="BC326" s="109"/>
      <c r="BD326" s="109" t="s">
        <v>3534</v>
      </c>
      <c r="BE326" s="109" t="s">
        <v>1531</v>
      </c>
      <c r="BF326" s="109">
        <v>5586775448</v>
      </c>
      <c r="BG326" s="109" t="s">
        <v>333</v>
      </c>
      <c r="BH326" s="109" t="s">
        <v>3815</v>
      </c>
      <c r="BI326" s="109" t="s">
        <v>3831</v>
      </c>
      <c r="BJ326" s="109" t="s">
        <v>3888</v>
      </c>
      <c r="BK326" s="109" t="s">
        <v>571</v>
      </c>
      <c r="BL326" s="111" t="s">
        <v>3956</v>
      </c>
      <c r="BM326" s="109"/>
      <c r="BN326" s="109" t="s">
        <v>3911</v>
      </c>
      <c r="BO326" s="111" t="s">
        <v>3951</v>
      </c>
      <c r="BP326" s="109"/>
      <c r="BQ326" s="109">
        <v>0</v>
      </c>
      <c r="BR326" s="109">
        <v>0</v>
      </c>
      <c r="BS326" s="109"/>
      <c r="BT326" s="109">
        <v>0</v>
      </c>
      <c r="BU326" s="109">
        <v>0</v>
      </c>
      <c r="BV326" s="109"/>
      <c r="BW326" s="109">
        <v>0</v>
      </c>
      <c r="BX326" s="109">
        <v>0</v>
      </c>
      <c r="BY326" s="109"/>
      <c r="BZ326" s="109">
        <v>0</v>
      </c>
      <c r="CA326" s="109"/>
      <c r="CB326" s="109"/>
      <c r="CC326" s="109"/>
      <c r="CD326" s="110"/>
    </row>
    <row r="327" spans="1:82" ht="13.9" customHeight="1" x14ac:dyDescent="0.2">
      <c r="A327" s="12">
        <v>854</v>
      </c>
      <c r="B327" s="12" t="s">
        <v>4063</v>
      </c>
      <c r="C327" s="78" t="s">
        <v>335</v>
      </c>
      <c r="D327" s="99" t="s">
        <v>127</v>
      </c>
      <c r="E327" s="99" t="s">
        <v>6655</v>
      </c>
      <c r="F327" s="100">
        <v>45810</v>
      </c>
      <c r="G327" s="100">
        <v>45810</v>
      </c>
      <c r="H327" s="101">
        <f t="shared" si="30"/>
        <v>45900</v>
      </c>
      <c r="I327" s="101" t="s">
        <v>290</v>
      </c>
      <c r="J327" s="12" t="s">
        <v>1079</v>
      </c>
      <c r="K327" s="12" t="s">
        <v>1044</v>
      </c>
      <c r="L327" s="12" t="s">
        <v>1787</v>
      </c>
      <c r="M327" s="102" t="str">
        <f t="shared" si="31"/>
        <v>CASTILLO RODRIGUEZ LUIS ANTONIO</v>
      </c>
      <c r="N327" s="102" t="s">
        <v>7062</v>
      </c>
      <c r="O327" s="102" t="s">
        <v>4652</v>
      </c>
      <c r="P327" s="12" t="s">
        <v>1953</v>
      </c>
      <c r="Q327" s="100">
        <v>35905</v>
      </c>
      <c r="R327" s="77">
        <f t="shared" si="32"/>
        <v>20</v>
      </c>
      <c r="S327" s="77">
        <f t="shared" si="33"/>
        <v>4</v>
      </c>
      <c r="T327" s="77">
        <f t="shared" si="34"/>
        <v>1998</v>
      </c>
      <c r="U327" s="103">
        <f t="shared" ca="1" si="35"/>
        <v>28.4986301369863</v>
      </c>
      <c r="V327" s="13" t="s">
        <v>389</v>
      </c>
      <c r="W327" s="13" t="s">
        <v>2064</v>
      </c>
      <c r="X327" s="12" t="s">
        <v>693</v>
      </c>
      <c r="Y327" s="12" t="s">
        <v>83</v>
      </c>
      <c r="Z327" s="12" t="s">
        <v>84</v>
      </c>
      <c r="AA327" s="12" t="s">
        <v>347</v>
      </c>
      <c r="AB327" s="12" t="s">
        <v>2289</v>
      </c>
      <c r="AC327" s="12" t="s">
        <v>313</v>
      </c>
      <c r="AD327" s="12" t="s">
        <v>314</v>
      </c>
      <c r="AE327" s="12">
        <v>90</v>
      </c>
      <c r="AF327" s="13" t="s">
        <v>413</v>
      </c>
      <c r="AG327" s="12" t="s">
        <v>290</v>
      </c>
      <c r="AH327" s="104" t="s">
        <v>2339</v>
      </c>
      <c r="AI327" s="12" t="s">
        <v>317</v>
      </c>
      <c r="AJ327" s="12" t="s">
        <v>318</v>
      </c>
      <c r="AK327" s="12" t="s">
        <v>2708</v>
      </c>
      <c r="AL327" s="104" t="s">
        <v>2970</v>
      </c>
      <c r="AM327" s="12" t="s">
        <v>2446</v>
      </c>
      <c r="AN327" s="12" t="s">
        <v>3175</v>
      </c>
      <c r="AO327" s="12" t="s">
        <v>398</v>
      </c>
      <c r="AP327" s="12"/>
      <c r="AQ327" s="12" t="s">
        <v>3255</v>
      </c>
      <c r="AR327" s="12" t="s">
        <v>880</v>
      </c>
      <c r="AS327" s="12">
        <v>119</v>
      </c>
      <c r="AT327" s="12" t="s">
        <v>3387</v>
      </c>
      <c r="AU327" s="12" t="s">
        <v>483</v>
      </c>
      <c r="AV327" s="12">
        <v>78700</v>
      </c>
      <c r="AW327" s="12" t="s">
        <v>3416</v>
      </c>
      <c r="AX327" s="12">
        <v>0</v>
      </c>
      <c r="AY327" s="12" t="s">
        <v>3419</v>
      </c>
      <c r="AZ327" s="12"/>
      <c r="BA327" s="12"/>
      <c r="BB327" s="12"/>
      <c r="BC327" s="12"/>
      <c r="BD327" s="12" t="s">
        <v>3490</v>
      </c>
      <c r="BE327" s="12" t="s">
        <v>401</v>
      </c>
      <c r="BF327" s="12" t="s">
        <v>3656</v>
      </c>
      <c r="BG327" s="12" t="s">
        <v>333</v>
      </c>
      <c r="BH327" s="12" t="s">
        <v>334</v>
      </c>
      <c r="BI327" s="12" t="s">
        <v>3831</v>
      </c>
      <c r="BJ327" s="12" t="s">
        <v>3831</v>
      </c>
      <c r="BK327" s="12"/>
      <c r="BL327" s="105"/>
      <c r="BM327" s="12"/>
      <c r="BN327" s="12"/>
      <c r="BO327" s="105"/>
      <c r="BP327" s="12"/>
      <c r="BQ327" s="12"/>
      <c r="BR327" s="12"/>
      <c r="BS327" s="12"/>
      <c r="BT327" s="12"/>
      <c r="BU327" s="12"/>
      <c r="BV327" s="12"/>
      <c r="BW327" s="12"/>
      <c r="BX327" s="12"/>
      <c r="BY327" s="12"/>
      <c r="BZ327" s="12"/>
      <c r="CA327" s="12"/>
      <c r="CB327" s="12"/>
      <c r="CC327" s="12"/>
      <c r="CD327" s="78"/>
    </row>
    <row r="328" spans="1:82" s="116" customFormat="1" ht="13.9" customHeight="1" x14ac:dyDescent="0.2">
      <c r="A328" s="109">
        <v>855</v>
      </c>
      <c r="B328" s="109" t="s">
        <v>7265</v>
      </c>
      <c r="C328" s="110" t="s">
        <v>299</v>
      </c>
      <c r="D328" s="111" t="s">
        <v>80</v>
      </c>
      <c r="E328" s="111" t="s">
        <v>6656</v>
      </c>
      <c r="F328" s="112">
        <v>45810</v>
      </c>
      <c r="G328" s="112">
        <v>45810</v>
      </c>
      <c r="H328" s="113">
        <f t="shared" si="30"/>
        <v>45900</v>
      </c>
      <c r="I328" s="113" t="s">
        <v>291</v>
      </c>
      <c r="J328" s="109" t="s">
        <v>507</v>
      </c>
      <c r="K328" s="109" t="s">
        <v>4454</v>
      </c>
      <c r="L328" s="109" t="s">
        <v>1730</v>
      </c>
      <c r="M328" s="128" t="str">
        <f t="shared" si="31"/>
        <v>MARTINEZ LOZA CARLOS GERARDO</v>
      </c>
      <c r="N328" s="128" t="s">
        <v>7063</v>
      </c>
      <c r="O328" s="128" t="s">
        <v>4588</v>
      </c>
      <c r="P328" s="109" t="s">
        <v>1953</v>
      </c>
      <c r="Q328" s="112">
        <v>30655</v>
      </c>
      <c r="R328" s="125">
        <f t="shared" si="32"/>
        <v>5</v>
      </c>
      <c r="S328" s="125">
        <f t="shared" si="33"/>
        <v>12</v>
      </c>
      <c r="T328" s="125">
        <f t="shared" si="34"/>
        <v>1983</v>
      </c>
      <c r="U328" s="142">
        <f t="shared" ca="1" si="35"/>
        <v>42.88219178082192</v>
      </c>
      <c r="V328" s="114" t="s">
        <v>389</v>
      </c>
      <c r="W328" s="114" t="s">
        <v>1999</v>
      </c>
      <c r="X328" s="109" t="s">
        <v>693</v>
      </c>
      <c r="Y328" s="109" t="s">
        <v>85</v>
      </c>
      <c r="Z328" s="109" t="s">
        <v>84</v>
      </c>
      <c r="AA328" s="109" t="s">
        <v>432</v>
      </c>
      <c r="AB328" s="109" t="s">
        <v>2280</v>
      </c>
      <c r="AC328" s="109" t="s">
        <v>313</v>
      </c>
      <c r="AD328" s="109" t="s">
        <v>314</v>
      </c>
      <c r="AE328" s="109">
        <v>90</v>
      </c>
      <c r="AF328" s="114" t="s">
        <v>315</v>
      </c>
      <c r="AG328" s="109" t="s">
        <v>290</v>
      </c>
      <c r="AH328" s="115" t="s">
        <v>1329</v>
      </c>
      <c r="AI328" s="109" t="s">
        <v>317</v>
      </c>
      <c r="AJ328" s="109" t="s">
        <v>318</v>
      </c>
      <c r="AK328" s="109" t="s">
        <v>2663</v>
      </c>
      <c r="AL328" s="115" t="s">
        <v>2906</v>
      </c>
      <c r="AM328" s="109" t="s">
        <v>2388</v>
      </c>
      <c r="AN328" s="109" t="s">
        <v>325</v>
      </c>
      <c r="AO328" s="109" t="s">
        <v>398</v>
      </c>
      <c r="AP328" s="109"/>
      <c r="AQ328" s="109" t="s">
        <v>3214</v>
      </c>
      <c r="AR328" s="109">
        <v>220</v>
      </c>
      <c r="AS328" s="109" t="s">
        <v>880</v>
      </c>
      <c r="AT328" s="109" t="s">
        <v>483</v>
      </c>
      <c r="AU328" s="109" t="s">
        <v>483</v>
      </c>
      <c r="AV328" s="109">
        <v>78395</v>
      </c>
      <c r="AW328" s="109" t="s">
        <v>357</v>
      </c>
      <c r="AX328" s="109">
        <v>0</v>
      </c>
      <c r="AY328" s="109" t="s">
        <v>357</v>
      </c>
      <c r="AZ328" s="109"/>
      <c r="BA328" s="109"/>
      <c r="BB328" s="109"/>
      <c r="BC328" s="109"/>
      <c r="BD328" s="109" t="s">
        <v>2388</v>
      </c>
      <c r="BE328" s="109" t="s">
        <v>325</v>
      </c>
      <c r="BF328" s="109" t="s">
        <v>3610</v>
      </c>
      <c r="BG328" s="109" t="s">
        <v>685</v>
      </c>
      <c r="BH328" s="109" t="s">
        <v>334</v>
      </c>
      <c r="BI328" s="109" t="s">
        <v>3831</v>
      </c>
      <c r="BJ328" s="109" t="s">
        <v>3831</v>
      </c>
      <c r="BK328" s="109"/>
      <c r="BL328" s="111"/>
      <c r="BM328" s="109"/>
      <c r="BN328" s="109"/>
      <c r="BO328" s="111"/>
      <c r="BP328" s="109"/>
      <c r="BQ328" s="109"/>
      <c r="BR328" s="109"/>
      <c r="BS328" s="109"/>
      <c r="BT328" s="109"/>
      <c r="BU328" s="109"/>
      <c r="BV328" s="109"/>
      <c r="BW328" s="109"/>
      <c r="BX328" s="109"/>
      <c r="BY328" s="109"/>
      <c r="BZ328" s="109"/>
      <c r="CA328" s="109"/>
      <c r="CB328" s="109"/>
      <c r="CC328" s="109"/>
      <c r="CD328" s="110"/>
    </row>
    <row r="329" spans="1:82" s="116" customFormat="1" ht="13.9" customHeight="1" x14ac:dyDescent="0.2">
      <c r="A329" s="109">
        <v>1098</v>
      </c>
      <c r="B329" s="109" t="s">
        <v>4262</v>
      </c>
      <c r="C329" s="115" t="s">
        <v>299</v>
      </c>
      <c r="D329" s="111" t="s">
        <v>80</v>
      </c>
      <c r="E329" s="111" t="s">
        <v>6657</v>
      </c>
      <c r="F329" s="112">
        <v>45810</v>
      </c>
      <c r="G329" s="112">
        <v>45810</v>
      </c>
      <c r="H329" s="113">
        <f t="shared" si="30"/>
        <v>45900</v>
      </c>
      <c r="I329" s="113" t="s">
        <v>291</v>
      </c>
      <c r="J329" s="109" t="s">
        <v>4401</v>
      </c>
      <c r="K329" s="109" t="s">
        <v>4511</v>
      </c>
      <c r="L329" s="109" t="s">
        <v>1880</v>
      </c>
      <c r="M329" s="128" t="str">
        <f t="shared" si="31"/>
        <v>MORENO MUÑIZ LILIANA LIZBETH</v>
      </c>
      <c r="N329" s="128" t="s">
        <v>7064</v>
      </c>
      <c r="O329" s="128" t="s">
        <v>4765</v>
      </c>
      <c r="P329" s="109" t="s">
        <v>1954</v>
      </c>
      <c r="Q329" s="112">
        <v>36074</v>
      </c>
      <c r="R329" s="125">
        <f t="shared" si="32"/>
        <v>6</v>
      </c>
      <c r="S329" s="125">
        <f t="shared" si="33"/>
        <v>10</v>
      </c>
      <c r="T329" s="125">
        <f t="shared" si="34"/>
        <v>1998</v>
      </c>
      <c r="U329" s="142">
        <f t="shared" ca="1" si="35"/>
        <v>28.035616438356165</v>
      </c>
      <c r="V329" s="114" t="s">
        <v>308</v>
      </c>
      <c r="W329" s="114" t="s">
        <v>2176</v>
      </c>
      <c r="X329" s="109" t="s">
        <v>1327</v>
      </c>
      <c r="Y329" s="109" t="s">
        <v>211</v>
      </c>
      <c r="Z329" s="109" t="s">
        <v>183</v>
      </c>
      <c r="AA329" s="109" t="s">
        <v>311</v>
      </c>
      <c r="AB329" s="109" t="s">
        <v>497</v>
      </c>
      <c r="AC329" s="109" t="s">
        <v>313</v>
      </c>
      <c r="AD329" s="109" t="s">
        <v>314</v>
      </c>
      <c r="AE329" s="109">
        <v>90</v>
      </c>
      <c r="AF329" s="114" t="s">
        <v>315</v>
      </c>
      <c r="AG329" s="109" t="s">
        <v>291</v>
      </c>
      <c r="AH329" s="115" t="s">
        <v>1329</v>
      </c>
      <c r="AI329" s="109" t="s">
        <v>317</v>
      </c>
      <c r="AJ329" s="109" t="s">
        <v>318</v>
      </c>
      <c r="AK329" s="109" t="s">
        <v>2784</v>
      </c>
      <c r="AL329" s="115" t="s">
        <v>3081</v>
      </c>
      <c r="AM329" s="109" t="s">
        <v>2552</v>
      </c>
      <c r="AN329" s="109" t="s">
        <v>3175</v>
      </c>
      <c r="AO329" s="109" t="s">
        <v>398</v>
      </c>
      <c r="AP329" s="109"/>
      <c r="AQ329" s="109" t="s">
        <v>3308</v>
      </c>
      <c r="AR329" s="109">
        <v>106</v>
      </c>
      <c r="AS329" s="109" t="s">
        <v>880</v>
      </c>
      <c r="AT329" s="109" t="s">
        <v>483</v>
      </c>
      <c r="AU329" s="109" t="s">
        <v>483</v>
      </c>
      <c r="AV329" s="109">
        <v>78136</v>
      </c>
      <c r="AW329" s="109" t="s">
        <v>329</v>
      </c>
      <c r="AX329" s="109">
        <v>0</v>
      </c>
      <c r="AY329" s="109" t="s">
        <v>329</v>
      </c>
      <c r="AZ329" s="109"/>
      <c r="BA329" s="109"/>
      <c r="BB329" s="109"/>
      <c r="BC329" s="109"/>
      <c r="BD329" s="109" t="s">
        <v>2552</v>
      </c>
      <c r="BE329" s="109" t="s">
        <v>3175</v>
      </c>
      <c r="BF329" s="109" t="s">
        <v>3738</v>
      </c>
      <c r="BG329" s="109" t="s">
        <v>333</v>
      </c>
      <c r="BH329" s="109" t="s">
        <v>3815</v>
      </c>
      <c r="BI329" s="109" t="s">
        <v>3831</v>
      </c>
      <c r="BJ329" s="109" t="s">
        <v>3831</v>
      </c>
      <c r="BK329" s="109"/>
      <c r="BL329" s="111"/>
      <c r="BM329" s="109"/>
      <c r="BN329" s="109"/>
      <c r="BO329" s="111"/>
      <c r="BP329" s="109"/>
      <c r="BQ329" s="109"/>
      <c r="BR329" s="109"/>
      <c r="BS329" s="109"/>
      <c r="BT329" s="109"/>
      <c r="BU329" s="109"/>
      <c r="BV329" s="109"/>
      <c r="BW329" s="109"/>
      <c r="BX329" s="109"/>
      <c r="BY329" s="109"/>
      <c r="BZ329" s="109"/>
      <c r="CA329" s="109"/>
      <c r="CB329" s="109"/>
      <c r="CC329" s="109"/>
      <c r="CD329" s="110"/>
    </row>
    <row r="330" spans="1:82" s="116" customFormat="1" ht="13.9" customHeight="1" x14ac:dyDescent="0.2">
      <c r="A330" s="109">
        <v>856</v>
      </c>
      <c r="B330" s="109" t="s">
        <v>4109</v>
      </c>
      <c r="C330" s="110" t="s">
        <v>335</v>
      </c>
      <c r="D330" s="111" t="s">
        <v>86</v>
      </c>
      <c r="E330" s="111" t="s">
        <v>6658</v>
      </c>
      <c r="F330" s="112">
        <v>45811</v>
      </c>
      <c r="G330" s="112">
        <v>45811</v>
      </c>
      <c r="H330" s="113">
        <f t="shared" si="30"/>
        <v>45901</v>
      </c>
      <c r="I330" s="113" t="s">
        <v>291</v>
      </c>
      <c r="J330" s="109" t="s">
        <v>366</v>
      </c>
      <c r="K330" s="109" t="s">
        <v>4497</v>
      </c>
      <c r="L330" s="109" t="s">
        <v>338</v>
      </c>
      <c r="M330" s="128" t="str">
        <f t="shared" si="31"/>
        <v>HERNANDEZ DE LOERA JUAN CARLOS</v>
      </c>
      <c r="N330" s="128" t="s">
        <v>7065</v>
      </c>
      <c r="O330" s="128" t="s">
        <v>4705</v>
      </c>
      <c r="P330" s="109" t="s">
        <v>1953</v>
      </c>
      <c r="Q330" s="112">
        <v>30050</v>
      </c>
      <c r="R330" s="125">
        <f t="shared" si="32"/>
        <v>9</v>
      </c>
      <c r="S330" s="125">
        <f t="shared" si="33"/>
        <v>4</v>
      </c>
      <c r="T330" s="125">
        <f t="shared" si="34"/>
        <v>1982</v>
      </c>
      <c r="U330" s="142">
        <f t="shared" ca="1" si="35"/>
        <v>44.539726027397258</v>
      </c>
      <c r="V330" s="114" t="s">
        <v>452</v>
      </c>
      <c r="W330" s="114" t="s">
        <v>2116</v>
      </c>
      <c r="X330" s="109" t="s">
        <v>1327</v>
      </c>
      <c r="Y330" s="109" t="s">
        <v>160</v>
      </c>
      <c r="Z330" s="109" t="s">
        <v>152</v>
      </c>
      <c r="AA330" s="109" t="s">
        <v>2271</v>
      </c>
      <c r="AB330" s="109" t="s">
        <v>2296</v>
      </c>
      <c r="AC330" s="109" t="s">
        <v>313</v>
      </c>
      <c r="AD330" s="109" t="s">
        <v>314</v>
      </c>
      <c r="AE330" s="109">
        <v>90</v>
      </c>
      <c r="AF330" s="114" t="s">
        <v>315</v>
      </c>
      <c r="AG330" s="109" t="s">
        <v>290</v>
      </c>
      <c r="AH330" s="115" t="s">
        <v>2342</v>
      </c>
      <c r="AI330" s="109" t="s">
        <v>317</v>
      </c>
      <c r="AJ330" s="109" t="s">
        <v>318</v>
      </c>
      <c r="AK330" s="109" t="s">
        <v>2735</v>
      </c>
      <c r="AL330" s="115" t="s">
        <v>3022</v>
      </c>
      <c r="AM330" s="109" t="s">
        <v>2493</v>
      </c>
      <c r="AN330" s="109" t="s">
        <v>478</v>
      </c>
      <c r="AO330" s="109">
        <v>0</v>
      </c>
      <c r="AP330" s="109"/>
      <c r="AQ330" s="109" t="s">
        <v>3284</v>
      </c>
      <c r="AR330" s="109">
        <v>200</v>
      </c>
      <c r="AS330" s="109" t="s">
        <v>880</v>
      </c>
      <c r="AT330" s="109" t="s">
        <v>680</v>
      </c>
      <c r="AU330" s="109" t="s">
        <v>681</v>
      </c>
      <c r="AV330" s="109" t="s">
        <v>3412</v>
      </c>
      <c r="AW330" s="109" t="s">
        <v>3416</v>
      </c>
      <c r="AX330" s="109">
        <v>0</v>
      </c>
      <c r="AY330" s="109" t="s">
        <v>329</v>
      </c>
      <c r="AZ330" s="109"/>
      <c r="BA330" s="109"/>
      <c r="BB330" s="109"/>
      <c r="BC330" s="109"/>
      <c r="BD330" s="109">
        <v>0</v>
      </c>
      <c r="BE330" s="109">
        <v>0</v>
      </c>
      <c r="BF330" s="109">
        <v>0</v>
      </c>
      <c r="BG330" s="109">
        <v>0</v>
      </c>
      <c r="BH330" s="109">
        <v>0</v>
      </c>
      <c r="BI330" s="109">
        <v>2</v>
      </c>
      <c r="BJ330" s="109" t="s">
        <v>3870</v>
      </c>
      <c r="BK330" s="109" t="s">
        <v>3911</v>
      </c>
      <c r="BL330" s="111">
        <v>3</v>
      </c>
      <c r="BM330" s="109"/>
      <c r="BN330" s="109" t="s">
        <v>571</v>
      </c>
      <c r="BO330" s="111" t="s">
        <v>3919</v>
      </c>
      <c r="BP330" s="109"/>
      <c r="BQ330" s="109">
        <v>0</v>
      </c>
      <c r="BR330" s="109">
        <v>0</v>
      </c>
      <c r="BS330" s="109"/>
      <c r="BT330" s="109">
        <v>0</v>
      </c>
      <c r="BU330" s="109">
        <v>0</v>
      </c>
      <c r="BV330" s="109"/>
      <c r="BW330" s="109">
        <v>0</v>
      </c>
      <c r="BX330" s="109">
        <v>0</v>
      </c>
      <c r="BY330" s="109"/>
      <c r="BZ330" s="109">
        <v>0</v>
      </c>
      <c r="CA330" s="109"/>
      <c r="CB330" s="109"/>
      <c r="CC330" s="109"/>
      <c r="CD330" s="110"/>
    </row>
    <row r="331" spans="1:82" s="116" customFormat="1" ht="13.9" customHeight="1" x14ac:dyDescent="0.2">
      <c r="A331" s="109">
        <v>857</v>
      </c>
      <c r="B331" s="109" t="s">
        <v>4005</v>
      </c>
      <c r="C331" s="115" t="s">
        <v>564</v>
      </c>
      <c r="D331" s="109" t="s">
        <v>81</v>
      </c>
      <c r="E331" s="111" t="s">
        <v>6785</v>
      </c>
      <c r="F331" s="112">
        <v>45811</v>
      </c>
      <c r="G331" s="112">
        <v>45811</v>
      </c>
      <c r="H331" s="113">
        <f t="shared" si="30"/>
        <v>45901</v>
      </c>
      <c r="I331" s="113" t="s">
        <v>290</v>
      </c>
      <c r="J331" s="109" t="s">
        <v>4330</v>
      </c>
      <c r="K331" s="109" t="s">
        <v>590</v>
      </c>
      <c r="L331" s="109" t="s">
        <v>1731</v>
      </c>
      <c r="M331" s="128" t="str">
        <f t="shared" si="31"/>
        <v>MADRIGAL  PEREZ JOSE ARTURO</v>
      </c>
      <c r="N331" s="128" t="s">
        <v>7199</v>
      </c>
      <c r="O331" s="128" t="s">
        <v>4589</v>
      </c>
      <c r="P331" s="109" t="s">
        <v>1953</v>
      </c>
      <c r="Q331" s="112">
        <v>35550</v>
      </c>
      <c r="R331" s="125">
        <f t="shared" si="32"/>
        <v>30</v>
      </c>
      <c r="S331" s="125">
        <f t="shared" si="33"/>
        <v>4</v>
      </c>
      <c r="T331" s="125">
        <f t="shared" si="34"/>
        <v>1997</v>
      </c>
      <c r="U331" s="142">
        <f t="shared" ca="1" si="35"/>
        <v>29.471232876712328</v>
      </c>
      <c r="V331" s="114" t="s">
        <v>342</v>
      </c>
      <c r="W331" s="114" t="s">
        <v>2000</v>
      </c>
      <c r="X331" s="109" t="s">
        <v>454</v>
      </c>
      <c r="Y331" s="109" t="s">
        <v>83</v>
      </c>
      <c r="Z331" s="109" t="s">
        <v>84</v>
      </c>
      <c r="AA331" s="109" t="s">
        <v>532</v>
      </c>
      <c r="AB331" s="109" t="s">
        <v>574</v>
      </c>
      <c r="AC331" s="109" t="s">
        <v>313</v>
      </c>
      <c r="AD331" s="109" t="s">
        <v>314</v>
      </c>
      <c r="AE331" s="109">
        <v>90</v>
      </c>
      <c r="AF331" s="114" t="s">
        <v>710</v>
      </c>
      <c r="AG331" s="109" t="s">
        <v>290</v>
      </c>
      <c r="AH331" s="115" t="s">
        <v>575</v>
      </c>
      <c r="AI331" s="109" t="s">
        <v>317</v>
      </c>
      <c r="AJ331" s="109" t="s">
        <v>318</v>
      </c>
      <c r="AK331" s="109">
        <v>3342061444</v>
      </c>
      <c r="AL331" s="115" t="s">
        <v>2907</v>
      </c>
      <c r="AM331" s="109" t="s">
        <v>2389</v>
      </c>
      <c r="AN331" s="109" t="s">
        <v>381</v>
      </c>
      <c r="AO331" s="109" t="s">
        <v>329</v>
      </c>
      <c r="AP331" s="109"/>
      <c r="AQ331" s="109" t="s">
        <v>3215</v>
      </c>
      <c r="AR331" s="109">
        <v>5</v>
      </c>
      <c r="AS331" s="109" t="s">
        <v>880</v>
      </c>
      <c r="AT331" s="109" t="s">
        <v>624</v>
      </c>
      <c r="AU331" s="109" t="s">
        <v>583</v>
      </c>
      <c r="AV331" s="109">
        <v>45685</v>
      </c>
      <c r="AW331" s="109" t="s">
        <v>3416</v>
      </c>
      <c r="AX331" s="109">
        <v>0</v>
      </c>
      <c r="AY331" s="109" t="s">
        <v>329</v>
      </c>
      <c r="AZ331" s="109"/>
      <c r="BA331" s="109"/>
      <c r="BB331" s="109"/>
      <c r="BC331" s="109"/>
      <c r="BD331" s="109" t="s">
        <v>2389</v>
      </c>
      <c r="BE331" s="109" t="s">
        <v>381</v>
      </c>
      <c r="BF331" s="109">
        <v>3322611190</v>
      </c>
      <c r="BG331" s="109" t="s">
        <v>333</v>
      </c>
      <c r="BH331" s="109" t="s">
        <v>3815</v>
      </c>
      <c r="BI331" s="109">
        <v>2</v>
      </c>
      <c r="BJ331" s="109" t="s">
        <v>3837</v>
      </c>
      <c r="BK331" s="109" t="s">
        <v>571</v>
      </c>
      <c r="BL331" s="111">
        <v>12</v>
      </c>
      <c r="BM331" s="109"/>
      <c r="BN331" s="109" t="s">
        <v>571</v>
      </c>
      <c r="BO331" s="111">
        <v>7</v>
      </c>
      <c r="BP331" s="109"/>
      <c r="BQ331" s="109">
        <v>0</v>
      </c>
      <c r="BR331" s="109">
        <v>0</v>
      </c>
      <c r="BS331" s="109"/>
      <c r="BT331" s="109">
        <v>0</v>
      </c>
      <c r="BU331" s="109">
        <v>0</v>
      </c>
      <c r="BV331" s="109"/>
      <c r="BW331" s="109">
        <v>0</v>
      </c>
      <c r="BX331" s="109">
        <v>0</v>
      </c>
      <c r="BY331" s="109"/>
      <c r="BZ331" s="109">
        <v>0</v>
      </c>
      <c r="CA331" s="109"/>
      <c r="CB331" s="109"/>
      <c r="CC331" s="109"/>
      <c r="CD331" s="110"/>
    </row>
    <row r="332" spans="1:82" s="116" customFormat="1" ht="13.9" customHeight="1" x14ac:dyDescent="0.2">
      <c r="A332" s="109">
        <v>858</v>
      </c>
      <c r="B332" s="109" t="s">
        <v>4006</v>
      </c>
      <c r="C332" s="115" t="s">
        <v>564</v>
      </c>
      <c r="D332" s="109" t="s">
        <v>81</v>
      </c>
      <c r="E332" s="111" t="s">
        <v>6659</v>
      </c>
      <c r="F332" s="112">
        <v>45811</v>
      </c>
      <c r="G332" s="112">
        <v>45811</v>
      </c>
      <c r="H332" s="113">
        <f t="shared" si="30"/>
        <v>45901</v>
      </c>
      <c r="I332" s="113" t="s">
        <v>290</v>
      </c>
      <c r="J332" s="109" t="s">
        <v>4311</v>
      </c>
      <c r="K332" s="109" t="s">
        <v>1534</v>
      </c>
      <c r="L332" s="109" t="s">
        <v>1732</v>
      </c>
      <c r="M332" s="128" t="str">
        <f t="shared" si="31"/>
        <v>JACOBO JUAREZ JOSE ELPIDIO</v>
      </c>
      <c r="N332" s="128" t="s">
        <v>7066</v>
      </c>
      <c r="O332" s="128" t="s">
        <v>4590</v>
      </c>
      <c r="P332" s="109" t="s">
        <v>1953</v>
      </c>
      <c r="Q332" s="112">
        <v>30624</v>
      </c>
      <c r="R332" s="125">
        <f t="shared" si="32"/>
        <v>4</v>
      </c>
      <c r="S332" s="125">
        <f t="shared" si="33"/>
        <v>11</v>
      </c>
      <c r="T332" s="125">
        <f t="shared" si="34"/>
        <v>1983</v>
      </c>
      <c r="U332" s="142">
        <f t="shared" ca="1" si="35"/>
        <v>42.967123287671235</v>
      </c>
      <c r="V332" s="114" t="s">
        <v>342</v>
      </c>
      <c r="W332" s="114" t="s">
        <v>2001</v>
      </c>
      <c r="X332" s="109" t="s">
        <v>472</v>
      </c>
      <c r="Y332" s="109" t="s">
        <v>83</v>
      </c>
      <c r="Z332" s="109" t="s">
        <v>84</v>
      </c>
      <c r="AA332" s="109" t="s">
        <v>532</v>
      </c>
      <c r="AB332" s="109" t="s">
        <v>574</v>
      </c>
      <c r="AC332" s="109" t="s">
        <v>313</v>
      </c>
      <c r="AD332" s="109" t="s">
        <v>314</v>
      </c>
      <c r="AE332" s="109">
        <v>90</v>
      </c>
      <c r="AF332" s="114" t="s">
        <v>710</v>
      </c>
      <c r="AG332" s="109" t="s">
        <v>290</v>
      </c>
      <c r="AH332" s="115" t="s">
        <v>575</v>
      </c>
      <c r="AI332" s="109" t="s">
        <v>317</v>
      </c>
      <c r="AJ332" s="109" t="s">
        <v>318</v>
      </c>
      <c r="AK332" s="109">
        <v>3310142351</v>
      </c>
      <c r="AL332" s="115" t="s">
        <v>2908</v>
      </c>
      <c r="AM332" s="109" t="s">
        <v>2390</v>
      </c>
      <c r="AN332" s="109" t="s">
        <v>381</v>
      </c>
      <c r="AO332" s="109" t="s">
        <v>327</v>
      </c>
      <c r="AP332" s="109"/>
      <c r="AQ332" s="109" t="s">
        <v>3216</v>
      </c>
      <c r="AR332" s="109">
        <v>68</v>
      </c>
      <c r="AS332" s="109" t="s">
        <v>880</v>
      </c>
      <c r="AT332" s="109" t="s">
        <v>3378</v>
      </c>
      <c r="AU332" s="109" t="s">
        <v>1066</v>
      </c>
      <c r="AV332" s="109">
        <v>53500</v>
      </c>
      <c r="AW332" s="109" t="s">
        <v>3416</v>
      </c>
      <c r="AX332" s="109">
        <v>0</v>
      </c>
      <c r="AY332" s="109" t="s">
        <v>329</v>
      </c>
      <c r="AZ332" s="109"/>
      <c r="BA332" s="109"/>
      <c r="BB332" s="109"/>
      <c r="BC332" s="109"/>
      <c r="BD332" s="109" t="s">
        <v>2390</v>
      </c>
      <c r="BE332" s="109" t="s">
        <v>381</v>
      </c>
      <c r="BF332" s="109">
        <v>3334894002</v>
      </c>
      <c r="BG332" s="109" t="s">
        <v>333</v>
      </c>
      <c r="BH332" s="109" t="s">
        <v>3815</v>
      </c>
      <c r="BI332" s="109">
        <v>3</v>
      </c>
      <c r="BJ332" s="109" t="s">
        <v>3838</v>
      </c>
      <c r="BK332" s="109" t="s">
        <v>571</v>
      </c>
      <c r="BL332" s="111">
        <v>14</v>
      </c>
      <c r="BM332" s="109"/>
      <c r="BN332" s="109" t="s">
        <v>571</v>
      </c>
      <c r="BO332" s="111">
        <v>13</v>
      </c>
      <c r="BP332" s="109"/>
      <c r="BQ332" s="109" t="s">
        <v>571</v>
      </c>
      <c r="BR332" s="109">
        <v>12</v>
      </c>
      <c r="BS332" s="109"/>
      <c r="BT332" s="109">
        <v>0</v>
      </c>
      <c r="BU332" s="109">
        <v>0</v>
      </c>
      <c r="BV332" s="109"/>
      <c r="BW332" s="109">
        <v>0</v>
      </c>
      <c r="BX332" s="109">
        <v>0</v>
      </c>
      <c r="BY332" s="109"/>
      <c r="BZ332" s="109">
        <v>0</v>
      </c>
      <c r="CA332" s="109"/>
      <c r="CB332" s="109"/>
      <c r="CC332" s="109"/>
      <c r="CD332" s="110"/>
    </row>
    <row r="333" spans="1:82" s="116" customFormat="1" ht="13.9" customHeight="1" x14ac:dyDescent="0.2">
      <c r="A333" s="109">
        <v>859</v>
      </c>
      <c r="B333" s="109" t="s">
        <v>4007</v>
      </c>
      <c r="C333" s="115" t="s">
        <v>564</v>
      </c>
      <c r="D333" s="109" t="s">
        <v>81</v>
      </c>
      <c r="E333" s="111" t="s">
        <v>6660</v>
      </c>
      <c r="F333" s="112">
        <v>45812</v>
      </c>
      <c r="G333" s="112">
        <v>45812</v>
      </c>
      <c r="H333" s="113">
        <f t="shared" si="30"/>
        <v>45902</v>
      </c>
      <c r="I333" s="113" t="s">
        <v>290</v>
      </c>
      <c r="J333" s="109" t="s">
        <v>337</v>
      </c>
      <c r="K333" s="109" t="s">
        <v>4455</v>
      </c>
      <c r="L333" s="109" t="s">
        <v>1733</v>
      </c>
      <c r="M333" s="128" t="str">
        <f t="shared" si="31"/>
        <v>FLORES UDAVE JUAN LUIS</v>
      </c>
      <c r="N333" s="128" t="s">
        <v>7067</v>
      </c>
      <c r="O333" s="128" t="s">
        <v>4591</v>
      </c>
      <c r="P333" s="109" t="s">
        <v>1953</v>
      </c>
      <c r="Q333" s="112">
        <v>34711</v>
      </c>
      <c r="R333" s="125">
        <f t="shared" si="32"/>
        <v>12</v>
      </c>
      <c r="S333" s="125">
        <f t="shared" si="33"/>
        <v>1</v>
      </c>
      <c r="T333" s="125">
        <f t="shared" si="34"/>
        <v>1995</v>
      </c>
      <c r="U333" s="142">
        <f t="shared" ca="1" si="35"/>
        <v>31.769863013698629</v>
      </c>
      <c r="V333" s="114" t="s">
        <v>814</v>
      </c>
      <c r="W333" s="114" t="s">
        <v>2002</v>
      </c>
      <c r="X333" s="109" t="s">
        <v>472</v>
      </c>
      <c r="Y333" s="109" t="s">
        <v>115</v>
      </c>
      <c r="Z333" s="109" t="s">
        <v>260</v>
      </c>
      <c r="AA333" s="109" t="s">
        <v>532</v>
      </c>
      <c r="AB333" s="109" t="s">
        <v>574</v>
      </c>
      <c r="AC333" s="109" t="s">
        <v>313</v>
      </c>
      <c r="AD333" s="109" t="s">
        <v>314</v>
      </c>
      <c r="AE333" s="109">
        <v>90</v>
      </c>
      <c r="AF333" s="114" t="s">
        <v>710</v>
      </c>
      <c r="AG333" s="109" t="s">
        <v>290</v>
      </c>
      <c r="AH333" s="115" t="s">
        <v>575</v>
      </c>
      <c r="AI333" s="109" t="s">
        <v>317</v>
      </c>
      <c r="AJ333" s="109" t="s">
        <v>318</v>
      </c>
      <c r="AK333" s="109">
        <v>3312522059</v>
      </c>
      <c r="AL333" s="115" t="s">
        <v>2909</v>
      </c>
      <c r="AM333" s="109" t="s">
        <v>2391</v>
      </c>
      <c r="AN333" s="109" t="s">
        <v>3175</v>
      </c>
      <c r="AO333" s="109" t="s">
        <v>398</v>
      </c>
      <c r="AP333" s="109"/>
      <c r="AQ333" s="109" t="s">
        <v>3217</v>
      </c>
      <c r="AR333" s="109" t="s">
        <v>3353</v>
      </c>
      <c r="AS333" s="109" t="s">
        <v>880</v>
      </c>
      <c r="AT333" s="109" t="s">
        <v>3379</v>
      </c>
      <c r="AU333" s="109" t="s">
        <v>583</v>
      </c>
      <c r="AV333" s="109">
        <v>49650</v>
      </c>
      <c r="AW333" s="109" t="s">
        <v>3416</v>
      </c>
      <c r="AX333" s="109">
        <v>0</v>
      </c>
      <c r="AY333" s="109" t="s">
        <v>329</v>
      </c>
      <c r="AZ333" s="109"/>
      <c r="BA333" s="109"/>
      <c r="BB333" s="109"/>
      <c r="BC333" s="109"/>
      <c r="BD333" s="109" t="s">
        <v>3466</v>
      </c>
      <c r="BE333" s="109" t="s">
        <v>3175</v>
      </c>
      <c r="BF333" s="109">
        <v>3418795891</v>
      </c>
      <c r="BG333" s="109" t="s">
        <v>1406</v>
      </c>
      <c r="BH333" s="109" t="s">
        <v>334</v>
      </c>
      <c r="BI333" s="109">
        <v>1</v>
      </c>
      <c r="BJ333" s="109"/>
      <c r="BK333" s="109" t="s">
        <v>3911</v>
      </c>
      <c r="BL333" s="111">
        <v>3</v>
      </c>
      <c r="BM333" s="109"/>
      <c r="BN333" s="109">
        <v>0</v>
      </c>
      <c r="BO333" s="111">
        <v>0</v>
      </c>
      <c r="BP333" s="109"/>
      <c r="BQ333" s="109">
        <v>0</v>
      </c>
      <c r="BR333" s="109">
        <v>0</v>
      </c>
      <c r="BS333" s="109"/>
      <c r="BT333" s="109">
        <v>0</v>
      </c>
      <c r="BU333" s="109">
        <v>0</v>
      </c>
      <c r="BV333" s="109"/>
      <c r="BW333" s="109">
        <v>0</v>
      </c>
      <c r="BX333" s="109">
        <v>0</v>
      </c>
      <c r="BY333" s="109"/>
      <c r="BZ333" s="109">
        <v>0</v>
      </c>
      <c r="CA333" s="109"/>
      <c r="CB333" s="109"/>
      <c r="CC333" s="109"/>
      <c r="CD333" s="110"/>
    </row>
    <row r="334" spans="1:82" ht="13.9" customHeight="1" x14ac:dyDescent="0.2">
      <c r="A334" s="107">
        <v>860</v>
      </c>
      <c r="B334" s="107" t="s">
        <v>4008</v>
      </c>
      <c r="C334" s="104" t="s">
        <v>564</v>
      </c>
      <c r="D334" s="107" t="s">
        <v>81</v>
      </c>
      <c r="E334" s="99" t="s">
        <v>6661</v>
      </c>
      <c r="F334" s="100">
        <v>45812</v>
      </c>
      <c r="G334" s="100">
        <v>45812</v>
      </c>
      <c r="H334" s="101">
        <f t="shared" si="30"/>
        <v>45902</v>
      </c>
      <c r="I334" s="101" t="s">
        <v>290</v>
      </c>
      <c r="J334" s="12" t="s">
        <v>447</v>
      </c>
      <c r="K334" s="12" t="s">
        <v>590</v>
      </c>
      <c r="L334" s="12" t="s">
        <v>1734</v>
      </c>
      <c r="M334" s="102" t="str">
        <f t="shared" si="31"/>
        <v>GARCIA PEREZ ARISTEO</v>
      </c>
      <c r="N334" s="102" t="s">
        <v>7068</v>
      </c>
      <c r="O334" s="102" t="s">
        <v>4592</v>
      </c>
      <c r="P334" s="12" t="s">
        <v>1953</v>
      </c>
      <c r="Q334" s="100">
        <v>29873</v>
      </c>
      <c r="R334" s="77">
        <f t="shared" si="32"/>
        <v>14</v>
      </c>
      <c r="S334" s="77">
        <f t="shared" si="33"/>
        <v>10</v>
      </c>
      <c r="T334" s="77">
        <f t="shared" si="34"/>
        <v>1981</v>
      </c>
      <c r="U334" s="103">
        <f t="shared" ca="1" si="35"/>
        <v>45.024657534246572</v>
      </c>
      <c r="V334" s="13" t="s">
        <v>389</v>
      </c>
      <c r="W334" s="13" t="s">
        <v>2003</v>
      </c>
      <c r="X334" s="12" t="s">
        <v>454</v>
      </c>
      <c r="Y334" s="12" t="s">
        <v>115</v>
      </c>
      <c r="Z334" s="12" t="s">
        <v>260</v>
      </c>
      <c r="AA334" s="12" t="s">
        <v>532</v>
      </c>
      <c r="AB334" s="12" t="s">
        <v>574</v>
      </c>
      <c r="AC334" s="12" t="s">
        <v>313</v>
      </c>
      <c r="AD334" s="12" t="s">
        <v>314</v>
      </c>
      <c r="AE334" s="12">
        <v>90</v>
      </c>
      <c r="AF334" s="13" t="s">
        <v>710</v>
      </c>
      <c r="AG334" s="12" t="s">
        <v>290</v>
      </c>
      <c r="AH334" s="104" t="s">
        <v>575</v>
      </c>
      <c r="AI334" s="12" t="s">
        <v>317</v>
      </c>
      <c r="AJ334" s="12" t="s">
        <v>318</v>
      </c>
      <c r="AK334" s="12">
        <v>3348111709</v>
      </c>
      <c r="AL334" s="104" t="s">
        <v>2910</v>
      </c>
      <c r="AM334" s="12" t="s">
        <v>2392</v>
      </c>
      <c r="AN334" s="12" t="s">
        <v>401</v>
      </c>
      <c r="AO334" s="12" t="s">
        <v>327</v>
      </c>
      <c r="AP334" s="12"/>
      <c r="AQ334" s="12" t="s">
        <v>3218</v>
      </c>
      <c r="AR334" s="12">
        <v>742</v>
      </c>
      <c r="AS334" s="12" t="s">
        <v>880</v>
      </c>
      <c r="AT334" s="12" t="s">
        <v>116</v>
      </c>
      <c r="AU334" s="12" t="s">
        <v>583</v>
      </c>
      <c r="AV334" s="12">
        <v>44940</v>
      </c>
      <c r="AW334" s="12" t="s">
        <v>3416</v>
      </c>
      <c r="AX334" s="12">
        <v>0</v>
      </c>
      <c r="AY334" s="12" t="s">
        <v>329</v>
      </c>
      <c r="AZ334" s="12"/>
      <c r="BA334" s="12"/>
      <c r="BB334" s="12"/>
      <c r="BC334" s="12"/>
      <c r="BD334" s="12" t="s">
        <v>2392</v>
      </c>
      <c r="BE334" s="12" t="s">
        <v>401</v>
      </c>
      <c r="BF334" s="12">
        <v>3310387058</v>
      </c>
      <c r="BG334" s="12" t="s">
        <v>333</v>
      </c>
      <c r="BH334" s="12" t="s">
        <v>334</v>
      </c>
      <c r="BI334" s="12" t="s">
        <v>3831</v>
      </c>
      <c r="BJ334" s="12" t="s">
        <v>3831</v>
      </c>
      <c r="BK334" s="12"/>
      <c r="BL334" s="105"/>
      <c r="BM334" s="12"/>
      <c r="BN334" s="12"/>
      <c r="BO334" s="105"/>
      <c r="BP334" s="12"/>
      <c r="BQ334" s="12"/>
      <c r="BR334" s="12"/>
      <c r="BS334" s="12"/>
      <c r="BT334" s="12"/>
      <c r="BU334" s="12"/>
      <c r="BV334" s="12"/>
      <c r="BW334" s="12"/>
      <c r="BX334" s="12"/>
      <c r="BY334" s="12"/>
      <c r="BZ334" s="12"/>
      <c r="CA334" s="12"/>
      <c r="CB334" s="12"/>
      <c r="CC334" s="12"/>
      <c r="CD334" s="78"/>
    </row>
    <row r="335" spans="1:82" s="116" customFormat="1" ht="13.9" customHeight="1" x14ac:dyDescent="0.2">
      <c r="A335" s="109">
        <v>861</v>
      </c>
      <c r="B335" s="109" t="s">
        <v>3995</v>
      </c>
      <c r="C335" s="115" t="s">
        <v>564</v>
      </c>
      <c r="D335" s="109" t="s">
        <v>81</v>
      </c>
      <c r="E335" s="111" t="s">
        <v>6662</v>
      </c>
      <c r="F335" s="112">
        <v>45812</v>
      </c>
      <c r="G335" s="112">
        <v>45812</v>
      </c>
      <c r="H335" s="113">
        <f t="shared" si="30"/>
        <v>45902</v>
      </c>
      <c r="I335" s="113" t="s">
        <v>290</v>
      </c>
      <c r="J335" s="109" t="s">
        <v>4331</v>
      </c>
      <c r="K335" s="109" t="s">
        <v>384</v>
      </c>
      <c r="L335" s="109" t="s">
        <v>1735</v>
      </c>
      <c r="M335" s="128" t="str">
        <f t="shared" si="31"/>
        <v>GURRION SANCHEZ JOSE</v>
      </c>
      <c r="N335" s="128" t="s">
        <v>7069</v>
      </c>
      <c r="O335" s="128" t="s">
        <v>4593</v>
      </c>
      <c r="P335" s="109" t="s">
        <v>1953</v>
      </c>
      <c r="Q335" s="112">
        <v>28253</v>
      </c>
      <c r="R335" s="125">
        <f t="shared" si="32"/>
        <v>8</v>
      </c>
      <c r="S335" s="125">
        <f t="shared" si="33"/>
        <v>5</v>
      </c>
      <c r="T335" s="125">
        <f t="shared" si="34"/>
        <v>1977</v>
      </c>
      <c r="U335" s="142">
        <f t="shared" ca="1" si="35"/>
        <v>49.463013698630135</v>
      </c>
      <c r="V335" s="114" t="s">
        <v>342</v>
      </c>
      <c r="W335" s="114" t="s">
        <v>2004</v>
      </c>
      <c r="X335" s="109" t="s">
        <v>454</v>
      </c>
      <c r="Y335" s="109" t="s">
        <v>115</v>
      </c>
      <c r="Z335" s="109" t="s">
        <v>260</v>
      </c>
      <c r="AA335" s="109" t="s">
        <v>532</v>
      </c>
      <c r="AB335" s="109" t="s">
        <v>574</v>
      </c>
      <c r="AC335" s="109" t="s">
        <v>313</v>
      </c>
      <c r="AD335" s="109" t="s">
        <v>314</v>
      </c>
      <c r="AE335" s="109">
        <v>90</v>
      </c>
      <c r="AF335" s="114" t="s">
        <v>710</v>
      </c>
      <c r="AG335" s="109" t="s">
        <v>290</v>
      </c>
      <c r="AH335" s="115" t="s">
        <v>575</v>
      </c>
      <c r="AI335" s="109" t="s">
        <v>317</v>
      </c>
      <c r="AJ335" s="109" t="s">
        <v>318</v>
      </c>
      <c r="AK335" s="109">
        <v>3318832239</v>
      </c>
      <c r="AL335" s="115" t="s">
        <v>2911</v>
      </c>
      <c r="AM335" s="109" t="s">
        <v>2393</v>
      </c>
      <c r="AN335" s="109" t="s">
        <v>381</v>
      </c>
      <c r="AO335" s="109" t="s">
        <v>327</v>
      </c>
      <c r="AP335" s="109"/>
      <c r="AQ335" s="109" t="s">
        <v>3219</v>
      </c>
      <c r="AR335" s="109">
        <v>4</v>
      </c>
      <c r="AS335" s="109" t="s">
        <v>880</v>
      </c>
      <c r="AT335" s="109" t="s">
        <v>624</v>
      </c>
      <c r="AU335" s="109" t="s">
        <v>583</v>
      </c>
      <c r="AV335" s="109">
        <v>45685</v>
      </c>
      <c r="AW335" s="109" t="s">
        <v>3416</v>
      </c>
      <c r="AX335" s="109">
        <v>0</v>
      </c>
      <c r="AY335" s="109" t="s">
        <v>329</v>
      </c>
      <c r="AZ335" s="109"/>
      <c r="BA335" s="109"/>
      <c r="BB335" s="109"/>
      <c r="BC335" s="109"/>
      <c r="BD335" s="109" t="s">
        <v>2393</v>
      </c>
      <c r="BE335" s="109" t="s">
        <v>381</v>
      </c>
      <c r="BF335" s="109">
        <v>3327544228</v>
      </c>
      <c r="BG335" s="109" t="s">
        <v>3818</v>
      </c>
      <c r="BH335" s="109" t="s">
        <v>334</v>
      </c>
      <c r="BI335" s="109" t="s">
        <v>3831</v>
      </c>
      <c r="BJ335" s="109" t="s">
        <v>3831</v>
      </c>
      <c r="BK335" s="109"/>
      <c r="BL335" s="111"/>
      <c r="BM335" s="109"/>
      <c r="BN335" s="109"/>
      <c r="BO335" s="111"/>
      <c r="BP335" s="109"/>
      <c r="BQ335" s="109"/>
      <c r="BR335" s="109"/>
      <c r="BS335" s="109"/>
      <c r="BT335" s="109"/>
      <c r="BU335" s="109"/>
      <c r="BV335" s="109"/>
      <c r="BW335" s="109"/>
      <c r="BX335" s="109"/>
      <c r="BY335" s="109"/>
      <c r="BZ335" s="109"/>
      <c r="CA335" s="109"/>
      <c r="CB335" s="109"/>
      <c r="CC335" s="109"/>
      <c r="CD335" s="110"/>
    </row>
    <row r="336" spans="1:82" s="116" customFormat="1" ht="13.9" customHeight="1" x14ac:dyDescent="0.25">
      <c r="A336" s="109">
        <v>862</v>
      </c>
      <c r="B336" s="109" t="s">
        <v>4920</v>
      </c>
      <c r="C336" s="115" t="s">
        <v>564</v>
      </c>
      <c r="D336" s="109" t="s">
        <v>81</v>
      </c>
      <c r="E336" s="111" t="s">
        <v>6786</v>
      </c>
      <c r="F336" s="112">
        <v>45813</v>
      </c>
      <c r="G336" s="112">
        <v>45813</v>
      </c>
      <c r="H336" s="113">
        <f t="shared" si="30"/>
        <v>45903</v>
      </c>
      <c r="I336" s="113" t="s">
        <v>290</v>
      </c>
      <c r="J336" s="120" t="s">
        <v>4397</v>
      </c>
      <c r="K336" s="120" t="s">
        <v>793</v>
      </c>
      <c r="L336" s="109" t="s">
        <v>4934</v>
      </c>
      <c r="M336" s="128" t="str">
        <f t="shared" si="31"/>
        <v xml:space="preserve">ARANDA LOPEZ RICARDO   </v>
      </c>
      <c r="N336" s="128" t="s">
        <v>7200</v>
      </c>
      <c r="O336" s="128" t="s">
        <v>4954</v>
      </c>
      <c r="P336" s="109" t="s">
        <v>1953</v>
      </c>
      <c r="Q336" s="112">
        <v>35038</v>
      </c>
      <c r="R336" s="125">
        <f t="shared" si="32"/>
        <v>5</v>
      </c>
      <c r="S336" s="125">
        <f t="shared" si="33"/>
        <v>12</v>
      </c>
      <c r="T336" s="125">
        <f t="shared" si="34"/>
        <v>1995</v>
      </c>
      <c r="U336" s="142">
        <f t="shared" ca="1" si="35"/>
        <v>30.873972602739727</v>
      </c>
      <c r="V336" s="114" t="s">
        <v>342</v>
      </c>
      <c r="W336" s="114" t="s">
        <v>4967</v>
      </c>
      <c r="X336" s="109" t="s">
        <v>454</v>
      </c>
      <c r="Y336" s="120" t="s">
        <v>115</v>
      </c>
      <c r="Z336" s="109" t="s">
        <v>260</v>
      </c>
      <c r="AA336" s="109" t="s">
        <v>532</v>
      </c>
      <c r="AB336" s="109" t="s">
        <v>574</v>
      </c>
      <c r="AC336" s="109" t="s">
        <v>313</v>
      </c>
      <c r="AD336" s="109" t="s">
        <v>314</v>
      </c>
      <c r="AE336" s="109">
        <v>90</v>
      </c>
      <c r="AF336" s="114" t="s">
        <v>710</v>
      </c>
      <c r="AG336" s="109" t="s">
        <v>290</v>
      </c>
      <c r="AH336" s="115" t="s">
        <v>575</v>
      </c>
      <c r="AI336" s="109" t="s">
        <v>317</v>
      </c>
      <c r="AJ336" s="109" t="s">
        <v>318</v>
      </c>
      <c r="AK336" s="109">
        <v>3318063924</v>
      </c>
      <c r="AL336" s="115" t="s">
        <v>4983</v>
      </c>
      <c r="AM336" s="109" t="s">
        <v>4984</v>
      </c>
      <c r="AN336" s="109" t="s">
        <v>381</v>
      </c>
      <c r="AO336" s="109" t="s">
        <v>398</v>
      </c>
      <c r="AP336" s="109" t="s">
        <v>398</v>
      </c>
      <c r="AQ336" s="109" t="s">
        <v>5014</v>
      </c>
      <c r="AR336" s="109">
        <v>118</v>
      </c>
      <c r="AS336" s="109" t="s">
        <v>3372</v>
      </c>
      <c r="AT336" s="109" t="s">
        <v>1000</v>
      </c>
      <c r="AU336" s="109" t="s">
        <v>105</v>
      </c>
      <c r="AV336" s="109">
        <v>20196</v>
      </c>
      <c r="AW336" s="109" t="s">
        <v>3416</v>
      </c>
      <c r="AX336" s="125" t="s">
        <v>329</v>
      </c>
      <c r="AY336" s="109" t="s">
        <v>329</v>
      </c>
      <c r="AZ336" s="109"/>
      <c r="BA336" s="109"/>
      <c r="BB336" s="109"/>
      <c r="BC336" s="109"/>
      <c r="BD336" s="109" t="s">
        <v>5035</v>
      </c>
      <c r="BE336" s="109" t="s">
        <v>381</v>
      </c>
      <c r="BF336" s="109">
        <v>3318063924</v>
      </c>
      <c r="BG336" s="109" t="s">
        <v>333</v>
      </c>
      <c r="BH336" s="109" t="s">
        <v>334</v>
      </c>
      <c r="BI336" s="109">
        <v>1</v>
      </c>
      <c r="BJ336" s="126">
        <v>43429</v>
      </c>
      <c r="BK336" s="109" t="s">
        <v>3911</v>
      </c>
      <c r="BL336" s="109">
        <v>7</v>
      </c>
      <c r="BM336" s="109"/>
      <c r="BN336" s="109"/>
      <c r="BO336" s="109"/>
      <c r="BP336" s="109"/>
      <c r="BQ336" s="109"/>
      <c r="BR336" s="109"/>
      <c r="BS336" s="109"/>
      <c r="BT336" s="109"/>
      <c r="BU336" s="109"/>
      <c r="BV336" s="109"/>
      <c r="BW336" s="109"/>
      <c r="BX336" s="109"/>
      <c r="BY336" s="109"/>
      <c r="BZ336" s="109"/>
      <c r="CA336" s="109"/>
      <c r="CB336" s="109"/>
      <c r="CC336" s="109"/>
      <c r="CD336" s="110"/>
    </row>
    <row r="337" spans="1:82" s="116" customFormat="1" ht="13.9" customHeight="1" x14ac:dyDescent="0.25">
      <c r="A337" s="125">
        <v>863</v>
      </c>
      <c r="B337" s="125" t="s">
        <v>4921</v>
      </c>
      <c r="C337" s="110" t="s">
        <v>564</v>
      </c>
      <c r="D337" s="109" t="s">
        <v>81</v>
      </c>
      <c r="E337" s="111" t="s">
        <v>6663</v>
      </c>
      <c r="F337" s="127">
        <v>45813</v>
      </c>
      <c r="G337" s="127">
        <v>45813</v>
      </c>
      <c r="H337" s="113">
        <f t="shared" si="30"/>
        <v>45903</v>
      </c>
      <c r="I337" s="113" t="s">
        <v>290</v>
      </c>
      <c r="J337" s="125" t="s">
        <v>366</v>
      </c>
      <c r="K337" s="125" t="s">
        <v>705</v>
      </c>
      <c r="L337" s="125" t="s">
        <v>4935</v>
      </c>
      <c r="M337" s="128" t="str">
        <f t="shared" si="31"/>
        <v>HERNANDEZ PLASCENCIA TOBIAS</v>
      </c>
      <c r="N337" s="128" t="s">
        <v>7070</v>
      </c>
      <c r="O337" s="128" t="s">
        <v>4955</v>
      </c>
      <c r="P337" s="125" t="s">
        <v>1953</v>
      </c>
      <c r="Q337" s="112">
        <v>31601</v>
      </c>
      <c r="R337" s="125">
        <f t="shared" si="32"/>
        <v>8</v>
      </c>
      <c r="S337" s="125">
        <f t="shared" si="33"/>
        <v>7</v>
      </c>
      <c r="T337" s="125">
        <f t="shared" si="34"/>
        <v>1986</v>
      </c>
      <c r="U337" s="142">
        <f t="shared" ca="1" si="35"/>
        <v>40.290410958904111</v>
      </c>
      <c r="V337" s="128" t="s">
        <v>342</v>
      </c>
      <c r="W337" s="128" t="s">
        <v>4968</v>
      </c>
      <c r="X337" s="125" t="s">
        <v>454</v>
      </c>
      <c r="Y337" s="125" t="s">
        <v>1498</v>
      </c>
      <c r="Z337" s="125" t="s">
        <v>260</v>
      </c>
      <c r="AA337" s="125" t="s">
        <v>532</v>
      </c>
      <c r="AB337" s="125" t="s">
        <v>574</v>
      </c>
      <c r="AC337" s="109" t="s">
        <v>313</v>
      </c>
      <c r="AD337" s="109" t="s">
        <v>314</v>
      </c>
      <c r="AE337" s="109">
        <v>90</v>
      </c>
      <c r="AF337" s="128" t="s">
        <v>710</v>
      </c>
      <c r="AG337" s="125" t="s">
        <v>290</v>
      </c>
      <c r="AH337" s="110" t="s">
        <v>575</v>
      </c>
      <c r="AI337" s="125" t="s">
        <v>317</v>
      </c>
      <c r="AJ337" s="125" t="s">
        <v>318</v>
      </c>
      <c r="AK337" s="125">
        <v>3327545566</v>
      </c>
      <c r="AL337" s="110" t="s">
        <v>4985</v>
      </c>
      <c r="AM337" s="125" t="s">
        <v>4986</v>
      </c>
      <c r="AN337" s="125" t="s">
        <v>381</v>
      </c>
      <c r="AO337" s="125" t="s">
        <v>5013</v>
      </c>
      <c r="AP337" s="125" t="s">
        <v>327</v>
      </c>
      <c r="AQ337" s="125" t="s">
        <v>5015</v>
      </c>
      <c r="AR337" s="125">
        <v>1011</v>
      </c>
      <c r="AS337" s="125" t="s">
        <v>880</v>
      </c>
      <c r="AT337" s="125" t="s">
        <v>624</v>
      </c>
      <c r="AU337" s="125" t="s">
        <v>583</v>
      </c>
      <c r="AV337" s="125">
        <v>45690</v>
      </c>
      <c r="AW337" s="125" t="s">
        <v>3416</v>
      </c>
      <c r="AX337" s="125" t="s">
        <v>329</v>
      </c>
      <c r="AY337" s="125" t="s">
        <v>329</v>
      </c>
      <c r="AZ337" s="109"/>
      <c r="BA337" s="109"/>
      <c r="BB337" s="109"/>
      <c r="BC337" s="109"/>
      <c r="BD337" s="125" t="s">
        <v>5036</v>
      </c>
      <c r="BE337" s="125" t="s">
        <v>381</v>
      </c>
      <c r="BF337" s="125">
        <v>3318834288</v>
      </c>
      <c r="BG337" s="125" t="s">
        <v>333</v>
      </c>
      <c r="BH337" s="125" t="s">
        <v>334</v>
      </c>
      <c r="BI337" s="125">
        <v>1</v>
      </c>
      <c r="BJ337" s="126">
        <v>42644</v>
      </c>
      <c r="BK337" s="109" t="s">
        <v>3911</v>
      </c>
      <c r="BL337" s="109">
        <v>9</v>
      </c>
      <c r="BM337" s="110"/>
      <c r="BN337" s="109"/>
      <c r="BO337" s="110"/>
      <c r="BP337" s="110"/>
      <c r="BQ337" s="110"/>
      <c r="BR337" s="110"/>
      <c r="BS337" s="110"/>
      <c r="BT337" s="110"/>
      <c r="BU337" s="110"/>
      <c r="BV337" s="110"/>
      <c r="BW337" s="110"/>
      <c r="BX337" s="110"/>
      <c r="BY337" s="110"/>
      <c r="BZ337" s="110"/>
      <c r="CA337" s="110"/>
      <c r="CB337" s="109"/>
      <c r="CC337" s="109"/>
      <c r="CD337" s="110"/>
    </row>
    <row r="338" spans="1:82" ht="13.9" customHeight="1" x14ac:dyDescent="0.25">
      <c r="A338" s="77">
        <v>864</v>
      </c>
      <c r="B338" s="77" t="s">
        <v>4922</v>
      </c>
      <c r="C338" s="78" t="s">
        <v>564</v>
      </c>
      <c r="D338" s="107" t="s">
        <v>81</v>
      </c>
      <c r="E338" s="99" t="s">
        <v>6664</v>
      </c>
      <c r="F338" s="79">
        <v>45813</v>
      </c>
      <c r="G338" s="79">
        <v>45813</v>
      </c>
      <c r="H338" s="101">
        <f t="shared" si="30"/>
        <v>45903</v>
      </c>
      <c r="I338" s="101" t="s">
        <v>290</v>
      </c>
      <c r="J338" s="77" t="s">
        <v>4936</v>
      </c>
      <c r="K338" s="77" t="s">
        <v>366</v>
      </c>
      <c r="L338" s="77" t="s">
        <v>4937</v>
      </c>
      <c r="M338" s="102" t="str">
        <f t="shared" si="31"/>
        <v>GALLARDO HERNANDEZ ALVARO DE JESUS</v>
      </c>
      <c r="N338" s="102" t="s">
        <v>7071</v>
      </c>
      <c r="O338" s="102" t="s">
        <v>4956</v>
      </c>
      <c r="P338" s="77" t="s">
        <v>1953</v>
      </c>
      <c r="Q338" s="100">
        <v>39076</v>
      </c>
      <c r="R338" s="77">
        <f t="shared" si="32"/>
        <v>25</v>
      </c>
      <c r="S338" s="77">
        <f t="shared" si="33"/>
        <v>12</v>
      </c>
      <c r="T338" s="77">
        <f t="shared" si="34"/>
        <v>2006</v>
      </c>
      <c r="U338" s="103">
        <f t="shared" ca="1" si="35"/>
        <v>19.81095890410959</v>
      </c>
      <c r="V338" s="102" t="s">
        <v>389</v>
      </c>
      <c r="W338" s="102" t="s">
        <v>4969</v>
      </c>
      <c r="X338" s="77" t="s">
        <v>454</v>
      </c>
      <c r="Y338" s="77" t="s">
        <v>115</v>
      </c>
      <c r="Z338" s="77" t="s">
        <v>260</v>
      </c>
      <c r="AA338" s="77" t="s">
        <v>532</v>
      </c>
      <c r="AB338" s="77" t="s">
        <v>574</v>
      </c>
      <c r="AC338" s="12" t="s">
        <v>313</v>
      </c>
      <c r="AD338" s="12" t="s">
        <v>314</v>
      </c>
      <c r="AE338" s="12">
        <v>90</v>
      </c>
      <c r="AF338" s="102" t="s">
        <v>710</v>
      </c>
      <c r="AG338" s="77" t="s">
        <v>290</v>
      </c>
      <c r="AH338" s="78" t="s">
        <v>575</v>
      </c>
      <c r="AI338" s="77" t="s">
        <v>317</v>
      </c>
      <c r="AJ338" s="77" t="s">
        <v>318</v>
      </c>
      <c r="AK338" s="77">
        <v>3321130398</v>
      </c>
      <c r="AL338" s="78" t="s">
        <v>4987</v>
      </c>
      <c r="AM338" s="77" t="s">
        <v>4988</v>
      </c>
      <c r="AN338" s="77" t="s">
        <v>3175</v>
      </c>
      <c r="AO338" s="77" t="s">
        <v>398</v>
      </c>
      <c r="AP338" s="77" t="s">
        <v>398</v>
      </c>
      <c r="AQ338" s="77" t="s">
        <v>5016</v>
      </c>
      <c r="AR338" s="77">
        <v>469</v>
      </c>
      <c r="AS338" s="77" t="s">
        <v>880</v>
      </c>
      <c r="AT338" s="77" t="s">
        <v>582</v>
      </c>
      <c r="AU338" s="77" t="s">
        <v>583</v>
      </c>
      <c r="AV338" s="77">
        <v>456353</v>
      </c>
      <c r="AW338" s="77" t="s">
        <v>3416</v>
      </c>
      <c r="AX338" s="77" t="s">
        <v>329</v>
      </c>
      <c r="AY338" s="77" t="s">
        <v>329</v>
      </c>
      <c r="AZ338" s="12"/>
      <c r="BA338" s="12"/>
      <c r="BB338" s="12"/>
      <c r="BC338" s="12"/>
      <c r="BD338" s="77" t="s">
        <v>4988</v>
      </c>
      <c r="BE338" s="77" t="s">
        <v>3175</v>
      </c>
      <c r="BF338" s="77">
        <v>3346746026</v>
      </c>
      <c r="BG338" s="77" t="s">
        <v>333</v>
      </c>
      <c r="BH338" s="77" t="s">
        <v>334</v>
      </c>
      <c r="BI338" s="77" t="s">
        <v>3831</v>
      </c>
      <c r="BJ338" s="28" t="s">
        <v>3831</v>
      </c>
      <c r="BK338" s="78"/>
      <c r="BL338" s="12"/>
      <c r="BM338" s="78"/>
      <c r="BN338" s="12"/>
      <c r="BO338" s="78"/>
      <c r="BP338" s="78"/>
      <c r="BQ338" s="78"/>
      <c r="BR338" s="78"/>
      <c r="BS338" s="78"/>
      <c r="BT338" s="78"/>
      <c r="BU338" s="78"/>
      <c r="BV338" s="78"/>
      <c r="BW338" s="78"/>
      <c r="BX338" s="78"/>
      <c r="BY338" s="78"/>
      <c r="BZ338" s="78"/>
      <c r="CA338" s="78"/>
      <c r="CB338" s="12"/>
      <c r="CC338" s="12"/>
      <c r="CD338" s="78"/>
    </row>
    <row r="339" spans="1:82" s="116" customFormat="1" ht="13.9" customHeight="1" x14ac:dyDescent="0.25">
      <c r="A339" s="125">
        <v>865</v>
      </c>
      <c r="B339" s="125" t="s">
        <v>4923</v>
      </c>
      <c r="C339" s="110" t="s">
        <v>564</v>
      </c>
      <c r="D339" s="109" t="s">
        <v>81</v>
      </c>
      <c r="E339" s="111" t="s">
        <v>6787</v>
      </c>
      <c r="F339" s="127">
        <v>45813</v>
      </c>
      <c r="G339" s="127">
        <v>45813</v>
      </c>
      <c r="H339" s="113">
        <f t="shared" si="30"/>
        <v>45903</v>
      </c>
      <c r="I339" s="113" t="s">
        <v>290</v>
      </c>
      <c r="J339" s="125" t="s">
        <v>4938</v>
      </c>
      <c r="K339" s="125" t="s">
        <v>1121</v>
      </c>
      <c r="L339" s="125" t="s">
        <v>1017</v>
      </c>
      <c r="M339" s="128" t="str">
        <f t="shared" si="31"/>
        <v>RUIZ  LOZANO MARCO ANTONIO</v>
      </c>
      <c r="N339" s="128" t="s">
        <v>7201</v>
      </c>
      <c r="O339" s="128" t="s">
        <v>4957</v>
      </c>
      <c r="P339" s="125" t="s">
        <v>1953</v>
      </c>
      <c r="Q339" s="112">
        <v>30881</v>
      </c>
      <c r="R339" s="125">
        <f t="shared" si="32"/>
        <v>18</v>
      </c>
      <c r="S339" s="125">
        <f t="shared" si="33"/>
        <v>7</v>
      </c>
      <c r="T339" s="125">
        <f t="shared" si="34"/>
        <v>1984</v>
      </c>
      <c r="U339" s="142">
        <f t="shared" ca="1" si="35"/>
        <v>42.263013698630139</v>
      </c>
      <c r="V339" s="128" t="s">
        <v>1959</v>
      </c>
      <c r="W339" s="128" t="s">
        <v>4970</v>
      </c>
      <c r="X339" s="125" t="s">
        <v>693</v>
      </c>
      <c r="Y339" s="125" t="s">
        <v>1498</v>
      </c>
      <c r="Z339" s="125" t="s">
        <v>260</v>
      </c>
      <c r="AA339" s="125" t="s">
        <v>532</v>
      </c>
      <c r="AB339" s="125" t="s">
        <v>574</v>
      </c>
      <c r="AC339" s="109" t="s">
        <v>313</v>
      </c>
      <c r="AD339" s="109" t="s">
        <v>314</v>
      </c>
      <c r="AE339" s="109">
        <v>90</v>
      </c>
      <c r="AF339" s="128" t="s">
        <v>710</v>
      </c>
      <c r="AG339" s="125" t="s">
        <v>290</v>
      </c>
      <c r="AH339" s="110" t="s">
        <v>575</v>
      </c>
      <c r="AI339" s="125" t="s">
        <v>317</v>
      </c>
      <c r="AJ339" s="125" t="s">
        <v>318</v>
      </c>
      <c r="AK339" s="125">
        <v>3314982238</v>
      </c>
      <c r="AL339" s="110" t="s">
        <v>4989</v>
      </c>
      <c r="AM339" s="125" t="s">
        <v>4990</v>
      </c>
      <c r="AN339" s="125" t="s">
        <v>3175</v>
      </c>
      <c r="AO339" s="125" t="s">
        <v>327</v>
      </c>
      <c r="AP339" s="125" t="s">
        <v>327</v>
      </c>
      <c r="AQ339" s="125" t="s">
        <v>5017</v>
      </c>
      <c r="AR339" s="125">
        <v>736</v>
      </c>
      <c r="AS339" s="125">
        <v>7</v>
      </c>
      <c r="AT339" s="125" t="s">
        <v>116</v>
      </c>
      <c r="AU339" s="125" t="s">
        <v>583</v>
      </c>
      <c r="AV339" s="125">
        <v>44100</v>
      </c>
      <c r="AW339" s="125" t="s">
        <v>3416</v>
      </c>
      <c r="AX339" s="125" t="s">
        <v>329</v>
      </c>
      <c r="AY339" s="125" t="s">
        <v>329</v>
      </c>
      <c r="AZ339" s="109"/>
      <c r="BA339" s="109"/>
      <c r="BB339" s="109"/>
      <c r="BC339" s="109"/>
      <c r="BD339" s="125" t="s">
        <v>4990</v>
      </c>
      <c r="BE339" s="125" t="s">
        <v>3175</v>
      </c>
      <c r="BF339" s="125">
        <v>3324865770</v>
      </c>
      <c r="BG339" s="125" t="s">
        <v>488</v>
      </c>
      <c r="BH339" s="125" t="s">
        <v>334</v>
      </c>
      <c r="BI339" s="125">
        <v>1</v>
      </c>
      <c r="BJ339" s="129"/>
      <c r="BK339" s="110" t="s">
        <v>571</v>
      </c>
      <c r="BL339" s="109">
        <v>7</v>
      </c>
      <c r="BM339" s="110"/>
      <c r="BN339" s="109"/>
      <c r="BO339" s="110"/>
      <c r="BP339" s="110"/>
      <c r="BQ339" s="110"/>
      <c r="BR339" s="110"/>
      <c r="BS339" s="110"/>
      <c r="BT339" s="110"/>
      <c r="BU339" s="110"/>
      <c r="BV339" s="110"/>
      <c r="BW339" s="110"/>
      <c r="BX339" s="110"/>
      <c r="BY339" s="110"/>
      <c r="BZ339" s="110"/>
      <c r="CA339" s="110"/>
      <c r="CB339" s="109"/>
      <c r="CC339" s="109"/>
      <c r="CD339" s="110"/>
    </row>
    <row r="340" spans="1:82" s="116" customFormat="1" ht="13.9" customHeight="1" x14ac:dyDescent="0.25">
      <c r="A340" s="125">
        <v>866</v>
      </c>
      <c r="B340" s="125" t="s">
        <v>4924</v>
      </c>
      <c r="C340" s="110" t="s">
        <v>564</v>
      </c>
      <c r="D340" s="109" t="s">
        <v>81</v>
      </c>
      <c r="E340" s="111" t="s">
        <v>6788</v>
      </c>
      <c r="F340" s="127">
        <v>45814</v>
      </c>
      <c r="G340" s="127">
        <v>45814</v>
      </c>
      <c r="H340" s="113">
        <f t="shared" si="30"/>
        <v>45904</v>
      </c>
      <c r="I340" s="113" t="s">
        <v>290</v>
      </c>
      <c r="J340" s="125" t="s">
        <v>1004</v>
      </c>
      <c r="K340" s="125" t="s">
        <v>4498</v>
      </c>
      <c r="L340" s="125" t="s">
        <v>4939</v>
      </c>
      <c r="M340" s="128" t="str">
        <f t="shared" si="31"/>
        <v xml:space="preserve">JIMENEZ SANTIAGO MIGUEL  </v>
      </c>
      <c r="N340" s="128" t="s">
        <v>7202</v>
      </c>
      <c r="O340" s="128" t="s">
        <v>4958</v>
      </c>
      <c r="P340" s="125" t="s">
        <v>1953</v>
      </c>
      <c r="Q340" s="112">
        <v>34241</v>
      </c>
      <c r="R340" s="125">
        <f t="shared" si="32"/>
        <v>29</v>
      </c>
      <c r="S340" s="125">
        <f t="shared" si="33"/>
        <v>9</v>
      </c>
      <c r="T340" s="125">
        <f t="shared" si="34"/>
        <v>1993</v>
      </c>
      <c r="U340" s="142">
        <f t="shared" ca="1" si="35"/>
        <v>33.057534246575344</v>
      </c>
      <c r="V340" s="128" t="s">
        <v>452</v>
      </c>
      <c r="W340" s="128" t="s">
        <v>4971</v>
      </c>
      <c r="X340" s="125" t="s">
        <v>454</v>
      </c>
      <c r="Y340" s="125" t="s">
        <v>115</v>
      </c>
      <c r="Z340" s="125" t="s">
        <v>260</v>
      </c>
      <c r="AA340" s="125" t="s">
        <v>532</v>
      </c>
      <c r="AB340" s="125" t="s">
        <v>574</v>
      </c>
      <c r="AC340" s="109" t="s">
        <v>313</v>
      </c>
      <c r="AD340" s="109" t="s">
        <v>314</v>
      </c>
      <c r="AE340" s="109">
        <v>90</v>
      </c>
      <c r="AF340" s="128" t="s">
        <v>710</v>
      </c>
      <c r="AG340" s="125" t="s">
        <v>290</v>
      </c>
      <c r="AH340" s="110" t="s">
        <v>575</v>
      </c>
      <c r="AI340" s="125" t="s">
        <v>317</v>
      </c>
      <c r="AJ340" s="125" t="s">
        <v>318</v>
      </c>
      <c r="AK340" s="125">
        <v>3329317603</v>
      </c>
      <c r="AL340" s="110" t="s">
        <v>4991</v>
      </c>
      <c r="AM340" s="125" t="s">
        <v>4992</v>
      </c>
      <c r="AN340" s="125" t="s">
        <v>478</v>
      </c>
      <c r="AO340" s="125" t="s">
        <v>398</v>
      </c>
      <c r="AP340" s="125" t="s">
        <v>398</v>
      </c>
      <c r="AQ340" s="125" t="s">
        <v>5018</v>
      </c>
      <c r="AR340" s="125">
        <v>1</v>
      </c>
      <c r="AS340" s="125">
        <v>1</v>
      </c>
      <c r="AT340" s="125" t="s">
        <v>5019</v>
      </c>
      <c r="AU340" s="125" t="s">
        <v>5019</v>
      </c>
      <c r="AV340" s="125">
        <v>88715</v>
      </c>
      <c r="AW340" s="125" t="s">
        <v>3416</v>
      </c>
      <c r="AX340" s="125" t="s">
        <v>329</v>
      </c>
      <c r="AY340" s="125" t="s">
        <v>5034</v>
      </c>
      <c r="AZ340" s="109"/>
      <c r="BA340" s="109"/>
      <c r="BB340" s="109"/>
      <c r="BC340" s="109"/>
      <c r="BD340" s="125" t="s">
        <v>4992</v>
      </c>
      <c r="BE340" s="125" t="s">
        <v>3575</v>
      </c>
      <c r="BF340" s="125">
        <v>3339496053</v>
      </c>
      <c r="BG340" s="125" t="s">
        <v>333</v>
      </c>
      <c r="BH340" s="125" t="s">
        <v>334</v>
      </c>
      <c r="BI340" s="125">
        <v>2</v>
      </c>
      <c r="BJ340" s="126">
        <v>42483</v>
      </c>
      <c r="BK340" s="109" t="s">
        <v>3911</v>
      </c>
      <c r="BL340" s="109">
        <v>9</v>
      </c>
      <c r="BM340" s="130">
        <v>44351</v>
      </c>
      <c r="BN340" s="109" t="s">
        <v>633</v>
      </c>
      <c r="BO340" s="131">
        <v>4</v>
      </c>
      <c r="BP340" s="110"/>
      <c r="BQ340" s="110"/>
      <c r="BR340" s="110"/>
      <c r="BS340" s="110"/>
      <c r="BT340" s="110"/>
      <c r="BU340" s="110"/>
      <c r="BV340" s="110"/>
      <c r="BW340" s="110"/>
      <c r="BX340" s="110"/>
      <c r="BY340" s="110"/>
      <c r="BZ340" s="110"/>
      <c r="CA340" s="110"/>
      <c r="CB340" s="109"/>
      <c r="CC340" s="109"/>
      <c r="CD340" s="110"/>
    </row>
    <row r="341" spans="1:82" s="116" customFormat="1" ht="13.9" customHeight="1" x14ac:dyDescent="0.25">
      <c r="A341" s="125">
        <v>867</v>
      </c>
      <c r="B341" s="125" t="s">
        <v>4925</v>
      </c>
      <c r="C341" s="110" t="s">
        <v>564</v>
      </c>
      <c r="D341" s="109" t="s">
        <v>81</v>
      </c>
      <c r="E341" s="111" t="s">
        <v>6789</v>
      </c>
      <c r="F341" s="127">
        <v>45817</v>
      </c>
      <c r="G341" s="127">
        <v>45817</v>
      </c>
      <c r="H341" s="113">
        <f t="shared" si="30"/>
        <v>45907</v>
      </c>
      <c r="I341" s="113" t="s">
        <v>290</v>
      </c>
      <c r="J341" s="125" t="s">
        <v>4917</v>
      </c>
      <c r="K341" s="125" t="s">
        <v>4940</v>
      </c>
      <c r="L341" s="125" t="s">
        <v>4941</v>
      </c>
      <c r="M341" s="128" t="str">
        <f t="shared" si="31"/>
        <v>FERNANDEZ MONTELLANO  HECTOR JESUS</v>
      </c>
      <c r="N341" s="128" t="s">
        <v>7203</v>
      </c>
      <c r="O341" s="128" t="s">
        <v>4959</v>
      </c>
      <c r="P341" s="125" t="s">
        <v>1953</v>
      </c>
      <c r="Q341" s="112">
        <v>38367</v>
      </c>
      <c r="R341" s="125">
        <f t="shared" si="32"/>
        <v>15</v>
      </c>
      <c r="S341" s="125">
        <f t="shared" si="33"/>
        <v>1</v>
      </c>
      <c r="T341" s="125">
        <f t="shared" si="34"/>
        <v>2005</v>
      </c>
      <c r="U341" s="142">
        <f t="shared" ca="1" si="35"/>
        <v>21.753424657534246</v>
      </c>
      <c r="V341" s="128" t="s">
        <v>389</v>
      </c>
      <c r="W341" s="128" t="s">
        <v>4972</v>
      </c>
      <c r="X341" s="125" t="s">
        <v>454</v>
      </c>
      <c r="Y341" s="125" t="s">
        <v>115</v>
      </c>
      <c r="Z341" s="125" t="s">
        <v>260</v>
      </c>
      <c r="AA341" s="125" t="s">
        <v>532</v>
      </c>
      <c r="AB341" s="125" t="s">
        <v>574</v>
      </c>
      <c r="AC341" s="109" t="s">
        <v>313</v>
      </c>
      <c r="AD341" s="109" t="s">
        <v>314</v>
      </c>
      <c r="AE341" s="109">
        <v>90</v>
      </c>
      <c r="AF341" s="128" t="s">
        <v>710</v>
      </c>
      <c r="AG341" s="125" t="s">
        <v>290</v>
      </c>
      <c r="AH341" s="110" t="s">
        <v>575</v>
      </c>
      <c r="AI341" s="125" t="s">
        <v>317</v>
      </c>
      <c r="AJ341" s="125" t="s">
        <v>318</v>
      </c>
      <c r="AK341" s="125">
        <v>3318714837</v>
      </c>
      <c r="AL341" s="110" t="s">
        <v>4993</v>
      </c>
      <c r="AM341" s="125" t="s">
        <v>4994</v>
      </c>
      <c r="AN341" s="125" t="s">
        <v>3175</v>
      </c>
      <c r="AO341" s="125" t="s">
        <v>398</v>
      </c>
      <c r="AP341" s="125" t="s">
        <v>398</v>
      </c>
      <c r="AQ341" s="125" t="s">
        <v>5020</v>
      </c>
      <c r="AR341" s="125">
        <v>2580</v>
      </c>
      <c r="AS341" s="125">
        <v>302</v>
      </c>
      <c r="AT341" s="125" t="s">
        <v>116</v>
      </c>
      <c r="AU341" s="125" t="s">
        <v>583</v>
      </c>
      <c r="AV341" s="125">
        <v>44650</v>
      </c>
      <c r="AW341" s="125" t="s">
        <v>3416</v>
      </c>
      <c r="AX341" s="125" t="s">
        <v>329</v>
      </c>
      <c r="AY341" s="125" t="s">
        <v>5034</v>
      </c>
      <c r="AZ341" s="109"/>
      <c r="BA341" s="109"/>
      <c r="BB341" s="109"/>
      <c r="BC341" s="109"/>
      <c r="BD341" s="125" t="s">
        <v>5037</v>
      </c>
      <c r="BE341" s="125" t="s">
        <v>5038</v>
      </c>
      <c r="BF341" s="125">
        <v>3315993011</v>
      </c>
      <c r="BG341" s="125" t="s">
        <v>333</v>
      </c>
      <c r="BH341" s="125" t="s">
        <v>334</v>
      </c>
      <c r="BI341" s="125" t="s">
        <v>3831</v>
      </c>
      <c r="BJ341" s="129" t="s">
        <v>3831</v>
      </c>
      <c r="BK341" s="110"/>
      <c r="BL341" s="109"/>
      <c r="BM341" s="110"/>
      <c r="BN341" s="109"/>
      <c r="BO341" s="131"/>
      <c r="BP341" s="110"/>
      <c r="BQ341" s="110"/>
      <c r="BR341" s="110"/>
      <c r="BS341" s="110"/>
      <c r="BT341" s="110"/>
      <c r="BU341" s="110"/>
      <c r="BV341" s="110"/>
      <c r="BW341" s="110"/>
      <c r="BX341" s="110"/>
      <c r="BY341" s="110"/>
      <c r="BZ341" s="110"/>
      <c r="CA341" s="110"/>
      <c r="CB341" s="109"/>
      <c r="CC341" s="109"/>
      <c r="CD341" s="110"/>
    </row>
    <row r="342" spans="1:82" s="116" customFormat="1" ht="13.9" customHeight="1" x14ac:dyDescent="0.25">
      <c r="A342" s="125">
        <v>868</v>
      </c>
      <c r="B342" s="125" t="s">
        <v>4927</v>
      </c>
      <c r="C342" s="110" t="s">
        <v>335</v>
      </c>
      <c r="D342" s="125" t="s">
        <v>116</v>
      </c>
      <c r="E342" s="111" t="s">
        <v>6790</v>
      </c>
      <c r="F342" s="127">
        <v>45818</v>
      </c>
      <c r="G342" s="127">
        <v>45818</v>
      </c>
      <c r="H342" s="113">
        <f t="shared" si="30"/>
        <v>45908</v>
      </c>
      <c r="I342" s="113" t="s">
        <v>290</v>
      </c>
      <c r="J342" s="125" t="s">
        <v>4427</v>
      </c>
      <c r="K342" s="125" t="s">
        <v>4942</v>
      </c>
      <c r="L342" s="125" t="s">
        <v>1724</v>
      </c>
      <c r="M342" s="128" t="str">
        <f t="shared" si="31"/>
        <v>CONTRERAS  VERGARA JOSE ANGEL</v>
      </c>
      <c r="N342" s="128" t="s">
        <v>7204</v>
      </c>
      <c r="O342" s="128" t="s">
        <v>4960</v>
      </c>
      <c r="P342" s="125" t="s">
        <v>1953</v>
      </c>
      <c r="Q342" s="112">
        <v>38185</v>
      </c>
      <c r="R342" s="125">
        <f t="shared" si="32"/>
        <v>17</v>
      </c>
      <c r="S342" s="125">
        <f t="shared" si="33"/>
        <v>7</v>
      </c>
      <c r="T342" s="125">
        <f t="shared" si="34"/>
        <v>2004</v>
      </c>
      <c r="U342" s="142">
        <f t="shared" ca="1" si="35"/>
        <v>22.252054794520546</v>
      </c>
      <c r="V342" s="128" t="s">
        <v>452</v>
      </c>
      <c r="W342" s="128" t="s">
        <v>4973</v>
      </c>
      <c r="X342" s="125" t="s">
        <v>472</v>
      </c>
      <c r="Y342" s="125" t="s">
        <v>1498</v>
      </c>
      <c r="Z342" s="125" t="s">
        <v>531</v>
      </c>
      <c r="AA342" s="125" t="s">
        <v>2271</v>
      </c>
      <c r="AB342" s="125" t="s">
        <v>348</v>
      </c>
      <c r="AC342" s="109" t="s">
        <v>313</v>
      </c>
      <c r="AD342" s="109" t="s">
        <v>314</v>
      </c>
      <c r="AE342" s="109">
        <v>90</v>
      </c>
      <c r="AF342" s="128" t="s">
        <v>350</v>
      </c>
      <c r="AG342" s="125" t="s">
        <v>290</v>
      </c>
      <c r="AH342" s="110" t="s">
        <v>351</v>
      </c>
      <c r="AI342" s="125" t="s">
        <v>317</v>
      </c>
      <c r="AJ342" s="125" t="s">
        <v>318</v>
      </c>
      <c r="AK342" s="125">
        <v>4181101072</v>
      </c>
      <c r="AL342" s="110" t="s">
        <v>4995</v>
      </c>
      <c r="AM342" s="125" t="s">
        <v>4996</v>
      </c>
      <c r="AN342" s="125" t="s">
        <v>478</v>
      </c>
      <c r="AO342" s="125" t="s">
        <v>327</v>
      </c>
      <c r="AP342" s="125"/>
      <c r="AQ342" s="125" t="s">
        <v>5021</v>
      </c>
      <c r="AR342" s="125">
        <v>20</v>
      </c>
      <c r="AS342" s="125" t="s">
        <v>328</v>
      </c>
      <c r="AT342" s="125" t="s">
        <v>1132</v>
      </c>
      <c r="AU342" s="125" t="s">
        <v>583</v>
      </c>
      <c r="AV342" s="125">
        <v>45200</v>
      </c>
      <c r="AW342" s="125" t="s">
        <v>3416</v>
      </c>
      <c r="AX342" s="125" t="s">
        <v>329</v>
      </c>
      <c r="AY342" s="125" t="s">
        <v>329</v>
      </c>
      <c r="AZ342" s="109"/>
      <c r="BA342" s="109"/>
      <c r="BB342" s="109"/>
      <c r="BC342" s="109"/>
      <c r="BD342" s="125" t="s">
        <v>5039</v>
      </c>
      <c r="BE342" s="125" t="s">
        <v>5038</v>
      </c>
      <c r="BF342" s="125">
        <v>3861098027</v>
      </c>
      <c r="BG342" s="125" t="s">
        <v>333</v>
      </c>
      <c r="BH342" s="125" t="s">
        <v>334</v>
      </c>
      <c r="BI342" s="125" t="s">
        <v>3831</v>
      </c>
      <c r="BJ342" s="129" t="s">
        <v>3831</v>
      </c>
      <c r="BK342" s="110"/>
      <c r="BL342" s="109"/>
      <c r="BM342" s="110"/>
      <c r="BN342" s="109"/>
      <c r="BO342" s="131"/>
      <c r="BP342" s="110"/>
      <c r="BQ342" s="110"/>
      <c r="BR342" s="110"/>
      <c r="BS342" s="110"/>
      <c r="BT342" s="110"/>
      <c r="BU342" s="110"/>
      <c r="BV342" s="110"/>
      <c r="BW342" s="110"/>
      <c r="BX342" s="110"/>
      <c r="BY342" s="110"/>
      <c r="BZ342" s="110"/>
      <c r="CA342" s="110"/>
      <c r="CB342" s="109"/>
      <c r="CC342" s="109"/>
      <c r="CD342" s="110"/>
    </row>
    <row r="343" spans="1:82" ht="13.9" customHeight="1" x14ac:dyDescent="0.25">
      <c r="A343" s="77">
        <v>869</v>
      </c>
      <c r="B343" s="77" t="s">
        <v>4931</v>
      </c>
      <c r="C343" s="78" t="s">
        <v>363</v>
      </c>
      <c r="D343" s="107" t="s">
        <v>86</v>
      </c>
      <c r="E343" s="99" t="s">
        <v>6665</v>
      </c>
      <c r="F343" s="79">
        <v>45819</v>
      </c>
      <c r="G343" s="79">
        <v>45819</v>
      </c>
      <c r="H343" s="101">
        <f t="shared" si="30"/>
        <v>45909</v>
      </c>
      <c r="I343" s="101" t="s">
        <v>290</v>
      </c>
      <c r="J343" s="77" t="s">
        <v>4440</v>
      </c>
      <c r="K343" s="77" t="s">
        <v>1534</v>
      </c>
      <c r="L343" s="77" t="s">
        <v>4943</v>
      </c>
      <c r="M343" s="102" t="str">
        <f t="shared" si="31"/>
        <v>GUTIERREZ JUAREZ JAVIER</v>
      </c>
      <c r="N343" s="102" t="s">
        <v>7072</v>
      </c>
      <c r="O343" s="102" t="s">
        <v>4961</v>
      </c>
      <c r="P343" s="77" t="s">
        <v>1953</v>
      </c>
      <c r="Q343" s="100">
        <v>30520</v>
      </c>
      <c r="R343" s="77">
        <f t="shared" si="32"/>
        <v>23</v>
      </c>
      <c r="S343" s="77">
        <f t="shared" si="33"/>
        <v>7</v>
      </c>
      <c r="T343" s="77">
        <f t="shared" si="34"/>
        <v>1983</v>
      </c>
      <c r="U343" s="103">
        <f t="shared" ca="1" si="35"/>
        <v>43.252054794520546</v>
      </c>
      <c r="V343" s="102" t="s">
        <v>452</v>
      </c>
      <c r="W343" s="102" t="s">
        <v>4974</v>
      </c>
      <c r="X343" s="77" t="s">
        <v>454</v>
      </c>
      <c r="Y343" s="77" t="s">
        <v>91</v>
      </c>
      <c r="Z343" s="77" t="s">
        <v>816</v>
      </c>
      <c r="AA343" s="77" t="s">
        <v>392</v>
      </c>
      <c r="AB343" s="77" t="s">
        <v>374</v>
      </c>
      <c r="AC343" s="12" t="s">
        <v>313</v>
      </c>
      <c r="AD343" s="12" t="s">
        <v>314</v>
      </c>
      <c r="AE343" s="12">
        <v>90</v>
      </c>
      <c r="AF343" s="102" t="s">
        <v>375</v>
      </c>
      <c r="AG343" s="77" t="s">
        <v>290</v>
      </c>
      <c r="AH343" s="78" t="s">
        <v>393</v>
      </c>
      <c r="AI343" s="77" t="s">
        <v>317</v>
      </c>
      <c r="AJ343" s="77" t="s">
        <v>318</v>
      </c>
      <c r="AK343" s="77">
        <v>5532341849</v>
      </c>
      <c r="AL343" s="78" t="s">
        <v>4997</v>
      </c>
      <c r="AM343" s="77" t="s">
        <v>4998</v>
      </c>
      <c r="AN343" s="77" t="s">
        <v>478</v>
      </c>
      <c r="AO343" s="77" t="s">
        <v>398</v>
      </c>
      <c r="AP343" s="77" t="s">
        <v>398</v>
      </c>
      <c r="AQ343" s="77" t="s">
        <v>5022</v>
      </c>
      <c r="AR343" s="77" t="s">
        <v>5023</v>
      </c>
      <c r="AS343" s="77" t="s">
        <v>5024</v>
      </c>
      <c r="AT343" s="77" t="s">
        <v>5025</v>
      </c>
      <c r="AU343" s="77" t="s">
        <v>5026</v>
      </c>
      <c r="AV343" s="77">
        <v>23450</v>
      </c>
      <c r="AW343" s="77" t="s">
        <v>3416</v>
      </c>
      <c r="AX343" s="77" t="s">
        <v>329</v>
      </c>
      <c r="AY343" s="77" t="s">
        <v>329</v>
      </c>
      <c r="AZ343" s="12"/>
      <c r="BA343" s="12"/>
      <c r="BB343" s="12"/>
      <c r="BC343" s="12"/>
      <c r="BD343" s="77" t="s">
        <v>4998</v>
      </c>
      <c r="BE343" s="77" t="s">
        <v>3575</v>
      </c>
      <c r="BF343" s="77">
        <v>5519129893</v>
      </c>
      <c r="BG343" s="77" t="s">
        <v>333</v>
      </c>
      <c r="BH343" s="77" t="s">
        <v>334</v>
      </c>
      <c r="BI343" s="77">
        <v>2</v>
      </c>
      <c r="BJ343" s="37">
        <v>41523</v>
      </c>
      <c r="BK343" s="78" t="s">
        <v>571</v>
      </c>
      <c r="BL343" s="12">
        <v>11</v>
      </c>
      <c r="BM343" s="132">
        <v>43049</v>
      </c>
      <c r="BN343" s="78" t="s">
        <v>571</v>
      </c>
      <c r="BO343" s="19">
        <v>7</v>
      </c>
      <c r="BP343" s="78"/>
      <c r="BQ343" s="78"/>
      <c r="BR343" s="78"/>
      <c r="BS343" s="78"/>
      <c r="BT343" s="78"/>
      <c r="BU343" s="78"/>
      <c r="BV343" s="78"/>
      <c r="BW343" s="78"/>
      <c r="BX343" s="78"/>
      <c r="BY343" s="78"/>
      <c r="BZ343" s="78"/>
      <c r="CA343" s="78"/>
      <c r="CB343" s="12"/>
      <c r="CC343" s="12"/>
      <c r="CD343" s="78"/>
    </row>
    <row r="344" spans="1:82" s="116" customFormat="1" ht="13.9" customHeight="1" x14ac:dyDescent="0.25">
      <c r="A344" s="125">
        <v>870</v>
      </c>
      <c r="B344" s="125" t="s">
        <v>4928</v>
      </c>
      <c r="C344" s="110" t="s">
        <v>335</v>
      </c>
      <c r="D344" s="125" t="s">
        <v>140</v>
      </c>
      <c r="E344" s="111" t="s">
        <v>6666</v>
      </c>
      <c r="F344" s="127">
        <v>45819</v>
      </c>
      <c r="G344" s="127">
        <v>45819</v>
      </c>
      <c r="H344" s="113">
        <f t="shared" si="30"/>
        <v>45909</v>
      </c>
      <c r="I344" s="113" t="s">
        <v>290</v>
      </c>
      <c r="J344" s="125" t="s">
        <v>4944</v>
      </c>
      <c r="K344" s="125" t="s">
        <v>4945</v>
      </c>
      <c r="L344" s="125" t="s">
        <v>1758</v>
      </c>
      <c r="M344" s="128" t="str">
        <f t="shared" si="31"/>
        <v>PEDRO JULIO ALEJANDRO</v>
      </c>
      <c r="N344" s="128" t="s">
        <v>7073</v>
      </c>
      <c r="O344" s="128" t="s">
        <v>4962</v>
      </c>
      <c r="P344" s="125" t="s">
        <v>1953</v>
      </c>
      <c r="Q344" s="112">
        <v>36955</v>
      </c>
      <c r="R344" s="125">
        <f t="shared" si="32"/>
        <v>5</v>
      </c>
      <c r="S344" s="125">
        <f t="shared" si="33"/>
        <v>3</v>
      </c>
      <c r="T344" s="125">
        <f t="shared" si="34"/>
        <v>2001</v>
      </c>
      <c r="U344" s="142">
        <f t="shared" ca="1" si="35"/>
        <v>25.621917808219177</v>
      </c>
      <c r="V344" s="128" t="s">
        <v>389</v>
      </c>
      <c r="W344" s="128" t="s">
        <v>4975</v>
      </c>
      <c r="X344" s="125" t="s">
        <v>472</v>
      </c>
      <c r="Y344" s="125" t="s">
        <v>115</v>
      </c>
      <c r="Z344" s="125" t="s">
        <v>239</v>
      </c>
      <c r="AA344" s="125" t="s">
        <v>347</v>
      </c>
      <c r="AB344" s="125" t="s">
        <v>2292</v>
      </c>
      <c r="AC344" s="109" t="s">
        <v>313</v>
      </c>
      <c r="AD344" s="109" t="s">
        <v>314</v>
      </c>
      <c r="AE344" s="109">
        <v>90</v>
      </c>
      <c r="AF344" s="128" t="s">
        <v>554</v>
      </c>
      <c r="AG344" s="125" t="s">
        <v>290</v>
      </c>
      <c r="AH344" s="110" t="s">
        <v>555</v>
      </c>
      <c r="AI344" s="125" t="s">
        <v>317</v>
      </c>
      <c r="AJ344" s="125" t="s">
        <v>318</v>
      </c>
      <c r="AK344" s="125">
        <v>4461476582</v>
      </c>
      <c r="AL344" s="110" t="s">
        <v>4999</v>
      </c>
      <c r="AM344" s="125" t="s">
        <v>5000</v>
      </c>
      <c r="AN344" s="125" t="s">
        <v>3175</v>
      </c>
      <c r="AO344" s="125" t="s">
        <v>329</v>
      </c>
      <c r="AP344" s="125" t="s">
        <v>398</v>
      </c>
      <c r="AQ344" s="125" t="s">
        <v>5027</v>
      </c>
      <c r="AR344" s="125">
        <v>0</v>
      </c>
      <c r="AS344" s="125">
        <v>4</v>
      </c>
      <c r="AT344" s="125" t="s">
        <v>140</v>
      </c>
      <c r="AU344" s="125" t="s">
        <v>140</v>
      </c>
      <c r="AV344" s="125">
        <v>76148</v>
      </c>
      <c r="AW344" s="125" t="s">
        <v>3416</v>
      </c>
      <c r="AX344" s="125" t="s">
        <v>329</v>
      </c>
      <c r="AY344" s="125" t="s">
        <v>329</v>
      </c>
      <c r="AZ344" s="109"/>
      <c r="BA344" s="109"/>
      <c r="BB344" s="109"/>
      <c r="BC344" s="109"/>
      <c r="BD344" s="125" t="s">
        <v>5000</v>
      </c>
      <c r="BE344" s="125" t="s">
        <v>3175</v>
      </c>
      <c r="BF344" s="125">
        <v>4427764820</v>
      </c>
      <c r="BG344" s="125" t="s">
        <v>685</v>
      </c>
      <c r="BH344" s="125" t="s">
        <v>334</v>
      </c>
      <c r="BI344" s="125">
        <v>1</v>
      </c>
      <c r="BJ344" s="133"/>
      <c r="BK344" s="110" t="s">
        <v>571</v>
      </c>
      <c r="BL344" s="109">
        <v>7</v>
      </c>
      <c r="BM344" s="110"/>
      <c r="BN344" s="109"/>
      <c r="BO344" s="131"/>
      <c r="BP344" s="110"/>
      <c r="BQ344" s="110"/>
      <c r="BR344" s="110"/>
      <c r="BS344" s="110"/>
      <c r="BT344" s="110"/>
      <c r="BU344" s="110"/>
      <c r="BV344" s="110"/>
      <c r="BW344" s="110"/>
      <c r="BX344" s="110"/>
      <c r="BY344" s="110"/>
      <c r="BZ344" s="110"/>
      <c r="CA344" s="110"/>
      <c r="CB344" s="109"/>
      <c r="CC344" s="109"/>
      <c r="CD344" s="110"/>
    </row>
    <row r="345" spans="1:82" s="116" customFormat="1" ht="13.9" customHeight="1" x14ac:dyDescent="0.25">
      <c r="A345" s="125">
        <v>871</v>
      </c>
      <c r="B345" s="125" t="s">
        <v>4932</v>
      </c>
      <c r="C345" s="110" t="s">
        <v>363</v>
      </c>
      <c r="D345" s="109" t="s">
        <v>86</v>
      </c>
      <c r="E345" s="111" t="s">
        <v>6667</v>
      </c>
      <c r="F345" s="127">
        <v>45821</v>
      </c>
      <c r="G345" s="127">
        <v>45821</v>
      </c>
      <c r="H345" s="113">
        <f t="shared" si="30"/>
        <v>45911</v>
      </c>
      <c r="I345" s="113" t="s">
        <v>290</v>
      </c>
      <c r="J345" s="125" t="s">
        <v>721</v>
      </c>
      <c r="K345" s="125" t="s">
        <v>4401</v>
      </c>
      <c r="L345" s="125" t="s">
        <v>4946</v>
      </c>
      <c r="M345" s="128" t="str">
        <f t="shared" si="31"/>
        <v>MORA MORENO ADAN JOEL</v>
      </c>
      <c r="N345" s="128" t="s">
        <v>7074</v>
      </c>
      <c r="O345" s="128" t="s">
        <v>4963</v>
      </c>
      <c r="P345" s="125" t="s">
        <v>1953</v>
      </c>
      <c r="Q345" s="112">
        <v>28851</v>
      </c>
      <c r="R345" s="125">
        <f t="shared" si="32"/>
        <v>27</v>
      </c>
      <c r="S345" s="125">
        <f t="shared" si="33"/>
        <v>12</v>
      </c>
      <c r="T345" s="125">
        <f t="shared" si="34"/>
        <v>1978</v>
      </c>
      <c r="U345" s="142">
        <f t="shared" ca="1" si="35"/>
        <v>47.824657534246576</v>
      </c>
      <c r="V345" s="128" t="s">
        <v>1959</v>
      </c>
      <c r="W345" s="128" t="s">
        <v>4976</v>
      </c>
      <c r="X345" s="125" t="s">
        <v>454</v>
      </c>
      <c r="Y345" s="125" t="s">
        <v>391</v>
      </c>
      <c r="Z345" s="125" t="s">
        <v>88</v>
      </c>
      <c r="AA345" s="125" t="s">
        <v>392</v>
      </c>
      <c r="AB345" s="125" t="s">
        <v>374</v>
      </c>
      <c r="AC345" s="109" t="s">
        <v>313</v>
      </c>
      <c r="AD345" s="109" t="s">
        <v>314</v>
      </c>
      <c r="AE345" s="109">
        <v>90</v>
      </c>
      <c r="AF345" s="128" t="s">
        <v>375</v>
      </c>
      <c r="AG345" s="125" t="s">
        <v>290</v>
      </c>
      <c r="AH345" s="110" t="s">
        <v>393</v>
      </c>
      <c r="AI345" s="125" t="s">
        <v>317</v>
      </c>
      <c r="AJ345" s="125" t="s">
        <v>318</v>
      </c>
      <c r="AK345" s="125">
        <v>4448296289</v>
      </c>
      <c r="AL345" s="110" t="s">
        <v>5001</v>
      </c>
      <c r="AM345" s="125" t="s">
        <v>5002</v>
      </c>
      <c r="AN345" s="125" t="s">
        <v>832</v>
      </c>
      <c r="AO345" s="125" t="s">
        <v>327</v>
      </c>
      <c r="AP345" s="125" t="s">
        <v>327</v>
      </c>
      <c r="AQ345" s="125" t="s">
        <v>5028</v>
      </c>
      <c r="AR345" s="125">
        <v>4500</v>
      </c>
      <c r="AS345" s="125" t="s">
        <v>880</v>
      </c>
      <c r="AT345" s="125" t="s">
        <v>1065</v>
      </c>
      <c r="AU345" s="125" t="s">
        <v>1066</v>
      </c>
      <c r="AV345" s="125">
        <v>54010</v>
      </c>
      <c r="AW345" s="125" t="s">
        <v>3416</v>
      </c>
      <c r="AX345" s="125" t="s">
        <v>329</v>
      </c>
      <c r="AY345" s="125" t="s">
        <v>329</v>
      </c>
      <c r="AZ345" s="109"/>
      <c r="BA345" s="109"/>
      <c r="BB345" s="109"/>
      <c r="BC345" s="109"/>
      <c r="BD345" s="125" t="s">
        <v>5002</v>
      </c>
      <c r="BE345" s="125" t="s">
        <v>832</v>
      </c>
      <c r="BF345" s="125">
        <v>4441198411</v>
      </c>
      <c r="BG345" s="125" t="s">
        <v>333</v>
      </c>
      <c r="BH345" s="125" t="s">
        <v>334</v>
      </c>
      <c r="BI345" s="125">
        <v>2</v>
      </c>
      <c r="BJ345" s="126">
        <v>42380</v>
      </c>
      <c r="BK345" s="109" t="s">
        <v>3911</v>
      </c>
      <c r="BL345" s="109"/>
      <c r="BM345" s="110"/>
      <c r="BN345" s="110" t="s">
        <v>571</v>
      </c>
      <c r="BO345" s="131">
        <v>9</v>
      </c>
      <c r="BP345" s="110"/>
      <c r="BQ345" s="110"/>
      <c r="BR345" s="110"/>
      <c r="BS345" s="110"/>
      <c r="BT345" s="110"/>
      <c r="BU345" s="110"/>
      <c r="BV345" s="110"/>
      <c r="BW345" s="110"/>
      <c r="BX345" s="110"/>
      <c r="BY345" s="110"/>
      <c r="BZ345" s="110"/>
      <c r="CA345" s="110"/>
      <c r="CB345" s="109"/>
      <c r="CC345" s="109"/>
      <c r="CD345" s="110"/>
    </row>
    <row r="346" spans="1:82" ht="13.9" customHeight="1" x14ac:dyDescent="0.25">
      <c r="A346" s="77">
        <v>872</v>
      </c>
      <c r="B346" s="77" t="s">
        <v>4929</v>
      </c>
      <c r="C346" s="78" t="s">
        <v>335</v>
      </c>
      <c r="D346" s="107" t="s">
        <v>228</v>
      </c>
      <c r="E346" s="99" t="s">
        <v>6668</v>
      </c>
      <c r="F346" s="79">
        <v>45821</v>
      </c>
      <c r="G346" s="79">
        <v>45821</v>
      </c>
      <c r="H346" s="101">
        <f t="shared" si="30"/>
        <v>45911</v>
      </c>
      <c r="I346" s="101" t="s">
        <v>291</v>
      </c>
      <c r="J346" s="77" t="s">
        <v>735</v>
      </c>
      <c r="K346" s="77" t="s">
        <v>4345</v>
      </c>
      <c r="L346" s="77" t="s">
        <v>4947</v>
      </c>
      <c r="M346" s="102" t="str">
        <f t="shared" si="31"/>
        <v>RIVERA ALMAZAN DIANA LIZBETH</v>
      </c>
      <c r="N346" s="102" t="s">
        <v>7075</v>
      </c>
      <c r="O346" s="102" t="s">
        <v>4749</v>
      </c>
      <c r="P346" s="77" t="s">
        <v>1954</v>
      </c>
      <c r="Q346" s="100">
        <v>35027</v>
      </c>
      <c r="R346" s="77">
        <f t="shared" si="32"/>
        <v>24</v>
      </c>
      <c r="S346" s="77">
        <f t="shared" si="33"/>
        <v>11</v>
      </c>
      <c r="T346" s="77">
        <f t="shared" si="34"/>
        <v>1995</v>
      </c>
      <c r="U346" s="103">
        <f t="shared" ca="1" si="35"/>
        <v>30.904109589041095</v>
      </c>
      <c r="V346" s="102" t="s">
        <v>452</v>
      </c>
      <c r="W346" s="102" t="s">
        <v>4977</v>
      </c>
      <c r="X346" s="77" t="s">
        <v>4981</v>
      </c>
      <c r="Y346" s="77" t="s">
        <v>4982</v>
      </c>
      <c r="Z346" s="77" t="s">
        <v>230</v>
      </c>
      <c r="AA346" s="77" t="s">
        <v>636</v>
      </c>
      <c r="AB346" s="77" t="s">
        <v>948</v>
      </c>
      <c r="AC346" s="12" t="s">
        <v>313</v>
      </c>
      <c r="AD346" s="12" t="s">
        <v>314</v>
      </c>
      <c r="AE346" s="12">
        <v>90</v>
      </c>
      <c r="AF346" s="102" t="s">
        <v>949</v>
      </c>
      <c r="AG346" s="77" t="s">
        <v>291</v>
      </c>
      <c r="AH346" s="78" t="s">
        <v>950</v>
      </c>
      <c r="AI346" s="77" t="s">
        <v>317</v>
      </c>
      <c r="AJ346" s="77" t="s">
        <v>318</v>
      </c>
      <c r="AK346" s="77" t="s">
        <v>5003</v>
      </c>
      <c r="AL346" s="78" t="s">
        <v>5004</v>
      </c>
      <c r="AM346" s="77" t="s">
        <v>5005</v>
      </c>
      <c r="AN346" s="77" t="s">
        <v>560</v>
      </c>
      <c r="AO346" s="77" t="s">
        <v>398</v>
      </c>
      <c r="AP346" s="77" t="s">
        <v>398</v>
      </c>
      <c r="AQ346" s="77" t="s">
        <v>5029</v>
      </c>
      <c r="AR346" s="77">
        <v>308</v>
      </c>
      <c r="AS346" s="77" t="s">
        <v>880</v>
      </c>
      <c r="AT346" s="77" t="s">
        <v>145</v>
      </c>
      <c r="AU346" s="77" t="s">
        <v>483</v>
      </c>
      <c r="AV346" s="77">
        <v>79615</v>
      </c>
      <c r="AW346" s="77" t="s">
        <v>3416</v>
      </c>
      <c r="AX346" s="77" t="s">
        <v>329</v>
      </c>
      <c r="AY346" s="77" t="s">
        <v>329</v>
      </c>
      <c r="AZ346" s="12"/>
      <c r="BA346" s="12"/>
      <c r="BB346" s="12"/>
      <c r="BC346" s="12"/>
      <c r="BD346" s="77" t="s">
        <v>5005</v>
      </c>
      <c r="BE346" s="77" t="s">
        <v>560</v>
      </c>
      <c r="BF346" s="77" t="s">
        <v>5040</v>
      </c>
      <c r="BG346" s="77" t="s">
        <v>685</v>
      </c>
      <c r="BH346" s="77" t="s">
        <v>334</v>
      </c>
      <c r="BI346" s="77">
        <v>1</v>
      </c>
      <c r="BJ346" s="37">
        <v>44986</v>
      </c>
      <c r="BK346" s="12" t="s">
        <v>3911</v>
      </c>
      <c r="BL346" s="12">
        <v>2</v>
      </c>
      <c r="BM346" s="78"/>
      <c r="BN346" s="12"/>
      <c r="BO346" s="78"/>
      <c r="BP346" s="78"/>
      <c r="BQ346" s="78"/>
      <c r="BR346" s="78"/>
      <c r="BS346" s="78"/>
      <c r="BT346" s="78"/>
      <c r="BU346" s="78"/>
      <c r="BV346" s="78"/>
      <c r="BW346" s="78"/>
      <c r="BX346" s="78"/>
      <c r="BY346" s="78"/>
      <c r="BZ346" s="78"/>
      <c r="CA346" s="78"/>
      <c r="CB346" s="12"/>
      <c r="CC346" s="12"/>
      <c r="CD346" s="78"/>
    </row>
    <row r="347" spans="1:82" s="116" customFormat="1" ht="13.9" customHeight="1" x14ac:dyDescent="0.25">
      <c r="A347" s="125">
        <v>873</v>
      </c>
      <c r="B347" s="125" t="s">
        <v>4933</v>
      </c>
      <c r="C347" s="110" t="s">
        <v>363</v>
      </c>
      <c r="D347" s="109" t="s">
        <v>98</v>
      </c>
      <c r="E347" s="111" t="s">
        <v>6669</v>
      </c>
      <c r="F347" s="127">
        <v>45824</v>
      </c>
      <c r="G347" s="127">
        <v>45824</v>
      </c>
      <c r="H347" s="113">
        <f t="shared" si="30"/>
        <v>45914</v>
      </c>
      <c r="I347" s="113" t="s">
        <v>291</v>
      </c>
      <c r="J347" s="125" t="s">
        <v>4346</v>
      </c>
      <c r="K347" s="125" t="s">
        <v>4346</v>
      </c>
      <c r="L347" s="125" t="s">
        <v>4948</v>
      </c>
      <c r="M347" s="128" t="str">
        <f t="shared" si="31"/>
        <v>MORALES MORALES YESENIA</v>
      </c>
      <c r="N347" s="128" t="s">
        <v>7076</v>
      </c>
      <c r="O347" s="128" t="s">
        <v>4964</v>
      </c>
      <c r="P347" s="125" t="s">
        <v>1954</v>
      </c>
      <c r="Q347" s="112">
        <v>36001</v>
      </c>
      <c r="R347" s="125">
        <f t="shared" si="32"/>
        <v>25</v>
      </c>
      <c r="S347" s="125">
        <f t="shared" si="33"/>
        <v>7</v>
      </c>
      <c r="T347" s="125">
        <f t="shared" si="34"/>
        <v>1998</v>
      </c>
      <c r="U347" s="142">
        <f t="shared" ca="1" si="35"/>
        <v>28.235616438356164</v>
      </c>
      <c r="V347" s="128" t="s">
        <v>308</v>
      </c>
      <c r="W347" s="128" t="s">
        <v>4978</v>
      </c>
      <c r="X347" s="125" t="s">
        <v>310</v>
      </c>
      <c r="Y347" s="125" t="s">
        <v>216</v>
      </c>
      <c r="Z347" s="125" t="s">
        <v>246</v>
      </c>
      <c r="AA347" s="125" t="s">
        <v>857</v>
      </c>
      <c r="AB347" s="125" t="s">
        <v>1428</v>
      </c>
      <c r="AC347" s="109" t="s">
        <v>313</v>
      </c>
      <c r="AD347" s="109" t="s">
        <v>314</v>
      </c>
      <c r="AE347" s="109">
        <v>90</v>
      </c>
      <c r="AF347" s="128" t="s">
        <v>597</v>
      </c>
      <c r="AG347" s="125" t="s">
        <v>291</v>
      </c>
      <c r="AH347" s="110" t="s">
        <v>598</v>
      </c>
      <c r="AI347" s="125" t="s">
        <v>317</v>
      </c>
      <c r="AJ347" s="125" t="s">
        <v>318</v>
      </c>
      <c r="AK347" s="125" t="s">
        <v>5006</v>
      </c>
      <c r="AL347" s="110" t="s">
        <v>5007</v>
      </c>
      <c r="AM347" s="125" t="s">
        <v>5008</v>
      </c>
      <c r="AN347" s="125" t="s">
        <v>325</v>
      </c>
      <c r="AO347" s="125" t="s">
        <v>398</v>
      </c>
      <c r="AP347" s="125" t="s">
        <v>398</v>
      </c>
      <c r="AQ347" s="125" t="s">
        <v>5030</v>
      </c>
      <c r="AR347" s="125">
        <v>308</v>
      </c>
      <c r="AS347" s="125" t="s">
        <v>328</v>
      </c>
      <c r="AT347" s="125" t="s">
        <v>1321</v>
      </c>
      <c r="AU347" s="125" t="s">
        <v>5031</v>
      </c>
      <c r="AV347" s="125">
        <v>86560</v>
      </c>
      <c r="AW347" s="125" t="s">
        <v>329</v>
      </c>
      <c r="AX347" s="125" t="s">
        <v>329</v>
      </c>
      <c r="AY347" s="125" t="s">
        <v>329</v>
      </c>
      <c r="AZ347" s="109"/>
      <c r="BA347" s="109"/>
      <c r="BB347" s="109"/>
      <c r="BC347" s="109"/>
      <c r="BD347" s="125" t="s">
        <v>5041</v>
      </c>
      <c r="BE347" s="125"/>
      <c r="BF347" s="125" t="s">
        <v>5042</v>
      </c>
      <c r="BG347" s="125" t="s">
        <v>333</v>
      </c>
      <c r="BH347" s="125" t="s">
        <v>5043</v>
      </c>
      <c r="BI347" s="125" t="s">
        <v>3831</v>
      </c>
      <c r="BJ347" s="129" t="s">
        <v>3831</v>
      </c>
      <c r="BK347" s="110"/>
      <c r="BL347" s="109"/>
      <c r="BM347" s="110"/>
      <c r="BN347" s="109"/>
      <c r="BO347" s="110"/>
      <c r="BP347" s="110"/>
      <c r="BQ347" s="110"/>
      <c r="BR347" s="110"/>
      <c r="BS347" s="110"/>
      <c r="BT347" s="110"/>
      <c r="BU347" s="110"/>
      <c r="BV347" s="110"/>
      <c r="BW347" s="110"/>
      <c r="BX347" s="110"/>
      <c r="BY347" s="110"/>
      <c r="BZ347" s="110"/>
      <c r="CA347" s="110"/>
      <c r="CB347" s="109"/>
      <c r="CC347" s="109"/>
      <c r="CD347" s="110"/>
    </row>
    <row r="348" spans="1:82" s="116" customFormat="1" ht="13.9" customHeight="1" x14ac:dyDescent="0.25">
      <c r="A348" s="125">
        <v>874</v>
      </c>
      <c r="B348" s="125" t="s">
        <v>4926</v>
      </c>
      <c r="C348" s="110" t="s">
        <v>564</v>
      </c>
      <c r="D348" s="109" t="s">
        <v>81</v>
      </c>
      <c r="E348" s="111" t="s">
        <v>6670</v>
      </c>
      <c r="F348" s="127">
        <v>45824</v>
      </c>
      <c r="G348" s="127">
        <v>45824</v>
      </c>
      <c r="H348" s="113">
        <f t="shared" si="30"/>
        <v>45914</v>
      </c>
      <c r="I348" s="113" t="s">
        <v>290</v>
      </c>
      <c r="J348" s="125" t="s">
        <v>4949</v>
      </c>
      <c r="K348" s="125" t="s">
        <v>4950</v>
      </c>
      <c r="L348" s="125" t="s">
        <v>4951</v>
      </c>
      <c r="M348" s="128" t="str">
        <f t="shared" si="31"/>
        <v>BARRERA GRANADOS EDGAR ENRIQUE</v>
      </c>
      <c r="N348" s="128" t="s">
        <v>7077</v>
      </c>
      <c r="O348" s="128" t="s">
        <v>4965</v>
      </c>
      <c r="P348" s="125" t="s">
        <v>1953</v>
      </c>
      <c r="Q348" s="112">
        <v>29156</v>
      </c>
      <c r="R348" s="125">
        <f t="shared" si="32"/>
        <v>28</v>
      </c>
      <c r="S348" s="125">
        <f t="shared" si="33"/>
        <v>10</v>
      </c>
      <c r="T348" s="125">
        <f t="shared" si="34"/>
        <v>1979</v>
      </c>
      <c r="U348" s="142">
        <f t="shared" ca="1" si="35"/>
        <v>46.989041095890414</v>
      </c>
      <c r="V348" s="128" t="s">
        <v>452</v>
      </c>
      <c r="W348" s="128" t="s">
        <v>4979</v>
      </c>
      <c r="X348" s="125" t="s">
        <v>454</v>
      </c>
      <c r="Y348" s="125" t="s">
        <v>115</v>
      </c>
      <c r="Z348" s="125" t="s">
        <v>260</v>
      </c>
      <c r="AA348" s="125" t="s">
        <v>532</v>
      </c>
      <c r="AB348" s="125" t="s">
        <v>574</v>
      </c>
      <c r="AC348" s="109" t="s">
        <v>313</v>
      </c>
      <c r="AD348" s="109" t="s">
        <v>314</v>
      </c>
      <c r="AE348" s="109">
        <v>90</v>
      </c>
      <c r="AF348" s="128" t="s">
        <v>710</v>
      </c>
      <c r="AG348" s="125" t="s">
        <v>290</v>
      </c>
      <c r="AH348" s="110" t="s">
        <v>575</v>
      </c>
      <c r="AI348" s="125" t="s">
        <v>317</v>
      </c>
      <c r="AJ348" s="125" t="s">
        <v>318</v>
      </c>
      <c r="AK348" s="125">
        <v>3330229130</v>
      </c>
      <c r="AL348" s="110" t="s">
        <v>5009</v>
      </c>
      <c r="AM348" s="125" t="s">
        <v>5010</v>
      </c>
      <c r="AN348" s="125" t="s">
        <v>478</v>
      </c>
      <c r="AO348" s="125" t="s">
        <v>398</v>
      </c>
      <c r="AP348" s="125" t="s">
        <v>398</v>
      </c>
      <c r="AQ348" s="125" t="s">
        <v>5032</v>
      </c>
      <c r="AR348" s="125">
        <v>2991</v>
      </c>
      <c r="AS348" s="125" t="s">
        <v>880</v>
      </c>
      <c r="AT348" s="125" t="s">
        <v>116</v>
      </c>
      <c r="AU348" s="125" t="s">
        <v>583</v>
      </c>
      <c r="AV348" s="125">
        <v>44940</v>
      </c>
      <c r="AW348" s="125" t="s">
        <v>329</v>
      </c>
      <c r="AX348" s="125" t="s">
        <v>329</v>
      </c>
      <c r="AY348" s="125" t="s">
        <v>5034</v>
      </c>
      <c r="AZ348" s="109"/>
      <c r="BA348" s="109"/>
      <c r="BB348" s="109"/>
      <c r="BC348" s="109"/>
      <c r="BD348" s="125" t="s">
        <v>5044</v>
      </c>
      <c r="BE348" s="125" t="s">
        <v>3575</v>
      </c>
      <c r="BF348" s="125">
        <v>3311039410</v>
      </c>
      <c r="BG348" s="125" t="s">
        <v>685</v>
      </c>
      <c r="BH348" s="125" t="s">
        <v>334</v>
      </c>
      <c r="BI348" s="125">
        <v>1</v>
      </c>
      <c r="BJ348" s="133"/>
      <c r="BK348" s="109" t="s">
        <v>3911</v>
      </c>
      <c r="BL348" s="109">
        <v>21</v>
      </c>
      <c r="BM348" s="110"/>
      <c r="BN348" s="109"/>
      <c r="BO348" s="110"/>
      <c r="BP348" s="110"/>
      <c r="BQ348" s="110"/>
      <c r="BR348" s="110"/>
      <c r="BS348" s="110"/>
      <c r="BT348" s="110"/>
      <c r="BU348" s="110"/>
      <c r="BV348" s="110"/>
      <c r="BW348" s="110"/>
      <c r="BX348" s="110"/>
      <c r="BY348" s="110"/>
      <c r="BZ348" s="110"/>
      <c r="CA348" s="110"/>
      <c r="CB348" s="109"/>
      <c r="CC348" s="109"/>
      <c r="CD348" s="110"/>
    </row>
    <row r="349" spans="1:82" s="116" customFormat="1" ht="13.9" customHeight="1" x14ac:dyDescent="0.25">
      <c r="A349" s="125">
        <v>875</v>
      </c>
      <c r="B349" s="125" t="s">
        <v>4930</v>
      </c>
      <c r="C349" s="110" t="s">
        <v>335</v>
      </c>
      <c r="D349" s="109" t="s">
        <v>228</v>
      </c>
      <c r="E349" s="111" t="s">
        <v>6671</v>
      </c>
      <c r="F349" s="127">
        <v>45826</v>
      </c>
      <c r="G349" s="127">
        <v>45826</v>
      </c>
      <c r="H349" s="113">
        <f t="shared" si="30"/>
        <v>45916</v>
      </c>
      <c r="I349" s="113" t="s">
        <v>291</v>
      </c>
      <c r="J349" s="125" t="s">
        <v>4952</v>
      </c>
      <c r="K349" s="125" t="s">
        <v>4405</v>
      </c>
      <c r="L349" s="125" t="s">
        <v>4953</v>
      </c>
      <c r="M349" s="128" t="str">
        <f t="shared" si="31"/>
        <v>SEGURA AGUILLON EDGAR GILBERTO</v>
      </c>
      <c r="N349" s="128" t="s">
        <v>7078</v>
      </c>
      <c r="O349" s="128" t="s">
        <v>4966</v>
      </c>
      <c r="P349" s="125" t="s">
        <v>1953</v>
      </c>
      <c r="Q349" s="112">
        <v>32011</v>
      </c>
      <c r="R349" s="125">
        <f t="shared" si="32"/>
        <v>22</v>
      </c>
      <c r="S349" s="125">
        <f t="shared" si="33"/>
        <v>8</v>
      </c>
      <c r="T349" s="125">
        <f t="shared" si="34"/>
        <v>1987</v>
      </c>
      <c r="U349" s="142">
        <f t="shared" ca="1" si="35"/>
        <v>39.167123287671231</v>
      </c>
      <c r="V349" s="128" t="s">
        <v>452</v>
      </c>
      <c r="W349" s="128" t="s">
        <v>4980</v>
      </c>
      <c r="X349" s="125" t="s">
        <v>310</v>
      </c>
      <c r="Y349" s="125" t="s">
        <v>216</v>
      </c>
      <c r="Z349" s="125" t="s">
        <v>230</v>
      </c>
      <c r="AA349" s="125" t="s">
        <v>857</v>
      </c>
      <c r="AB349" s="125" t="s">
        <v>948</v>
      </c>
      <c r="AC349" s="109" t="s">
        <v>313</v>
      </c>
      <c r="AD349" s="109" t="s">
        <v>314</v>
      </c>
      <c r="AE349" s="109">
        <v>90</v>
      </c>
      <c r="AF349" s="128" t="s">
        <v>949</v>
      </c>
      <c r="AG349" s="125" t="s">
        <v>291</v>
      </c>
      <c r="AH349" s="110" t="s">
        <v>950</v>
      </c>
      <c r="AI349" s="125" t="s">
        <v>317</v>
      </c>
      <c r="AJ349" s="125" t="s">
        <v>318</v>
      </c>
      <c r="AK349" s="125" t="s">
        <v>5011</v>
      </c>
      <c r="AL349" s="110" t="s">
        <v>5012</v>
      </c>
      <c r="AM349" s="125"/>
      <c r="AN349" s="125"/>
      <c r="AO349" s="125" t="s">
        <v>398</v>
      </c>
      <c r="AP349" s="125" t="s">
        <v>327</v>
      </c>
      <c r="AQ349" s="125" t="s">
        <v>5033</v>
      </c>
      <c r="AR349" s="125">
        <v>3005</v>
      </c>
      <c r="AS349" s="125" t="s">
        <v>880</v>
      </c>
      <c r="AT349" s="125" t="s">
        <v>483</v>
      </c>
      <c r="AU349" s="125" t="s">
        <v>483</v>
      </c>
      <c r="AV349" s="125">
        <v>78110</v>
      </c>
      <c r="AW349" s="125"/>
      <c r="AX349" s="125" t="s">
        <v>329</v>
      </c>
      <c r="AY349" s="125"/>
      <c r="AZ349" s="109"/>
      <c r="BA349" s="109"/>
      <c r="BB349" s="109"/>
      <c r="BC349" s="109"/>
      <c r="BD349" s="125"/>
      <c r="BE349" s="125"/>
      <c r="BF349" s="125"/>
      <c r="BG349" s="125"/>
      <c r="BH349" s="125"/>
      <c r="BI349" s="125"/>
      <c r="BJ349" s="133"/>
      <c r="BK349" s="110"/>
      <c r="BL349" s="110"/>
      <c r="BM349" s="110"/>
      <c r="BN349" s="110"/>
      <c r="BO349" s="110"/>
      <c r="BP349" s="110"/>
      <c r="BQ349" s="110"/>
      <c r="BR349" s="110"/>
      <c r="BS349" s="110"/>
      <c r="BT349" s="110"/>
      <c r="BU349" s="110"/>
      <c r="BV349" s="110"/>
      <c r="BW349" s="110"/>
      <c r="BX349" s="110"/>
      <c r="BY349" s="110"/>
      <c r="BZ349" s="110"/>
      <c r="CA349" s="110"/>
      <c r="CB349" s="109"/>
      <c r="CC349" s="109"/>
      <c r="CD349" s="110"/>
    </row>
    <row r="350" spans="1:82" s="116" customFormat="1" ht="13.9" customHeight="1" x14ac:dyDescent="0.2">
      <c r="A350" s="125">
        <v>876</v>
      </c>
      <c r="B350" s="125" t="s">
        <v>5047</v>
      </c>
      <c r="C350" s="110" t="s">
        <v>564</v>
      </c>
      <c r="D350" s="109" t="s">
        <v>81</v>
      </c>
      <c r="E350" s="111" t="s">
        <v>6672</v>
      </c>
      <c r="F350" s="127">
        <v>45826</v>
      </c>
      <c r="G350" s="127">
        <v>45826</v>
      </c>
      <c r="H350" s="113">
        <f t="shared" si="30"/>
        <v>45916</v>
      </c>
      <c r="I350" s="113" t="s">
        <v>290</v>
      </c>
      <c r="J350" s="125" t="s">
        <v>6442</v>
      </c>
      <c r="K350" s="125" t="s">
        <v>4430</v>
      </c>
      <c r="L350" s="125" t="s">
        <v>6477</v>
      </c>
      <c r="M350" s="128" t="str">
        <f t="shared" si="31"/>
        <v>SIFUENTES MACIAS GEOVANII DANIEL</v>
      </c>
      <c r="N350" s="128" t="s">
        <v>5065</v>
      </c>
      <c r="O350" s="128" t="s">
        <v>5066</v>
      </c>
      <c r="P350" s="125" t="s">
        <v>1953</v>
      </c>
      <c r="Q350" s="112">
        <v>35606</v>
      </c>
      <c r="R350" s="125">
        <f t="shared" si="32"/>
        <v>25</v>
      </c>
      <c r="S350" s="125">
        <f t="shared" si="33"/>
        <v>6</v>
      </c>
      <c r="T350" s="125">
        <f t="shared" si="34"/>
        <v>1997</v>
      </c>
      <c r="U350" s="142">
        <f t="shared" ca="1" si="35"/>
        <v>29.317808219178083</v>
      </c>
      <c r="V350" s="128"/>
      <c r="W350" s="128"/>
      <c r="X350" s="125"/>
      <c r="Y350" s="125" t="s">
        <v>115</v>
      </c>
      <c r="Z350" s="125" t="s">
        <v>260</v>
      </c>
      <c r="AA350" s="125" t="s">
        <v>532</v>
      </c>
      <c r="AB350" s="125" t="s">
        <v>574</v>
      </c>
      <c r="AC350" s="110"/>
      <c r="AD350" s="110"/>
      <c r="AE350" s="109">
        <v>90</v>
      </c>
      <c r="AF350" s="128"/>
      <c r="AG350" s="125"/>
      <c r="AH350" s="110"/>
      <c r="AI350" s="110"/>
      <c r="AJ350" s="110"/>
      <c r="AK350" s="125">
        <v>3325892815</v>
      </c>
      <c r="AL350" s="110"/>
      <c r="AM350" s="110"/>
      <c r="AN350" s="110"/>
      <c r="AO350" s="110"/>
      <c r="AP350" s="110"/>
      <c r="AQ350" s="110"/>
      <c r="AR350" s="125"/>
      <c r="AS350" s="125"/>
      <c r="AT350" s="110"/>
      <c r="AU350" s="110"/>
      <c r="AV350" s="125"/>
      <c r="AW350" s="125"/>
      <c r="AX350" s="125" t="s">
        <v>329</v>
      </c>
      <c r="AY350" s="110"/>
      <c r="AZ350" s="110"/>
      <c r="BA350" s="110"/>
      <c r="BB350" s="110"/>
      <c r="BC350" s="110"/>
      <c r="BD350" s="110"/>
      <c r="BE350" s="110"/>
      <c r="BF350" s="110"/>
      <c r="BG350" s="125"/>
      <c r="BH350" s="110"/>
      <c r="BI350" s="110"/>
      <c r="BJ350" s="110"/>
      <c r="BK350" s="110"/>
      <c r="BL350" s="110"/>
      <c r="BM350" s="110"/>
      <c r="BN350" s="110"/>
      <c r="BO350" s="110"/>
      <c r="BP350" s="110"/>
      <c r="BQ350" s="110"/>
      <c r="BR350" s="110"/>
      <c r="BS350" s="110"/>
      <c r="BT350" s="110"/>
      <c r="BU350" s="110"/>
      <c r="BV350" s="110"/>
      <c r="BW350" s="110"/>
      <c r="BX350" s="110"/>
      <c r="BY350" s="110"/>
      <c r="BZ350" s="110"/>
      <c r="CA350" s="110"/>
      <c r="CB350" s="109"/>
      <c r="CC350" s="109"/>
      <c r="CD350" s="110"/>
    </row>
    <row r="351" spans="1:82" s="116" customFormat="1" ht="13.9" customHeight="1" x14ac:dyDescent="0.2">
      <c r="A351" s="125">
        <v>877</v>
      </c>
      <c r="B351" s="125" t="s">
        <v>5048</v>
      </c>
      <c r="C351" s="110" t="s">
        <v>363</v>
      </c>
      <c r="D351" s="109" t="s">
        <v>86</v>
      </c>
      <c r="E351" s="111" t="s">
        <v>6673</v>
      </c>
      <c r="F351" s="127">
        <v>45827</v>
      </c>
      <c r="G351" s="127">
        <v>45827</v>
      </c>
      <c r="H351" s="113">
        <f t="shared" si="30"/>
        <v>45917</v>
      </c>
      <c r="I351" s="113" t="s">
        <v>290</v>
      </c>
      <c r="J351" s="125" t="s">
        <v>4479</v>
      </c>
      <c r="K351" s="125" t="s">
        <v>4400</v>
      </c>
      <c r="L351" s="125" t="s">
        <v>6465</v>
      </c>
      <c r="M351" s="128" t="str">
        <f t="shared" si="31"/>
        <v>ZAPATA SILVA ALBERTO</v>
      </c>
      <c r="N351" s="128" t="s">
        <v>7079</v>
      </c>
      <c r="O351" s="128" t="s">
        <v>5067</v>
      </c>
      <c r="P351" s="125" t="s">
        <v>1953</v>
      </c>
      <c r="Q351" s="112">
        <v>27491</v>
      </c>
      <c r="R351" s="125">
        <f t="shared" si="32"/>
        <v>7</v>
      </c>
      <c r="S351" s="125">
        <f t="shared" si="33"/>
        <v>4</v>
      </c>
      <c r="T351" s="125">
        <f t="shared" si="34"/>
        <v>1975</v>
      </c>
      <c r="U351" s="142">
        <f t="shared" ca="1" si="35"/>
        <v>51.550684931506851</v>
      </c>
      <c r="V351" s="128"/>
      <c r="W351" s="128"/>
      <c r="X351" s="125"/>
      <c r="Y351" s="125" t="s">
        <v>391</v>
      </c>
      <c r="Z351" s="125" t="s">
        <v>88</v>
      </c>
      <c r="AA351" s="125" t="s">
        <v>392</v>
      </c>
      <c r="AB351" s="125" t="s">
        <v>374</v>
      </c>
      <c r="AC351" s="110"/>
      <c r="AD351" s="110"/>
      <c r="AE351" s="109">
        <v>90</v>
      </c>
      <c r="AF351" s="128"/>
      <c r="AG351" s="125"/>
      <c r="AH351" s="110"/>
      <c r="AI351" s="110"/>
      <c r="AJ351" s="110"/>
      <c r="AK351" s="125">
        <v>4447084926</v>
      </c>
      <c r="AL351" s="110"/>
      <c r="AM351" s="110"/>
      <c r="AN351" s="110"/>
      <c r="AO351" s="110"/>
      <c r="AP351" s="110"/>
      <c r="AQ351" s="110"/>
      <c r="AR351" s="125"/>
      <c r="AS351" s="125"/>
      <c r="AT351" s="110"/>
      <c r="AU351" s="110"/>
      <c r="AV351" s="125"/>
      <c r="AW351" s="125"/>
      <c r="AX351" s="125" t="s">
        <v>329</v>
      </c>
      <c r="AY351" s="110"/>
      <c r="AZ351" s="110"/>
      <c r="BA351" s="110"/>
      <c r="BB351" s="110"/>
      <c r="BC351" s="110"/>
      <c r="BD351" s="110"/>
      <c r="BE351" s="110"/>
      <c r="BF351" s="110"/>
      <c r="BG351" s="125"/>
      <c r="BH351" s="110"/>
      <c r="BI351" s="110"/>
      <c r="BJ351" s="110"/>
      <c r="BK351" s="110"/>
      <c r="BL351" s="110"/>
      <c r="BM351" s="110"/>
      <c r="BN351" s="110"/>
      <c r="BO351" s="110"/>
      <c r="BP351" s="110"/>
      <c r="BQ351" s="110"/>
      <c r="BR351" s="110"/>
      <c r="BS351" s="110"/>
      <c r="BT351" s="110"/>
      <c r="BU351" s="110"/>
      <c r="BV351" s="110"/>
      <c r="BW351" s="110"/>
      <c r="BX351" s="110"/>
      <c r="BY351" s="110"/>
      <c r="BZ351" s="110"/>
      <c r="CA351" s="110"/>
      <c r="CB351" s="109"/>
      <c r="CC351" s="109"/>
      <c r="CD351" s="110"/>
    </row>
    <row r="352" spans="1:82" s="116" customFormat="1" ht="13.9" customHeight="1" x14ac:dyDescent="0.2">
      <c r="A352" s="125">
        <v>878</v>
      </c>
      <c r="B352" s="125" t="s">
        <v>5049</v>
      </c>
      <c r="C352" s="110" t="s">
        <v>564</v>
      </c>
      <c r="D352" s="109" t="s">
        <v>81</v>
      </c>
      <c r="E352" s="111" t="s">
        <v>6674</v>
      </c>
      <c r="F352" s="127">
        <v>45828</v>
      </c>
      <c r="G352" s="127">
        <v>45828</v>
      </c>
      <c r="H352" s="113">
        <f t="shared" si="30"/>
        <v>45918</v>
      </c>
      <c r="I352" s="113" t="s">
        <v>290</v>
      </c>
      <c r="J352" s="125" t="s">
        <v>4385</v>
      </c>
      <c r="K352" s="125" t="s">
        <v>6446</v>
      </c>
      <c r="L352" s="125" t="s">
        <v>6455</v>
      </c>
      <c r="M352" s="128" t="str">
        <f t="shared" si="31"/>
        <v>ROCHA AGUILERA PEDRO DAMIAN</v>
      </c>
      <c r="N352" s="128" t="s">
        <v>7080</v>
      </c>
      <c r="O352" s="128" t="s">
        <v>5068</v>
      </c>
      <c r="P352" s="125" t="s">
        <v>1953</v>
      </c>
      <c r="Q352" s="112">
        <v>36047</v>
      </c>
      <c r="R352" s="125">
        <f t="shared" si="32"/>
        <v>9</v>
      </c>
      <c r="S352" s="125">
        <f t="shared" si="33"/>
        <v>9</v>
      </c>
      <c r="T352" s="125">
        <f t="shared" si="34"/>
        <v>1998</v>
      </c>
      <c r="U352" s="142">
        <f t="shared" ca="1" si="35"/>
        <v>28.109589041095891</v>
      </c>
      <c r="V352" s="128"/>
      <c r="W352" s="128"/>
      <c r="X352" s="125"/>
      <c r="Y352" s="125" t="s">
        <v>115</v>
      </c>
      <c r="Z352" s="125" t="s">
        <v>260</v>
      </c>
      <c r="AA352" s="125" t="s">
        <v>532</v>
      </c>
      <c r="AB352" s="125" t="s">
        <v>574</v>
      </c>
      <c r="AC352" s="110"/>
      <c r="AD352" s="110"/>
      <c r="AE352" s="109">
        <v>90</v>
      </c>
      <c r="AF352" s="128"/>
      <c r="AG352" s="125"/>
      <c r="AH352" s="110"/>
      <c r="AI352" s="110"/>
      <c r="AJ352" s="110"/>
      <c r="AK352" s="125" t="s">
        <v>5087</v>
      </c>
      <c r="AL352" s="110"/>
      <c r="AM352" s="110"/>
      <c r="AN352" s="110"/>
      <c r="AO352" s="110"/>
      <c r="AP352" s="110"/>
      <c r="AQ352" s="110"/>
      <c r="AR352" s="125"/>
      <c r="AS352" s="125"/>
      <c r="AT352" s="110"/>
      <c r="AU352" s="110"/>
      <c r="AV352" s="125"/>
      <c r="AW352" s="125"/>
      <c r="AX352" s="125" t="s">
        <v>329</v>
      </c>
      <c r="AY352" s="110"/>
      <c r="AZ352" s="110"/>
      <c r="BA352" s="110"/>
      <c r="BB352" s="110"/>
      <c r="BC352" s="110"/>
      <c r="BD352" s="110"/>
      <c r="BE352" s="110"/>
      <c r="BF352" s="110"/>
      <c r="BG352" s="125"/>
      <c r="BH352" s="110"/>
      <c r="BI352" s="110"/>
      <c r="BJ352" s="110"/>
      <c r="BK352" s="110"/>
      <c r="BL352" s="110"/>
      <c r="BM352" s="110"/>
      <c r="BN352" s="110"/>
      <c r="BO352" s="110"/>
      <c r="BP352" s="110"/>
      <c r="BQ352" s="110"/>
      <c r="BR352" s="110"/>
      <c r="BS352" s="110"/>
      <c r="BT352" s="110"/>
      <c r="BU352" s="110"/>
      <c r="BV352" s="110"/>
      <c r="BW352" s="110"/>
      <c r="BX352" s="110"/>
      <c r="BY352" s="110"/>
      <c r="BZ352" s="110"/>
      <c r="CA352" s="110"/>
      <c r="CB352" s="109"/>
      <c r="CC352" s="109"/>
      <c r="CD352" s="110"/>
    </row>
    <row r="353" spans="1:82" s="116" customFormat="1" ht="13.9" customHeight="1" x14ac:dyDescent="0.2">
      <c r="A353" s="125">
        <v>879</v>
      </c>
      <c r="B353" s="125" t="s">
        <v>5050</v>
      </c>
      <c r="C353" s="110" t="s">
        <v>564</v>
      </c>
      <c r="D353" s="109" t="s">
        <v>81</v>
      </c>
      <c r="E353" s="111" t="s">
        <v>6675</v>
      </c>
      <c r="F353" s="127">
        <v>45831</v>
      </c>
      <c r="G353" s="127">
        <v>45831</v>
      </c>
      <c r="H353" s="113">
        <f t="shared" si="30"/>
        <v>45921</v>
      </c>
      <c r="I353" s="113" t="s">
        <v>290</v>
      </c>
      <c r="J353" s="125" t="s">
        <v>4364</v>
      </c>
      <c r="K353" s="125" t="s">
        <v>6447</v>
      </c>
      <c r="L353" s="125" t="s">
        <v>6456</v>
      </c>
      <c r="M353" s="128" t="str">
        <f t="shared" si="31"/>
        <v>MEDINA TORNERO VICTOR MARTIN</v>
      </c>
      <c r="N353" s="128" t="s">
        <v>7081</v>
      </c>
      <c r="O353" s="128" t="s">
        <v>5069</v>
      </c>
      <c r="P353" s="125" t="s">
        <v>1953</v>
      </c>
      <c r="Q353" s="112">
        <v>28920</v>
      </c>
      <c r="R353" s="125">
        <f t="shared" si="32"/>
        <v>6</v>
      </c>
      <c r="S353" s="125">
        <f t="shared" si="33"/>
        <v>3</v>
      </c>
      <c r="T353" s="125">
        <f t="shared" si="34"/>
        <v>1979</v>
      </c>
      <c r="U353" s="142">
        <f t="shared" ca="1" si="35"/>
        <v>47.635616438356166</v>
      </c>
      <c r="V353" s="128"/>
      <c r="W353" s="128"/>
      <c r="X353" s="125"/>
      <c r="Y353" s="125" t="s">
        <v>115</v>
      </c>
      <c r="Z353" s="125" t="s">
        <v>260</v>
      </c>
      <c r="AA353" s="125" t="s">
        <v>532</v>
      </c>
      <c r="AB353" s="125" t="s">
        <v>574</v>
      </c>
      <c r="AC353" s="110"/>
      <c r="AD353" s="110"/>
      <c r="AE353" s="109">
        <v>90</v>
      </c>
      <c r="AF353" s="128"/>
      <c r="AG353" s="125"/>
      <c r="AH353" s="110"/>
      <c r="AI353" s="110"/>
      <c r="AJ353" s="110"/>
      <c r="AK353" s="125">
        <v>3322530390</v>
      </c>
      <c r="AL353" s="110"/>
      <c r="AM353" s="110"/>
      <c r="AN353" s="110"/>
      <c r="AO353" s="110"/>
      <c r="AP353" s="110"/>
      <c r="AQ353" s="110"/>
      <c r="AR353" s="125"/>
      <c r="AS353" s="125"/>
      <c r="AT353" s="110"/>
      <c r="AU353" s="110"/>
      <c r="AV353" s="125"/>
      <c r="AW353" s="125"/>
      <c r="AX353" s="125" t="s">
        <v>329</v>
      </c>
      <c r="AY353" s="110"/>
      <c r="AZ353" s="110"/>
      <c r="BA353" s="110"/>
      <c r="BB353" s="110"/>
      <c r="BC353" s="110"/>
      <c r="BD353" s="110"/>
      <c r="BE353" s="110"/>
      <c r="BF353" s="110"/>
      <c r="BG353" s="125"/>
      <c r="BH353" s="110"/>
      <c r="BI353" s="110"/>
      <c r="BJ353" s="110"/>
      <c r="BK353" s="110"/>
      <c r="BL353" s="110"/>
      <c r="BM353" s="110"/>
      <c r="BN353" s="110"/>
      <c r="BO353" s="110"/>
      <c r="BP353" s="110"/>
      <c r="BQ353" s="110"/>
      <c r="BR353" s="110"/>
      <c r="BS353" s="110"/>
      <c r="BT353" s="110"/>
      <c r="BU353" s="110"/>
      <c r="BV353" s="110"/>
      <c r="BW353" s="110"/>
      <c r="BX353" s="110"/>
      <c r="BY353" s="110"/>
      <c r="BZ353" s="110"/>
      <c r="CA353" s="110"/>
      <c r="CB353" s="109"/>
      <c r="CC353" s="109"/>
      <c r="CD353" s="110"/>
    </row>
    <row r="354" spans="1:82" s="116" customFormat="1" ht="13.9" customHeight="1" x14ac:dyDescent="0.2">
      <c r="A354" s="125">
        <v>880</v>
      </c>
      <c r="B354" s="125" t="s">
        <v>5051</v>
      </c>
      <c r="C354" s="110" t="s">
        <v>564</v>
      </c>
      <c r="D354" s="109" t="s">
        <v>81</v>
      </c>
      <c r="E354" s="111" t="s">
        <v>6676</v>
      </c>
      <c r="F354" s="127">
        <v>45831</v>
      </c>
      <c r="G354" s="127">
        <v>45831</v>
      </c>
      <c r="H354" s="113">
        <f t="shared" si="30"/>
        <v>45921</v>
      </c>
      <c r="I354" s="113" t="s">
        <v>290</v>
      </c>
      <c r="J354" s="125" t="s">
        <v>4364</v>
      </c>
      <c r="K354" s="125" t="s">
        <v>302</v>
      </c>
      <c r="L354" s="125" t="s">
        <v>6457</v>
      </c>
      <c r="M354" s="128" t="str">
        <f t="shared" si="31"/>
        <v>MEDINA GALVAN ANGEL URIEL</v>
      </c>
      <c r="N354" s="128" t="s">
        <v>7082</v>
      </c>
      <c r="O354" s="128" t="s">
        <v>5070</v>
      </c>
      <c r="P354" s="125" t="s">
        <v>1953</v>
      </c>
      <c r="Q354" s="112">
        <v>38526</v>
      </c>
      <c r="R354" s="125">
        <f t="shared" si="32"/>
        <v>23</v>
      </c>
      <c r="S354" s="125">
        <f t="shared" si="33"/>
        <v>6</v>
      </c>
      <c r="T354" s="125">
        <f t="shared" si="34"/>
        <v>2005</v>
      </c>
      <c r="U354" s="142">
        <f t="shared" ca="1" si="35"/>
        <v>21.317808219178083</v>
      </c>
      <c r="V354" s="128"/>
      <c r="W354" s="128"/>
      <c r="X354" s="125"/>
      <c r="Y354" s="125" t="s">
        <v>115</v>
      </c>
      <c r="Z354" s="125" t="s">
        <v>260</v>
      </c>
      <c r="AA354" s="125" t="s">
        <v>532</v>
      </c>
      <c r="AB354" s="125" t="s">
        <v>574</v>
      </c>
      <c r="AC354" s="110"/>
      <c r="AD354" s="110"/>
      <c r="AE354" s="109">
        <v>90</v>
      </c>
      <c r="AF354" s="128"/>
      <c r="AG354" s="125"/>
      <c r="AH354" s="110"/>
      <c r="AI354" s="110"/>
      <c r="AJ354" s="110"/>
      <c r="AK354" s="125">
        <v>3314486917</v>
      </c>
      <c r="AL354" s="110"/>
      <c r="AM354" s="110"/>
      <c r="AN354" s="110"/>
      <c r="AO354" s="110"/>
      <c r="AP354" s="110"/>
      <c r="AQ354" s="110"/>
      <c r="AR354" s="125"/>
      <c r="AS354" s="125"/>
      <c r="AT354" s="110"/>
      <c r="AU354" s="110"/>
      <c r="AV354" s="125"/>
      <c r="AW354" s="125"/>
      <c r="AX354" s="125" t="s">
        <v>329</v>
      </c>
      <c r="AY354" s="110"/>
      <c r="AZ354" s="110"/>
      <c r="BA354" s="110"/>
      <c r="BB354" s="110"/>
      <c r="BC354" s="110"/>
      <c r="BD354" s="110"/>
      <c r="BE354" s="110"/>
      <c r="BF354" s="110"/>
      <c r="BG354" s="125"/>
      <c r="BH354" s="110"/>
      <c r="BI354" s="110"/>
      <c r="BJ354" s="110"/>
      <c r="BK354" s="110"/>
      <c r="BL354" s="110"/>
      <c r="BM354" s="110"/>
      <c r="BN354" s="110"/>
      <c r="BO354" s="110"/>
      <c r="BP354" s="110"/>
      <c r="BQ354" s="110"/>
      <c r="BR354" s="110"/>
      <c r="BS354" s="110"/>
      <c r="BT354" s="110"/>
      <c r="BU354" s="110"/>
      <c r="BV354" s="110"/>
      <c r="BW354" s="110"/>
      <c r="BX354" s="110"/>
      <c r="BY354" s="110"/>
      <c r="BZ354" s="110"/>
      <c r="CA354" s="110"/>
      <c r="CB354" s="109"/>
      <c r="CC354" s="109"/>
      <c r="CD354" s="110"/>
    </row>
    <row r="355" spans="1:82" s="116" customFormat="1" ht="13.9" customHeight="1" x14ac:dyDescent="0.2">
      <c r="A355" s="125">
        <v>690</v>
      </c>
      <c r="B355" s="125" t="s">
        <v>5054</v>
      </c>
      <c r="C355" s="110" t="s">
        <v>564</v>
      </c>
      <c r="D355" s="109" t="s">
        <v>81</v>
      </c>
      <c r="E355" s="111" t="s">
        <v>749</v>
      </c>
      <c r="F355" s="127">
        <v>45832</v>
      </c>
      <c r="G355" s="127">
        <v>45832</v>
      </c>
      <c r="H355" s="113">
        <f t="shared" si="30"/>
        <v>45922</v>
      </c>
      <c r="I355" s="113" t="s">
        <v>290</v>
      </c>
      <c r="J355" s="125" t="s">
        <v>750</v>
      </c>
      <c r="K355" s="125" t="s">
        <v>366</v>
      </c>
      <c r="L355" s="125" t="s">
        <v>751</v>
      </c>
      <c r="M355" s="128" t="str">
        <f t="shared" si="31"/>
        <v>BARRAGAN HERNANDEZ GABRIEL</v>
      </c>
      <c r="N355" s="128" t="s">
        <v>753</v>
      </c>
      <c r="O355" s="128" t="s">
        <v>754</v>
      </c>
      <c r="P355" s="125" t="s">
        <v>1953</v>
      </c>
      <c r="Q355" s="112">
        <v>30588</v>
      </c>
      <c r="R355" s="125">
        <f t="shared" si="32"/>
        <v>29</v>
      </c>
      <c r="S355" s="125">
        <f t="shared" si="33"/>
        <v>9</v>
      </c>
      <c r="T355" s="125">
        <f t="shared" si="34"/>
        <v>1983</v>
      </c>
      <c r="U355" s="142">
        <f t="shared" ca="1" si="35"/>
        <v>43.065753424657537</v>
      </c>
      <c r="V355" s="128"/>
      <c r="W355" s="128"/>
      <c r="X355" s="125"/>
      <c r="Y355" s="125" t="s">
        <v>115</v>
      </c>
      <c r="Z355" s="125" t="s">
        <v>260</v>
      </c>
      <c r="AA355" s="125" t="s">
        <v>532</v>
      </c>
      <c r="AB355" s="125" t="s">
        <v>574</v>
      </c>
      <c r="AC355" s="110"/>
      <c r="AD355" s="110"/>
      <c r="AE355" s="109">
        <v>90</v>
      </c>
      <c r="AF355" s="128"/>
      <c r="AG355" s="125"/>
      <c r="AH355" s="110"/>
      <c r="AI355" s="110"/>
      <c r="AJ355" s="110"/>
      <c r="AK355" s="125">
        <v>3326037234</v>
      </c>
      <c r="AL355" s="110"/>
      <c r="AM355" s="110"/>
      <c r="AN355" s="110"/>
      <c r="AO355" s="110"/>
      <c r="AP355" s="110"/>
      <c r="AQ355" s="110"/>
      <c r="AR355" s="125"/>
      <c r="AS355" s="125"/>
      <c r="AT355" s="110"/>
      <c r="AU355" s="110"/>
      <c r="AV355" s="125"/>
      <c r="AW355" s="125"/>
      <c r="AX355" s="125" t="s">
        <v>329</v>
      </c>
      <c r="AY355" s="110"/>
      <c r="AZ355" s="110"/>
      <c r="BA355" s="110"/>
      <c r="BB355" s="110"/>
      <c r="BC355" s="110"/>
      <c r="BD355" s="110"/>
      <c r="BE355" s="110"/>
      <c r="BF355" s="110"/>
      <c r="BG355" s="125"/>
      <c r="BH355" s="110"/>
      <c r="BI355" s="110"/>
      <c r="BJ355" s="110"/>
      <c r="BK355" s="110"/>
      <c r="BL355" s="110"/>
      <c r="BM355" s="110"/>
      <c r="BN355" s="110"/>
      <c r="BO355" s="110"/>
      <c r="BP355" s="110"/>
      <c r="BQ355" s="110"/>
      <c r="BR355" s="110"/>
      <c r="BS355" s="110"/>
      <c r="BT355" s="110"/>
      <c r="BU355" s="110"/>
      <c r="BV355" s="110"/>
      <c r="BW355" s="110"/>
      <c r="BX355" s="110"/>
      <c r="BY355" s="110"/>
      <c r="BZ355" s="110"/>
      <c r="CA355" s="110"/>
      <c r="CB355" s="109"/>
      <c r="CC355" s="109"/>
      <c r="CD355" s="110"/>
    </row>
    <row r="356" spans="1:82" s="116" customFormat="1" ht="13.9" customHeight="1" x14ac:dyDescent="0.2">
      <c r="A356" s="125">
        <v>881</v>
      </c>
      <c r="B356" s="125" t="s">
        <v>5052</v>
      </c>
      <c r="C356" s="110" t="s">
        <v>363</v>
      </c>
      <c r="D356" s="125" t="s">
        <v>292</v>
      </c>
      <c r="E356" s="111" t="s">
        <v>6677</v>
      </c>
      <c r="F356" s="127">
        <v>45832</v>
      </c>
      <c r="G356" s="127">
        <v>45832</v>
      </c>
      <c r="H356" s="113">
        <f t="shared" si="30"/>
        <v>45922</v>
      </c>
      <c r="I356" s="113" t="s">
        <v>291</v>
      </c>
      <c r="J356" s="125" t="s">
        <v>447</v>
      </c>
      <c r="K356" s="125" t="s">
        <v>366</v>
      </c>
      <c r="L356" s="125" t="s">
        <v>706</v>
      </c>
      <c r="M356" s="128" t="str">
        <f t="shared" si="31"/>
        <v>GARCIA HERNANDEZ MIGUEL ANGEL</v>
      </c>
      <c r="N356" s="128" t="s">
        <v>7083</v>
      </c>
      <c r="O356" s="128" t="s">
        <v>5071</v>
      </c>
      <c r="P356" s="125" t="s">
        <v>1953</v>
      </c>
      <c r="Q356" s="112">
        <v>32778</v>
      </c>
      <c r="R356" s="125">
        <f t="shared" si="32"/>
        <v>27</v>
      </c>
      <c r="S356" s="125">
        <f t="shared" si="33"/>
        <v>9</v>
      </c>
      <c r="T356" s="125">
        <f t="shared" si="34"/>
        <v>1989</v>
      </c>
      <c r="U356" s="142">
        <f t="shared" ca="1" si="35"/>
        <v>37.065753424657537</v>
      </c>
      <c r="V356" s="128"/>
      <c r="W356" s="128"/>
      <c r="X356" s="125"/>
      <c r="Y356" s="125" t="s">
        <v>245</v>
      </c>
      <c r="Z356" s="125"/>
      <c r="AA356" s="110" t="s">
        <v>2276</v>
      </c>
      <c r="AB356" s="125" t="s">
        <v>5085</v>
      </c>
      <c r="AC356" s="110"/>
      <c r="AD356" s="110"/>
      <c r="AE356" s="109">
        <v>90</v>
      </c>
      <c r="AF356" s="128"/>
      <c r="AG356" s="125"/>
      <c r="AH356" s="110" t="s">
        <v>5474</v>
      </c>
      <c r="AI356" s="110"/>
      <c r="AJ356" s="110"/>
      <c r="AK356" s="125">
        <v>7737313834</v>
      </c>
      <c r="AL356" s="110"/>
      <c r="AM356" s="110"/>
      <c r="AN356" s="110"/>
      <c r="AO356" s="110"/>
      <c r="AP356" s="110"/>
      <c r="AQ356" s="110"/>
      <c r="AR356" s="125"/>
      <c r="AS356" s="125"/>
      <c r="AT356" s="110"/>
      <c r="AU356" s="110"/>
      <c r="AV356" s="125"/>
      <c r="AW356" s="125"/>
      <c r="AX356" s="125" t="s">
        <v>329</v>
      </c>
      <c r="AY356" s="110"/>
      <c r="AZ356" s="110"/>
      <c r="BA356" s="110"/>
      <c r="BB356" s="110"/>
      <c r="BC356" s="110"/>
      <c r="BD356" s="110"/>
      <c r="BE356" s="110"/>
      <c r="BF356" s="110"/>
      <c r="BG356" s="125"/>
      <c r="BH356" s="110"/>
      <c r="BI356" s="110"/>
      <c r="BJ356" s="110"/>
      <c r="BK356" s="110"/>
      <c r="BL356" s="110"/>
      <c r="BM356" s="110"/>
      <c r="BN356" s="110"/>
      <c r="BO356" s="110"/>
      <c r="BP356" s="110"/>
      <c r="BQ356" s="110"/>
      <c r="BR356" s="110"/>
      <c r="BS356" s="110"/>
      <c r="BT356" s="110"/>
      <c r="BU356" s="110"/>
      <c r="BV356" s="110"/>
      <c r="BW356" s="110"/>
      <c r="BX356" s="110"/>
      <c r="BY356" s="110"/>
      <c r="BZ356" s="110"/>
      <c r="CA356" s="110"/>
      <c r="CB356" s="109"/>
      <c r="CC356" s="109"/>
      <c r="CD356" s="110"/>
    </row>
    <row r="357" spans="1:82" s="116" customFormat="1" ht="13.9" customHeight="1" x14ac:dyDescent="0.2">
      <c r="A357" s="77">
        <v>882</v>
      </c>
      <c r="B357" s="77" t="s">
        <v>5053</v>
      </c>
      <c r="C357" s="78" t="s">
        <v>363</v>
      </c>
      <c r="D357" s="77" t="s">
        <v>6329</v>
      </c>
      <c r="E357" s="99" t="s">
        <v>6678</v>
      </c>
      <c r="F357" s="79">
        <v>45832</v>
      </c>
      <c r="G357" s="79">
        <v>45832</v>
      </c>
      <c r="H357" s="101">
        <f t="shared" si="30"/>
        <v>45922</v>
      </c>
      <c r="I357" s="101" t="s">
        <v>290</v>
      </c>
      <c r="J357" s="77" t="s">
        <v>405</v>
      </c>
      <c r="K357" s="125" t="s">
        <v>6448</v>
      </c>
      <c r="L357" s="125" t="s">
        <v>1081</v>
      </c>
      <c r="M357" s="153" t="str">
        <f t="shared" si="31"/>
        <v>REYES CASTILLEJOS EDUARDO</v>
      </c>
      <c r="N357" s="102" t="s">
        <v>7084</v>
      </c>
      <c r="O357" s="102" t="s">
        <v>5072</v>
      </c>
      <c r="P357" s="77" t="s">
        <v>1953</v>
      </c>
      <c r="Q357" s="100">
        <v>33612</v>
      </c>
      <c r="R357" s="77">
        <f t="shared" si="32"/>
        <v>9</v>
      </c>
      <c r="S357" s="77">
        <f t="shared" si="33"/>
        <v>1</v>
      </c>
      <c r="T357" s="77">
        <f t="shared" si="34"/>
        <v>1992</v>
      </c>
      <c r="U357" s="103">
        <f t="shared" ca="1" si="35"/>
        <v>34.780821917808218</v>
      </c>
      <c r="V357" s="102"/>
      <c r="W357" s="102"/>
      <c r="X357" s="77"/>
      <c r="Y357" s="77" t="s">
        <v>391</v>
      </c>
      <c r="Z357" s="77"/>
      <c r="AA357" s="78" t="s">
        <v>2276</v>
      </c>
      <c r="AB357" s="77" t="s">
        <v>5085</v>
      </c>
      <c r="AC357" s="78"/>
      <c r="AD357" s="78"/>
      <c r="AE357" s="12">
        <v>90</v>
      </c>
      <c r="AF357" s="102"/>
      <c r="AG357" s="77"/>
      <c r="AH357" s="78" t="s">
        <v>5474</v>
      </c>
      <c r="AI357" s="78"/>
      <c r="AJ357" s="78"/>
      <c r="AK357" s="77">
        <v>8180189559</v>
      </c>
      <c r="AL357" s="78"/>
      <c r="AM357" s="78"/>
      <c r="AN357" s="78"/>
      <c r="AO357" s="78"/>
      <c r="AP357" s="78"/>
      <c r="AQ357" s="78"/>
      <c r="AR357" s="77"/>
      <c r="AS357" s="77"/>
      <c r="AT357" s="78"/>
      <c r="AU357" s="78"/>
      <c r="AV357" s="77"/>
      <c r="AW357" s="77"/>
      <c r="AX357" s="77" t="s">
        <v>329</v>
      </c>
      <c r="AY357" s="78"/>
      <c r="AZ357" s="78"/>
      <c r="BA357" s="78"/>
      <c r="BB357" s="78"/>
      <c r="BC357" s="78"/>
      <c r="BD357" s="78"/>
      <c r="BE357" s="78"/>
      <c r="BF357" s="78"/>
      <c r="BG357" s="77"/>
      <c r="BH357" s="78"/>
      <c r="BI357" s="78"/>
      <c r="BJ357" s="78"/>
      <c r="BK357" s="78"/>
      <c r="BL357" s="78"/>
      <c r="BM357" s="78"/>
      <c r="BN357" s="78"/>
      <c r="BO357" s="78"/>
      <c r="BP357" s="78"/>
      <c r="BQ357" s="78"/>
      <c r="BR357" s="78"/>
      <c r="BS357" s="78"/>
      <c r="BT357" s="78"/>
      <c r="BU357" s="78"/>
      <c r="BV357" s="78"/>
      <c r="BW357" s="78"/>
      <c r="BX357" s="78"/>
      <c r="BY357" s="78"/>
      <c r="BZ357" s="78"/>
      <c r="CA357" s="78"/>
      <c r="CB357" s="12"/>
      <c r="CC357" s="12"/>
      <c r="CD357" s="110"/>
    </row>
    <row r="358" spans="1:82" s="116" customFormat="1" ht="13.9" customHeight="1" x14ac:dyDescent="0.2">
      <c r="A358" s="125">
        <v>883</v>
      </c>
      <c r="B358" s="125" t="s">
        <v>5055</v>
      </c>
      <c r="C358" s="110" t="s">
        <v>564</v>
      </c>
      <c r="D358" s="109" t="s">
        <v>81</v>
      </c>
      <c r="E358" s="111" t="s">
        <v>6679</v>
      </c>
      <c r="F358" s="127">
        <v>45834</v>
      </c>
      <c r="G358" s="127">
        <v>45834</v>
      </c>
      <c r="H358" s="113">
        <f t="shared" si="30"/>
        <v>45924</v>
      </c>
      <c r="I358" s="113" t="s">
        <v>290</v>
      </c>
      <c r="J358" s="125" t="s">
        <v>1044</v>
      </c>
      <c r="K358" s="125" t="s">
        <v>6449</v>
      </c>
      <c r="L358" s="125" t="s">
        <v>5497</v>
      </c>
      <c r="M358" s="128" t="str">
        <f t="shared" si="31"/>
        <v>RODRIGUEZ NUÑO LUIS ALBERTO</v>
      </c>
      <c r="N358" s="128" t="s">
        <v>7085</v>
      </c>
      <c r="O358" s="128" t="s">
        <v>5073</v>
      </c>
      <c r="P358" s="125" t="s">
        <v>1953</v>
      </c>
      <c r="Q358" s="112">
        <v>29216</v>
      </c>
      <c r="R358" s="125">
        <f t="shared" si="32"/>
        <v>27</v>
      </c>
      <c r="S358" s="125">
        <f t="shared" si="33"/>
        <v>12</v>
      </c>
      <c r="T358" s="125">
        <f t="shared" si="34"/>
        <v>1979</v>
      </c>
      <c r="U358" s="142">
        <f t="shared" ca="1" si="35"/>
        <v>46.824657534246576</v>
      </c>
      <c r="V358" s="128"/>
      <c r="W358" s="128"/>
      <c r="X358" s="125"/>
      <c r="Y358" s="125" t="s">
        <v>115</v>
      </c>
      <c r="Z358" s="125" t="s">
        <v>260</v>
      </c>
      <c r="AA358" s="125" t="s">
        <v>532</v>
      </c>
      <c r="AB358" s="125" t="s">
        <v>574</v>
      </c>
      <c r="AC358" s="110"/>
      <c r="AD358" s="110"/>
      <c r="AE358" s="109">
        <v>90</v>
      </c>
      <c r="AF358" s="128"/>
      <c r="AG358" s="125"/>
      <c r="AH358" s="110"/>
      <c r="AI358" s="110"/>
      <c r="AJ358" s="110"/>
      <c r="AK358" s="125">
        <v>3334009397</v>
      </c>
      <c r="AL358" s="110"/>
      <c r="AM358" s="110"/>
      <c r="AN358" s="110"/>
      <c r="AO358" s="110"/>
      <c r="AP358" s="110"/>
      <c r="AQ358" s="110"/>
      <c r="AR358" s="125"/>
      <c r="AS358" s="125"/>
      <c r="AT358" s="110"/>
      <c r="AU358" s="110"/>
      <c r="AV358" s="125"/>
      <c r="AW358" s="125"/>
      <c r="AX358" s="125" t="s">
        <v>329</v>
      </c>
      <c r="AY358" s="110"/>
      <c r="AZ358" s="110"/>
      <c r="BA358" s="110"/>
      <c r="BB358" s="110"/>
      <c r="BC358" s="110"/>
      <c r="BD358" s="110"/>
      <c r="BE358" s="110"/>
      <c r="BF358" s="110"/>
      <c r="BG358" s="125"/>
      <c r="BH358" s="110"/>
      <c r="BI358" s="110"/>
      <c r="BJ358" s="110"/>
      <c r="BK358" s="110"/>
      <c r="BL358" s="110"/>
      <c r="BM358" s="110"/>
      <c r="BN358" s="110"/>
      <c r="BO358" s="110"/>
      <c r="BP358" s="110"/>
      <c r="BQ358" s="110"/>
      <c r="BR358" s="110"/>
      <c r="BS358" s="110"/>
      <c r="BT358" s="110"/>
      <c r="BU358" s="110"/>
      <c r="BV358" s="110"/>
      <c r="BW358" s="110"/>
      <c r="BX358" s="110"/>
      <c r="BY358" s="110"/>
      <c r="BZ358" s="110"/>
      <c r="CA358" s="110"/>
      <c r="CB358" s="109"/>
      <c r="CC358" s="109"/>
      <c r="CD358" s="110"/>
    </row>
    <row r="359" spans="1:82" s="116" customFormat="1" ht="13.9" customHeight="1" x14ac:dyDescent="0.2">
      <c r="A359" s="125">
        <v>884</v>
      </c>
      <c r="B359" s="125" t="s">
        <v>5056</v>
      </c>
      <c r="C359" s="110" t="s">
        <v>335</v>
      </c>
      <c r="D359" s="125" t="s">
        <v>140</v>
      </c>
      <c r="E359" s="111" t="s">
        <v>6680</v>
      </c>
      <c r="F359" s="127">
        <v>45836</v>
      </c>
      <c r="G359" s="127">
        <v>45836</v>
      </c>
      <c r="H359" s="113">
        <f t="shared" si="30"/>
        <v>45926</v>
      </c>
      <c r="I359" s="113" t="s">
        <v>291</v>
      </c>
      <c r="J359" s="125" t="s">
        <v>337</v>
      </c>
      <c r="K359" s="125" t="s">
        <v>1212</v>
      </c>
      <c r="L359" s="125" t="s">
        <v>6458</v>
      </c>
      <c r="M359" s="128" t="str">
        <f t="shared" si="31"/>
        <v>FLORES ALVAREZ JUANA EDITH</v>
      </c>
      <c r="N359" s="128" t="s">
        <v>7086</v>
      </c>
      <c r="O359" s="128" t="s">
        <v>5074</v>
      </c>
      <c r="P359" s="125" t="s">
        <v>1954</v>
      </c>
      <c r="Q359" s="112">
        <v>34861</v>
      </c>
      <c r="R359" s="125">
        <f t="shared" si="32"/>
        <v>11</v>
      </c>
      <c r="S359" s="125">
        <f t="shared" si="33"/>
        <v>6</v>
      </c>
      <c r="T359" s="125">
        <f t="shared" si="34"/>
        <v>1995</v>
      </c>
      <c r="U359" s="142">
        <f t="shared" ca="1" si="35"/>
        <v>31.358904109589041</v>
      </c>
      <c r="V359" s="128"/>
      <c r="W359" s="128"/>
      <c r="X359" s="125"/>
      <c r="Y359" s="125" t="s">
        <v>222</v>
      </c>
      <c r="Z359" s="125" t="s">
        <v>239</v>
      </c>
      <c r="AA359" s="125" t="s">
        <v>636</v>
      </c>
      <c r="AB359" s="125" t="s">
        <v>934</v>
      </c>
      <c r="AC359" s="110"/>
      <c r="AD359" s="110"/>
      <c r="AE359" s="109">
        <v>90</v>
      </c>
      <c r="AF359" s="128"/>
      <c r="AG359" s="125"/>
      <c r="AH359" s="110"/>
      <c r="AI359" s="110"/>
      <c r="AJ359" s="110"/>
      <c r="AK359" s="125" t="s">
        <v>5088</v>
      </c>
      <c r="AL359" s="110"/>
      <c r="AM359" s="110"/>
      <c r="AN359" s="110"/>
      <c r="AO359" s="110"/>
      <c r="AP359" s="110"/>
      <c r="AQ359" s="110"/>
      <c r="AR359" s="125"/>
      <c r="AS359" s="125"/>
      <c r="AT359" s="110"/>
      <c r="AU359" s="110"/>
      <c r="AV359" s="125"/>
      <c r="AW359" s="125"/>
      <c r="AX359" s="125" t="s">
        <v>329</v>
      </c>
      <c r="AY359" s="110"/>
      <c r="AZ359" s="110"/>
      <c r="BA359" s="110"/>
      <c r="BB359" s="110"/>
      <c r="BC359" s="110"/>
      <c r="BD359" s="110"/>
      <c r="BE359" s="110"/>
      <c r="BF359" s="110"/>
      <c r="BG359" s="125"/>
      <c r="BH359" s="110"/>
      <c r="BI359" s="110"/>
      <c r="BJ359" s="110"/>
      <c r="BK359" s="110"/>
      <c r="BL359" s="110"/>
      <c r="BM359" s="110"/>
      <c r="BN359" s="110"/>
      <c r="BO359" s="110"/>
      <c r="BP359" s="110"/>
      <c r="BQ359" s="110"/>
      <c r="BR359" s="110"/>
      <c r="BS359" s="110"/>
      <c r="BT359" s="110"/>
      <c r="BU359" s="110"/>
      <c r="BV359" s="110"/>
      <c r="BW359" s="110"/>
      <c r="BX359" s="110"/>
      <c r="BY359" s="110"/>
      <c r="BZ359" s="110"/>
      <c r="CA359" s="110"/>
      <c r="CB359" s="109"/>
      <c r="CC359" s="109"/>
      <c r="CD359" s="110"/>
    </row>
    <row r="360" spans="1:82" ht="13.9" customHeight="1" x14ac:dyDescent="0.2">
      <c r="A360" s="77">
        <v>885</v>
      </c>
      <c r="B360" s="77" t="s">
        <v>5057</v>
      </c>
      <c r="C360" s="78" t="s">
        <v>335</v>
      </c>
      <c r="D360" s="77" t="s">
        <v>105</v>
      </c>
      <c r="E360" s="99" t="s">
        <v>6681</v>
      </c>
      <c r="F360" s="79">
        <v>45838</v>
      </c>
      <c r="G360" s="79">
        <v>45838</v>
      </c>
      <c r="H360" s="101">
        <f t="shared" si="30"/>
        <v>45928</v>
      </c>
      <c r="I360" s="101" t="s">
        <v>290</v>
      </c>
      <c r="J360" s="77" t="s">
        <v>4355</v>
      </c>
      <c r="K360" s="77" t="s">
        <v>6450</v>
      </c>
      <c r="L360" s="77" t="s">
        <v>6459</v>
      </c>
      <c r="M360" s="153" t="str">
        <f t="shared" si="31"/>
        <v>SANDOVAL LEOS BRANDON EVERARDO</v>
      </c>
      <c r="N360" s="102" t="s">
        <v>7087</v>
      </c>
      <c r="O360" s="102" t="s">
        <v>5075</v>
      </c>
      <c r="P360" s="77" t="s">
        <v>1953</v>
      </c>
      <c r="Q360" s="100">
        <v>37898</v>
      </c>
      <c r="R360" s="77">
        <f t="shared" si="32"/>
        <v>4</v>
      </c>
      <c r="S360" s="77">
        <f t="shared" si="33"/>
        <v>10</v>
      </c>
      <c r="T360" s="77">
        <f t="shared" si="34"/>
        <v>2003</v>
      </c>
      <c r="U360" s="103">
        <f t="shared" ca="1" si="35"/>
        <v>23.038356164383561</v>
      </c>
      <c r="V360" s="102"/>
      <c r="W360" s="102"/>
      <c r="X360" s="77"/>
      <c r="Y360" s="77" t="s">
        <v>5083</v>
      </c>
      <c r="Z360" s="77" t="s">
        <v>111</v>
      </c>
      <c r="AA360" s="77" t="s">
        <v>347</v>
      </c>
      <c r="AB360" s="77" t="s">
        <v>858</v>
      </c>
      <c r="AC360" s="78"/>
      <c r="AD360" s="78"/>
      <c r="AE360" s="12">
        <v>90</v>
      </c>
      <c r="AF360" s="102"/>
      <c r="AG360" s="77"/>
      <c r="AH360" s="78"/>
      <c r="AI360" s="78"/>
      <c r="AJ360" s="78"/>
      <c r="AK360" s="77" t="s">
        <v>5089</v>
      </c>
      <c r="AL360" s="78"/>
      <c r="AM360" s="78"/>
      <c r="AN360" s="78"/>
      <c r="AO360" s="78"/>
      <c r="AP360" s="78"/>
      <c r="AQ360" s="78"/>
      <c r="AR360" s="77"/>
      <c r="AS360" s="77"/>
      <c r="AT360" s="78"/>
      <c r="AU360" s="78"/>
      <c r="AV360" s="77"/>
      <c r="AW360" s="77"/>
      <c r="AX360" s="77" t="s">
        <v>357</v>
      </c>
      <c r="AY360" s="78"/>
      <c r="AZ360" s="78"/>
      <c r="BA360" s="78"/>
      <c r="BB360" s="78"/>
      <c r="BC360" s="78"/>
      <c r="BD360" s="78"/>
      <c r="BE360" s="78"/>
      <c r="BF360" s="78"/>
      <c r="BG360" s="77"/>
      <c r="BH360" s="78"/>
      <c r="BI360" s="78"/>
      <c r="BJ360" s="78"/>
      <c r="BK360" s="78"/>
      <c r="BL360" s="78"/>
      <c r="BM360" s="78"/>
      <c r="BN360" s="78"/>
      <c r="BO360" s="78"/>
      <c r="BP360" s="78"/>
      <c r="BQ360" s="78"/>
      <c r="BR360" s="78"/>
      <c r="BS360" s="78"/>
      <c r="BT360" s="78"/>
      <c r="BU360" s="78"/>
      <c r="BV360" s="78"/>
      <c r="BW360" s="78"/>
      <c r="BX360" s="78"/>
      <c r="BY360" s="78"/>
      <c r="BZ360" s="78"/>
      <c r="CA360" s="78"/>
      <c r="CB360" s="12"/>
      <c r="CC360" s="12"/>
      <c r="CD360" s="78"/>
    </row>
    <row r="361" spans="1:82" ht="13.9" customHeight="1" x14ac:dyDescent="0.2">
      <c r="A361" s="77">
        <v>886</v>
      </c>
      <c r="B361" s="77" t="s">
        <v>5058</v>
      </c>
      <c r="C361" s="78" t="s">
        <v>335</v>
      </c>
      <c r="D361" s="77" t="s">
        <v>105</v>
      </c>
      <c r="E361" s="99" t="s">
        <v>6682</v>
      </c>
      <c r="F361" s="79">
        <v>45838</v>
      </c>
      <c r="G361" s="79">
        <v>45838</v>
      </c>
      <c r="H361" s="101">
        <f t="shared" si="30"/>
        <v>45928</v>
      </c>
      <c r="I361" s="101" t="s">
        <v>290</v>
      </c>
      <c r="J361" s="77" t="s">
        <v>5496</v>
      </c>
      <c r="K361" s="77" t="s">
        <v>4413</v>
      </c>
      <c r="L361" s="77" t="s">
        <v>1214</v>
      </c>
      <c r="M361" s="153" t="str">
        <f t="shared" si="31"/>
        <v>PADILLA ESPARZA JUAN ANDRES</v>
      </c>
      <c r="N361" s="102" t="s">
        <v>7088</v>
      </c>
      <c r="O361" s="102" t="s">
        <v>5076</v>
      </c>
      <c r="P361" s="77" t="s">
        <v>1953</v>
      </c>
      <c r="Q361" s="100">
        <v>35542</v>
      </c>
      <c r="R361" s="77">
        <f t="shared" si="32"/>
        <v>22</v>
      </c>
      <c r="S361" s="77">
        <f t="shared" si="33"/>
        <v>4</v>
      </c>
      <c r="T361" s="77">
        <f t="shared" si="34"/>
        <v>1997</v>
      </c>
      <c r="U361" s="103">
        <f t="shared" ca="1" si="35"/>
        <v>29.493150684931507</v>
      </c>
      <c r="V361" s="102"/>
      <c r="W361" s="102"/>
      <c r="X361" s="77"/>
      <c r="Y361" s="77" t="s">
        <v>5083</v>
      </c>
      <c r="Z361" s="77" t="s">
        <v>111</v>
      </c>
      <c r="AA361" s="77" t="s">
        <v>347</v>
      </c>
      <c r="AB361" s="77" t="s">
        <v>858</v>
      </c>
      <c r="AC361" s="78"/>
      <c r="AD361" s="78"/>
      <c r="AE361" s="12">
        <v>90</v>
      </c>
      <c r="AF361" s="102"/>
      <c r="AG361" s="77"/>
      <c r="AH361" s="78"/>
      <c r="AI361" s="78"/>
      <c r="AJ361" s="78"/>
      <c r="AK361" s="77" t="s">
        <v>5090</v>
      </c>
      <c r="AL361" s="78"/>
      <c r="AM361" s="78"/>
      <c r="AN361" s="78"/>
      <c r="AO361" s="78"/>
      <c r="AP361" s="78"/>
      <c r="AQ361" s="78"/>
      <c r="AR361" s="77"/>
      <c r="AS361" s="77"/>
      <c r="AT361" s="78"/>
      <c r="AU361" s="78"/>
      <c r="AV361" s="77"/>
      <c r="AW361" s="77"/>
      <c r="AX361" s="77" t="s">
        <v>357</v>
      </c>
      <c r="AY361" s="78"/>
      <c r="AZ361" s="78"/>
      <c r="BA361" s="78"/>
      <c r="BB361" s="78"/>
      <c r="BC361" s="78"/>
      <c r="BD361" s="78"/>
      <c r="BE361" s="78"/>
      <c r="BF361" s="78"/>
      <c r="BG361" s="77"/>
      <c r="BH361" s="78"/>
      <c r="BI361" s="78"/>
      <c r="BJ361" s="78"/>
      <c r="BK361" s="78"/>
      <c r="BL361" s="78"/>
      <c r="BM361" s="78"/>
      <c r="BN361" s="78"/>
      <c r="BO361" s="78"/>
      <c r="BP361" s="78"/>
      <c r="BQ361" s="78"/>
      <c r="BR361" s="78"/>
      <c r="BS361" s="78"/>
      <c r="BT361" s="78"/>
      <c r="BU361" s="78"/>
      <c r="BV361" s="78"/>
      <c r="BW361" s="78"/>
      <c r="BX361" s="78"/>
      <c r="BY361" s="78"/>
      <c r="BZ361" s="78"/>
      <c r="CA361" s="78"/>
      <c r="CB361" s="12"/>
      <c r="CC361" s="12"/>
      <c r="CD361" s="78"/>
    </row>
    <row r="362" spans="1:82" ht="13.9" customHeight="1" x14ac:dyDescent="0.2">
      <c r="A362" s="77">
        <v>887</v>
      </c>
      <c r="B362" s="77" t="s">
        <v>5059</v>
      </c>
      <c r="C362" s="78" t="s">
        <v>335</v>
      </c>
      <c r="D362" s="107" t="s">
        <v>228</v>
      </c>
      <c r="E362" s="99" t="s">
        <v>6683</v>
      </c>
      <c r="F362" s="79">
        <v>45838</v>
      </c>
      <c r="G362" s="79">
        <v>45838</v>
      </c>
      <c r="H362" s="101">
        <f t="shared" si="30"/>
        <v>45928</v>
      </c>
      <c r="I362" s="101" t="s">
        <v>290</v>
      </c>
      <c r="J362" s="77" t="s">
        <v>6443</v>
      </c>
      <c r="K362" s="125" t="s">
        <v>6451</v>
      </c>
      <c r="L362" s="125" t="s">
        <v>6466</v>
      </c>
      <c r="M362" s="102" t="str">
        <f t="shared" si="31"/>
        <v>OLGUIN ORLACHIA ESTANISLADO</v>
      </c>
      <c r="N362" s="102" t="s">
        <v>7089</v>
      </c>
      <c r="O362" s="102" t="s">
        <v>5077</v>
      </c>
      <c r="P362" s="77" t="s">
        <v>1953</v>
      </c>
      <c r="Q362" s="100">
        <v>34810</v>
      </c>
      <c r="R362" s="77">
        <f t="shared" si="32"/>
        <v>21</v>
      </c>
      <c r="S362" s="77">
        <f t="shared" si="33"/>
        <v>4</v>
      </c>
      <c r="T362" s="77">
        <f t="shared" si="34"/>
        <v>1995</v>
      </c>
      <c r="U362" s="103">
        <f t="shared" ca="1" si="35"/>
        <v>31.4986301369863</v>
      </c>
      <c r="V362" s="102"/>
      <c r="W362" s="102"/>
      <c r="X362" s="77"/>
      <c r="Y362" s="77" t="s">
        <v>117</v>
      </c>
      <c r="Z362" s="77" t="s">
        <v>149</v>
      </c>
      <c r="AA362" s="77" t="s">
        <v>347</v>
      </c>
      <c r="AB362" s="77" t="s">
        <v>2293</v>
      </c>
      <c r="AC362" s="78"/>
      <c r="AD362" s="78"/>
      <c r="AE362" s="12">
        <v>90</v>
      </c>
      <c r="AF362" s="102"/>
      <c r="AG362" s="77"/>
      <c r="AH362" s="78"/>
      <c r="AI362" s="78"/>
      <c r="AJ362" s="78"/>
      <c r="AK362" s="77" t="s">
        <v>5091</v>
      </c>
      <c r="AL362" s="78"/>
      <c r="AM362" s="78"/>
      <c r="AN362" s="78"/>
      <c r="AO362" s="78"/>
      <c r="AP362" s="78"/>
      <c r="AQ362" s="78"/>
      <c r="AR362" s="77"/>
      <c r="AS362" s="77"/>
      <c r="AT362" s="78"/>
      <c r="AU362" s="78"/>
      <c r="AV362" s="77"/>
      <c r="AW362" s="77"/>
      <c r="AX362" s="77" t="s">
        <v>329</v>
      </c>
      <c r="AY362" s="78"/>
      <c r="AZ362" s="78"/>
      <c r="BA362" s="78"/>
      <c r="BB362" s="78"/>
      <c r="BC362" s="78"/>
      <c r="BD362" s="78"/>
      <c r="BE362" s="78"/>
      <c r="BF362" s="78"/>
      <c r="BG362" s="77"/>
      <c r="BH362" s="78"/>
      <c r="BI362" s="78"/>
      <c r="BJ362" s="78"/>
      <c r="BK362" s="78"/>
      <c r="BL362" s="78"/>
      <c r="BM362" s="78"/>
      <c r="BN362" s="78"/>
      <c r="BO362" s="78"/>
      <c r="BP362" s="78"/>
      <c r="BQ362" s="78"/>
      <c r="BR362" s="78"/>
      <c r="BS362" s="78"/>
      <c r="BT362" s="78"/>
      <c r="BU362" s="78"/>
      <c r="BV362" s="78"/>
      <c r="BW362" s="78"/>
      <c r="BX362" s="78"/>
      <c r="BY362" s="78"/>
      <c r="BZ362" s="78"/>
      <c r="CA362" s="78"/>
      <c r="CB362" s="12"/>
      <c r="CC362" s="12"/>
      <c r="CD362" s="78"/>
    </row>
    <row r="363" spans="1:82" s="116" customFormat="1" ht="13.9" customHeight="1" x14ac:dyDescent="0.2">
      <c r="A363" s="125">
        <v>888</v>
      </c>
      <c r="B363" s="125" t="s">
        <v>5060</v>
      </c>
      <c r="C363" s="110" t="s">
        <v>335</v>
      </c>
      <c r="D363" s="125" t="s">
        <v>133</v>
      </c>
      <c r="E363" s="111" t="s">
        <v>6684</v>
      </c>
      <c r="F363" s="127">
        <v>45839</v>
      </c>
      <c r="G363" s="127">
        <v>45839</v>
      </c>
      <c r="H363" s="113">
        <f t="shared" si="30"/>
        <v>45929</v>
      </c>
      <c r="I363" s="113" t="s">
        <v>290</v>
      </c>
      <c r="J363" s="125" t="s">
        <v>384</v>
      </c>
      <c r="K363" s="125" t="s">
        <v>384</v>
      </c>
      <c r="L363" s="125" t="s">
        <v>6460</v>
      </c>
      <c r="M363" s="128" t="str">
        <f t="shared" si="31"/>
        <v>SANCHEZ SANCHEZ ANGEL FERNANDO</v>
      </c>
      <c r="N363" s="128" t="s">
        <v>7090</v>
      </c>
      <c r="O363" s="128" t="s">
        <v>5078</v>
      </c>
      <c r="P363" s="125" t="s">
        <v>1953</v>
      </c>
      <c r="Q363" s="112">
        <v>34328</v>
      </c>
      <c r="R363" s="125">
        <f t="shared" si="32"/>
        <v>25</v>
      </c>
      <c r="S363" s="125">
        <f t="shared" si="33"/>
        <v>12</v>
      </c>
      <c r="T363" s="125">
        <f t="shared" si="34"/>
        <v>1993</v>
      </c>
      <c r="U363" s="142">
        <f t="shared" ca="1" si="35"/>
        <v>32.819178082191783</v>
      </c>
      <c r="V363" s="128"/>
      <c r="W363" s="128"/>
      <c r="X363" s="125"/>
      <c r="Y363" s="125" t="s">
        <v>345</v>
      </c>
      <c r="Z363" s="125" t="s">
        <v>136</v>
      </c>
      <c r="AA363" s="125" t="s">
        <v>347</v>
      </c>
      <c r="AB363" s="125" t="s">
        <v>2291</v>
      </c>
      <c r="AC363" s="110"/>
      <c r="AD363" s="110"/>
      <c r="AE363" s="109">
        <v>90</v>
      </c>
      <c r="AF363" s="128"/>
      <c r="AG363" s="125"/>
      <c r="AH363" s="110"/>
      <c r="AI363" s="110"/>
      <c r="AJ363" s="110"/>
      <c r="AK363" s="125">
        <v>8137364551</v>
      </c>
      <c r="AL363" s="110"/>
      <c r="AM363" s="110"/>
      <c r="AN363" s="110"/>
      <c r="AO363" s="110"/>
      <c r="AP363" s="110"/>
      <c r="AQ363" s="110"/>
      <c r="AR363" s="125"/>
      <c r="AS363" s="125"/>
      <c r="AT363" s="110"/>
      <c r="AU363" s="110"/>
      <c r="AV363" s="125"/>
      <c r="AW363" s="125"/>
      <c r="AX363" s="125" t="s">
        <v>329</v>
      </c>
      <c r="AY363" s="110"/>
      <c r="AZ363" s="110"/>
      <c r="BA363" s="110"/>
      <c r="BB363" s="110"/>
      <c r="BC363" s="110"/>
      <c r="BD363" s="110"/>
      <c r="BE363" s="110"/>
      <c r="BF363" s="110"/>
      <c r="BG363" s="125"/>
      <c r="BH363" s="110"/>
      <c r="BI363" s="110"/>
      <c r="BJ363" s="110"/>
      <c r="BK363" s="110"/>
      <c r="BL363" s="110"/>
      <c r="BM363" s="110"/>
      <c r="BN363" s="110"/>
      <c r="BO363" s="110"/>
      <c r="BP363" s="110"/>
      <c r="BQ363" s="110"/>
      <c r="BR363" s="110"/>
      <c r="BS363" s="110"/>
      <c r="BT363" s="110"/>
      <c r="BU363" s="110"/>
      <c r="BV363" s="110"/>
      <c r="BW363" s="110"/>
      <c r="BX363" s="110"/>
      <c r="BY363" s="110"/>
      <c r="BZ363" s="110"/>
      <c r="CA363" s="110"/>
      <c r="CB363" s="109"/>
      <c r="CC363" s="109"/>
      <c r="CD363" s="110"/>
    </row>
    <row r="364" spans="1:82" ht="13.9" customHeight="1" x14ac:dyDescent="0.2">
      <c r="A364" s="77">
        <v>889</v>
      </c>
      <c r="B364" s="77" t="s">
        <v>5061</v>
      </c>
      <c r="C364" s="78" t="s">
        <v>335</v>
      </c>
      <c r="D364" s="77" t="s">
        <v>133</v>
      </c>
      <c r="E364" s="99" t="s">
        <v>6791</v>
      </c>
      <c r="F364" s="79">
        <v>45839</v>
      </c>
      <c r="G364" s="79">
        <v>45839</v>
      </c>
      <c r="H364" s="101">
        <f t="shared" si="30"/>
        <v>45929</v>
      </c>
      <c r="I364" s="101" t="s">
        <v>290</v>
      </c>
      <c r="J364" s="77" t="s">
        <v>4938</v>
      </c>
      <c r="K364" s="125" t="s">
        <v>4319</v>
      </c>
      <c r="L364" s="125" t="s">
        <v>6461</v>
      </c>
      <c r="M364" s="102" t="str">
        <f t="shared" si="31"/>
        <v>RUIZ  MEJIA RUBEN ALFONSO</v>
      </c>
      <c r="N364" s="102" t="s">
        <v>7205</v>
      </c>
      <c r="O364" s="102" t="s">
        <v>5079</v>
      </c>
      <c r="P364" s="77" t="s">
        <v>1953</v>
      </c>
      <c r="Q364" s="100">
        <v>38041</v>
      </c>
      <c r="R364" s="77">
        <f t="shared" si="32"/>
        <v>24</v>
      </c>
      <c r="S364" s="77">
        <f t="shared" si="33"/>
        <v>2</v>
      </c>
      <c r="T364" s="77">
        <f t="shared" si="34"/>
        <v>2004</v>
      </c>
      <c r="U364" s="103">
        <f t="shared" ca="1" si="35"/>
        <v>22.646575342465752</v>
      </c>
      <c r="V364" s="102"/>
      <c r="W364" s="102"/>
      <c r="X364" s="77"/>
      <c r="Y364" s="77" t="s">
        <v>617</v>
      </c>
      <c r="Z364" s="77" t="s">
        <v>136</v>
      </c>
      <c r="AA364" s="77" t="s">
        <v>347</v>
      </c>
      <c r="AB364" s="77" t="s">
        <v>670</v>
      </c>
      <c r="AC364" s="78"/>
      <c r="AD364" s="78"/>
      <c r="AE364" s="12">
        <v>90</v>
      </c>
      <c r="AF364" s="102"/>
      <c r="AG364" s="77"/>
      <c r="AH364" s="78"/>
      <c r="AI364" s="78"/>
      <c r="AJ364" s="78"/>
      <c r="AK364" s="77" t="s">
        <v>5092</v>
      </c>
      <c r="AL364" s="78"/>
      <c r="AM364" s="78"/>
      <c r="AN364" s="78"/>
      <c r="AO364" s="78"/>
      <c r="AP364" s="78"/>
      <c r="AQ364" s="78"/>
      <c r="AR364" s="77"/>
      <c r="AS364" s="77"/>
      <c r="AT364" s="78"/>
      <c r="AU364" s="78"/>
      <c r="AV364" s="77"/>
      <c r="AW364" s="77"/>
      <c r="AX364" s="77" t="s">
        <v>329</v>
      </c>
      <c r="AY364" s="78"/>
      <c r="AZ364" s="78"/>
      <c r="BA364" s="78"/>
      <c r="BB364" s="78"/>
      <c r="BC364" s="78"/>
      <c r="BD364" s="78"/>
      <c r="BE364" s="78"/>
      <c r="BF364" s="78"/>
      <c r="BG364" s="77"/>
      <c r="BH364" s="78"/>
      <c r="BI364" s="78"/>
      <c r="BJ364" s="78"/>
      <c r="BK364" s="78"/>
      <c r="BL364" s="78"/>
      <c r="BM364" s="78"/>
      <c r="BN364" s="78"/>
      <c r="BO364" s="78"/>
      <c r="BP364" s="78"/>
      <c r="BQ364" s="78"/>
      <c r="BR364" s="78"/>
      <c r="BS364" s="78"/>
      <c r="BT364" s="78"/>
      <c r="BU364" s="78"/>
      <c r="BV364" s="78"/>
      <c r="BW364" s="78"/>
      <c r="BX364" s="78"/>
      <c r="BY364" s="78"/>
      <c r="BZ364" s="78"/>
      <c r="CA364" s="78"/>
      <c r="CB364" s="12"/>
      <c r="CC364" s="12"/>
      <c r="CD364" s="78"/>
    </row>
    <row r="365" spans="1:82" ht="13.9" customHeight="1" x14ac:dyDescent="0.2">
      <c r="A365" s="77">
        <v>890</v>
      </c>
      <c r="B365" s="77" t="s">
        <v>5062</v>
      </c>
      <c r="C365" s="78" t="s">
        <v>363</v>
      </c>
      <c r="D365" s="107" t="s">
        <v>86</v>
      </c>
      <c r="E365" s="99" t="s">
        <v>6792</v>
      </c>
      <c r="F365" s="79">
        <v>45839</v>
      </c>
      <c r="G365" s="79">
        <v>45839</v>
      </c>
      <c r="H365" s="101">
        <f t="shared" si="30"/>
        <v>45929</v>
      </c>
      <c r="I365" s="101" t="s">
        <v>291</v>
      </c>
      <c r="J365" s="77" t="s">
        <v>523</v>
      </c>
      <c r="K365" s="125" t="s">
        <v>6452</v>
      </c>
      <c r="L365" s="125" t="s">
        <v>1746</v>
      </c>
      <c r="M365" s="102" t="str">
        <f t="shared" si="31"/>
        <v>VELAZQUEZ  ARZOLA JUAN MANUEL</v>
      </c>
      <c r="N365" s="102" t="s">
        <v>7206</v>
      </c>
      <c r="O365" s="102" t="s">
        <v>5080</v>
      </c>
      <c r="P365" s="77" t="s">
        <v>1953</v>
      </c>
      <c r="Q365" s="100">
        <v>27826</v>
      </c>
      <c r="R365" s="77">
        <f t="shared" si="32"/>
        <v>7</v>
      </c>
      <c r="S365" s="77">
        <f t="shared" si="33"/>
        <v>3</v>
      </c>
      <c r="T365" s="77">
        <f t="shared" si="34"/>
        <v>1976</v>
      </c>
      <c r="U365" s="103">
        <f t="shared" ca="1" si="35"/>
        <v>50.632876712328766</v>
      </c>
      <c r="V365" s="102"/>
      <c r="W365" s="102"/>
      <c r="X365" s="77"/>
      <c r="Y365" s="77" t="s">
        <v>5084</v>
      </c>
      <c r="Z365" s="77"/>
      <c r="AA365" s="77" t="s">
        <v>5086</v>
      </c>
      <c r="AB365" s="77" t="s">
        <v>2302</v>
      </c>
      <c r="AC365" s="78"/>
      <c r="AD365" s="78"/>
      <c r="AE365" s="12">
        <v>90</v>
      </c>
      <c r="AF365" s="102"/>
      <c r="AG365" s="77"/>
      <c r="AH365" s="78"/>
      <c r="AI365" s="78"/>
      <c r="AJ365" s="78"/>
      <c r="AK365" s="77" t="s">
        <v>5093</v>
      </c>
      <c r="AL365" s="78"/>
      <c r="AM365" s="78"/>
      <c r="AN365" s="78"/>
      <c r="AO365" s="78"/>
      <c r="AP365" s="78"/>
      <c r="AQ365" s="78"/>
      <c r="AR365" s="77"/>
      <c r="AS365" s="77"/>
      <c r="AT365" s="78"/>
      <c r="AU365" s="78"/>
      <c r="AV365" s="77"/>
      <c r="AW365" s="77"/>
      <c r="AX365" s="77" t="s">
        <v>329</v>
      </c>
      <c r="AY365" s="78"/>
      <c r="AZ365" s="78"/>
      <c r="BA365" s="78"/>
      <c r="BB365" s="78"/>
      <c r="BC365" s="78"/>
      <c r="BD365" s="78"/>
      <c r="BE365" s="78"/>
      <c r="BF365" s="78"/>
      <c r="BG365" s="77"/>
      <c r="BH365" s="78"/>
      <c r="BI365" s="78"/>
      <c r="BJ365" s="78"/>
      <c r="BK365" s="78"/>
      <c r="BL365" s="78"/>
      <c r="BM365" s="78"/>
      <c r="BN365" s="78"/>
      <c r="BO365" s="78"/>
      <c r="BP365" s="78"/>
      <c r="BQ365" s="78"/>
      <c r="BR365" s="78"/>
      <c r="BS365" s="78"/>
      <c r="BT365" s="78"/>
      <c r="BU365" s="78"/>
      <c r="BV365" s="78"/>
      <c r="BW365" s="78"/>
      <c r="BX365" s="78"/>
      <c r="BY365" s="78"/>
      <c r="BZ365" s="78"/>
      <c r="CA365" s="78"/>
      <c r="CB365" s="12"/>
      <c r="CC365" s="12"/>
      <c r="CD365" s="78"/>
    </row>
    <row r="366" spans="1:82" ht="13.9" customHeight="1" x14ac:dyDescent="0.2">
      <c r="A366" s="77">
        <v>891</v>
      </c>
      <c r="B366" s="77" t="s">
        <v>5063</v>
      </c>
      <c r="C366" s="78" t="s">
        <v>564</v>
      </c>
      <c r="D366" s="107" t="s">
        <v>81</v>
      </c>
      <c r="E366" s="99" t="s">
        <v>6685</v>
      </c>
      <c r="F366" s="79">
        <v>45839</v>
      </c>
      <c r="G366" s="79">
        <v>45839</v>
      </c>
      <c r="H366" s="101">
        <f t="shared" si="30"/>
        <v>45929</v>
      </c>
      <c r="I366" s="101" t="s">
        <v>290</v>
      </c>
      <c r="J366" s="77" t="s">
        <v>6444</v>
      </c>
      <c r="K366" s="125" t="s">
        <v>4430</v>
      </c>
      <c r="L366" s="125" t="s">
        <v>6462</v>
      </c>
      <c r="M366" s="102" t="str">
        <f t="shared" si="31"/>
        <v>CORDERO MACIAS JOSE GUSTAVO</v>
      </c>
      <c r="N366" s="102" t="s">
        <v>7091</v>
      </c>
      <c r="O366" s="102" t="s">
        <v>5081</v>
      </c>
      <c r="P366" s="77" t="s">
        <v>1953</v>
      </c>
      <c r="Q366" s="100">
        <v>32137</v>
      </c>
      <c r="R366" s="77">
        <f t="shared" si="32"/>
        <v>26</v>
      </c>
      <c r="S366" s="77">
        <f t="shared" si="33"/>
        <v>12</v>
      </c>
      <c r="T366" s="77">
        <f t="shared" si="34"/>
        <v>1987</v>
      </c>
      <c r="U366" s="103">
        <f t="shared" ca="1" si="35"/>
        <v>38.821917808219176</v>
      </c>
      <c r="V366" s="102"/>
      <c r="W366" s="102"/>
      <c r="X366" s="77"/>
      <c r="Y366" s="77" t="s">
        <v>115</v>
      </c>
      <c r="Z366" s="77" t="s">
        <v>260</v>
      </c>
      <c r="AA366" s="77" t="s">
        <v>532</v>
      </c>
      <c r="AB366" s="77" t="s">
        <v>574</v>
      </c>
      <c r="AC366" s="78"/>
      <c r="AD366" s="78"/>
      <c r="AE366" s="12">
        <v>90</v>
      </c>
      <c r="AF366" s="102"/>
      <c r="AG366" s="77"/>
      <c r="AH366" s="78"/>
      <c r="AI366" s="78"/>
      <c r="AJ366" s="78"/>
      <c r="AK366" s="77" t="s">
        <v>5094</v>
      </c>
      <c r="AL366" s="78"/>
      <c r="AM366" s="78"/>
      <c r="AN366" s="78"/>
      <c r="AO366" s="78"/>
      <c r="AP366" s="78"/>
      <c r="AQ366" s="78"/>
      <c r="AR366" s="77"/>
      <c r="AS366" s="77"/>
      <c r="AT366" s="78"/>
      <c r="AU366" s="78"/>
      <c r="AV366" s="77"/>
      <c r="AW366" s="77"/>
      <c r="AX366" s="77" t="s">
        <v>329</v>
      </c>
      <c r="AY366" s="78"/>
      <c r="AZ366" s="78"/>
      <c r="BA366" s="78"/>
      <c r="BB366" s="78"/>
      <c r="BC366" s="78"/>
      <c r="BD366" s="78"/>
      <c r="BE366" s="78"/>
      <c r="BF366" s="78"/>
      <c r="BG366" s="77"/>
      <c r="BH366" s="78"/>
      <c r="BI366" s="78"/>
      <c r="BJ366" s="78"/>
      <c r="BK366" s="78"/>
      <c r="BL366" s="78"/>
      <c r="BM366" s="78"/>
      <c r="BN366" s="78"/>
      <c r="BO366" s="78"/>
      <c r="BP366" s="78"/>
      <c r="BQ366" s="78"/>
      <c r="BR366" s="78"/>
      <c r="BS366" s="78"/>
      <c r="BT366" s="78"/>
      <c r="BU366" s="78"/>
      <c r="BV366" s="78"/>
      <c r="BW366" s="78"/>
      <c r="BX366" s="78"/>
      <c r="BY366" s="78"/>
      <c r="BZ366" s="78"/>
      <c r="CA366" s="78"/>
      <c r="CB366" s="12"/>
      <c r="CC366" s="12"/>
      <c r="CD366" s="78"/>
    </row>
    <row r="367" spans="1:82" s="116" customFormat="1" ht="13.9" customHeight="1" x14ac:dyDescent="0.2">
      <c r="A367" s="125">
        <v>892</v>
      </c>
      <c r="B367" s="125" t="s">
        <v>5064</v>
      </c>
      <c r="C367" s="110" t="s">
        <v>564</v>
      </c>
      <c r="D367" s="109" t="s">
        <v>81</v>
      </c>
      <c r="E367" s="111" t="s">
        <v>6686</v>
      </c>
      <c r="F367" s="127">
        <v>45841</v>
      </c>
      <c r="G367" s="127">
        <v>45841</v>
      </c>
      <c r="H367" s="113">
        <f t="shared" si="30"/>
        <v>45931</v>
      </c>
      <c r="I367" s="113" t="s">
        <v>290</v>
      </c>
      <c r="J367" s="125" t="s">
        <v>4429</v>
      </c>
      <c r="K367" s="125" t="s">
        <v>4322</v>
      </c>
      <c r="L367" s="125" t="s">
        <v>6463</v>
      </c>
      <c r="M367" s="128" t="str">
        <f t="shared" si="31"/>
        <v>ESPINOZA CAMACHO OMAR ANTONIO</v>
      </c>
      <c r="N367" s="128" t="s">
        <v>7092</v>
      </c>
      <c r="O367" s="128" t="s">
        <v>5082</v>
      </c>
      <c r="P367" s="125" t="s">
        <v>1953</v>
      </c>
      <c r="Q367" s="112">
        <v>34532</v>
      </c>
      <c r="R367" s="125">
        <f t="shared" si="32"/>
        <v>17</v>
      </c>
      <c r="S367" s="125">
        <f t="shared" si="33"/>
        <v>7</v>
      </c>
      <c r="T367" s="125">
        <f t="shared" si="34"/>
        <v>1994</v>
      </c>
      <c r="U367" s="142">
        <f t="shared" ca="1" si="35"/>
        <v>32.260273972602739</v>
      </c>
      <c r="V367" s="128"/>
      <c r="W367" s="128"/>
      <c r="X367" s="125"/>
      <c r="Y367" s="125" t="s">
        <v>115</v>
      </c>
      <c r="Z367" s="125" t="s">
        <v>260</v>
      </c>
      <c r="AA367" s="125" t="s">
        <v>532</v>
      </c>
      <c r="AB367" s="125" t="s">
        <v>574</v>
      </c>
      <c r="AC367" s="110"/>
      <c r="AD367" s="110"/>
      <c r="AE367" s="109">
        <v>90</v>
      </c>
      <c r="AF367" s="128"/>
      <c r="AG367" s="125"/>
      <c r="AH367" s="110"/>
      <c r="AI367" s="110"/>
      <c r="AJ367" s="110"/>
      <c r="AK367" s="125" t="s">
        <v>5095</v>
      </c>
      <c r="AL367" s="110"/>
      <c r="AM367" s="110"/>
      <c r="AN367" s="110"/>
      <c r="AO367" s="110"/>
      <c r="AP367" s="110"/>
      <c r="AQ367" s="110"/>
      <c r="AR367" s="125"/>
      <c r="AS367" s="125"/>
      <c r="AT367" s="110"/>
      <c r="AU367" s="110"/>
      <c r="AV367" s="125"/>
      <c r="AW367" s="125"/>
      <c r="AX367" s="125" t="s">
        <v>329</v>
      </c>
      <c r="AY367" s="110"/>
      <c r="AZ367" s="110"/>
      <c r="BA367" s="110"/>
      <c r="BB367" s="110"/>
      <c r="BC367" s="110"/>
      <c r="BD367" s="110"/>
      <c r="BE367" s="110"/>
      <c r="BF367" s="110"/>
      <c r="BG367" s="125"/>
      <c r="BH367" s="110"/>
      <c r="BI367" s="110"/>
      <c r="BJ367" s="110"/>
      <c r="BK367" s="110"/>
      <c r="BL367" s="110"/>
      <c r="BM367" s="110"/>
      <c r="BN367" s="110"/>
      <c r="BO367" s="110"/>
      <c r="BP367" s="110"/>
      <c r="BQ367" s="110"/>
      <c r="BR367" s="110"/>
      <c r="BS367" s="110"/>
      <c r="BT367" s="110"/>
      <c r="BU367" s="110"/>
      <c r="BV367" s="110"/>
      <c r="BW367" s="110"/>
      <c r="BX367" s="110"/>
      <c r="BY367" s="110"/>
      <c r="BZ367" s="110"/>
      <c r="CA367" s="110"/>
      <c r="CB367" s="109"/>
      <c r="CC367" s="109"/>
      <c r="CD367" s="110"/>
    </row>
    <row r="368" spans="1:82" ht="13.9" customHeight="1" x14ac:dyDescent="0.25">
      <c r="A368" s="77">
        <v>558</v>
      </c>
      <c r="B368" s="77" t="s">
        <v>5125</v>
      </c>
      <c r="C368" s="78" t="s">
        <v>299</v>
      </c>
      <c r="D368" s="99" t="s">
        <v>80</v>
      </c>
      <c r="E368" s="99" t="s">
        <v>6687</v>
      </c>
      <c r="F368" s="79">
        <v>45845</v>
      </c>
      <c r="G368" s="79">
        <v>45845</v>
      </c>
      <c r="H368" s="101">
        <v>45935</v>
      </c>
      <c r="I368" s="101" t="s">
        <v>291</v>
      </c>
      <c r="J368" s="77" t="s">
        <v>4508</v>
      </c>
      <c r="K368" s="125" t="s">
        <v>6454</v>
      </c>
      <c r="L368" s="125" t="s">
        <v>6464</v>
      </c>
      <c r="M368" s="102" t="str">
        <f t="shared" si="31"/>
        <v>PUENTE SAN ROMAN ARIANA GUADALUPE</v>
      </c>
      <c r="N368" s="102" t="s">
        <v>7093</v>
      </c>
      <c r="O368" s="102" t="s">
        <v>5119</v>
      </c>
      <c r="P368" s="77" t="s">
        <v>1954</v>
      </c>
      <c r="Q368" s="100">
        <v>34688</v>
      </c>
      <c r="R368" s="77">
        <f t="shared" si="32"/>
        <v>20</v>
      </c>
      <c r="S368" s="77">
        <f t="shared" si="33"/>
        <v>12</v>
      </c>
      <c r="T368" s="77">
        <f t="shared" si="34"/>
        <v>1994</v>
      </c>
      <c r="U368" s="103">
        <f t="shared" ca="1" si="35"/>
        <v>31.832876712328765</v>
      </c>
      <c r="V368" s="102"/>
      <c r="W368" s="102"/>
      <c r="X368" s="77"/>
      <c r="Y368" s="77" t="s">
        <v>5124</v>
      </c>
      <c r="Z368" s="12" t="s">
        <v>170</v>
      </c>
      <c r="AA368" s="12" t="s">
        <v>636</v>
      </c>
      <c r="AB368" s="12" t="s">
        <v>2279</v>
      </c>
      <c r="AC368" s="78"/>
      <c r="AD368" s="78"/>
      <c r="AE368" s="78"/>
      <c r="AF368" s="102"/>
      <c r="AG368" s="77"/>
      <c r="AH368" s="78"/>
      <c r="AI368" s="78"/>
      <c r="AJ368" s="78"/>
      <c r="AK368" s="77" t="s">
        <v>5126</v>
      </c>
      <c r="AL368" s="91" t="s">
        <v>5127</v>
      </c>
      <c r="AM368" s="78"/>
      <c r="AN368" s="78"/>
      <c r="AO368" s="78"/>
      <c r="AP368" s="78"/>
      <c r="AQ368" s="78"/>
      <c r="AR368" s="77"/>
      <c r="AS368" s="77"/>
      <c r="AT368" s="78"/>
      <c r="AU368" s="78"/>
      <c r="AV368" s="77"/>
      <c r="AW368" s="12" t="s">
        <v>3417</v>
      </c>
      <c r="AX368" s="77" t="s">
        <v>329</v>
      </c>
      <c r="AY368" s="12" t="s">
        <v>3417</v>
      </c>
      <c r="AZ368" s="78"/>
      <c r="BA368" s="78"/>
      <c r="BB368" s="78"/>
      <c r="BC368" s="78"/>
      <c r="BD368" s="78"/>
      <c r="BE368" s="78"/>
      <c r="BF368" s="78"/>
      <c r="BG368" s="77"/>
      <c r="BH368" s="78"/>
      <c r="BI368" s="78"/>
      <c r="BJ368" s="78"/>
      <c r="BK368" s="78"/>
      <c r="BL368" s="78"/>
      <c r="BM368" s="78"/>
      <c r="BN368" s="78"/>
      <c r="BO368" s="78"/>
      <c r="BP368" s="78"/>
      <c r="BQ368" s="78"/>
      <c r="BR368" s="78"/>
      <c r="BS368" s="78"/>
      <c r="BT368" s="78"/>
      <c r="BU368" s="78"/>
      <c r="BV368" s="78"/>
      <c r="BW368" s="78"/>
      <c r="BX368" s="78"/>
      <c r="BY368" s="78"/>
      <c r="BZ368" s="78"/>
      <c r="CA368" s="78"/>
      <c r="CB368" s="12"/>
      <c r="CC368" s="12"/>
      <c r="CD368" s="78"/>
    </row>
    <row r="369" spans="1:82" ht="13.9" customHeight="1" x14ac:dyDescent="0.2">
      <c r="A369" s="77">
        <v>893</v>
      </c>
      <c r="B369" s="77" t="s">
        <v>5096</v>
      </c>
      <c r="C369" s="78" t="s">
        <v>363</v>
      </c>
      <c r="D369" s="107" t="s">
        <v>86</v>
      </c>
      <c r="E369" s="99" t="s">
        <v>6793</v>
      </c>
      <c r="F369" s="79">
        <v>45845</v>
      </c>
      <c r="G369" s="79">
        <v>45845</v>
      </c>
      <c r="H369" s="101">
        <f>+G369+AE369</f>
        <v>45845</v>
      </c>
      <c r="I369" s="101" t="s">
        <v>290</v>
      </c>
      <c r="J369" s="77" t="s">
        <v>4427</v>
      </c>
      <c r="K369" s="77" t="s">
        <v>5099</v>
      </c>
      <c r="L369" s="77" t="s">
        <v>5100</v>
      </c>
      <c r="M369" s="102" t="str">
        <f t="shared" si="31"/>
        <v>CONTRERAS  BURGOS ANGEL DE JESUS</v>
      </c>
      <c r="N369" s="102" t="s">
        <v>7207</v>
      </c>
      <c r="O369" s="102" t="s">
        <v>5105</v>
      </c>
      <c r="P369" s="77" t="s">
        <v>1953</v>
      </c>
      <c r="Q369" s="100">
        <v>36511</v>
      </c>
      <c r="R369" s="77">
        <f t="shared" si="32"/>
        <v>17</v>
      </c>
      <c r="S369" s="77">
        <f t="shared" si="33"/>
        <v>12</v>
      </c>
      <c r="T369" s="77">
        <f t="shared" si="34"/>
        <v>1999</v>
      </c>
      <c r="U369" s="103">
        <f t="shared" ca="1" si="35"/>
        <v>26.838356164383562</v>
      </c>
      <c r="V369" s="102" t="s">
        <v>389</v>
      </c>
      <c r="W369" s="102" t="s">
        <v>5106</v>
      </c>
      <c r="X369" s="77"/>
      <c r="Y369" s="77" t="s">
        <v>391</v>
      </c>
      <c r="Z369" s="77" t="s">
        <v>88</v>
      </c>
      <c r="AA369" s="77" t="s">
        <v>392</v>
      </c>
      <c r="AB369" s="77" t="s">
        <v>374</v>
      </c>
      <c r="AC369" s="78"/>
      <c r="AD369" s="78"/>
      <c r="AE369" s="78"/>
      <c r="AF369" s="102"/>
      <c r="AG369" s="77"/>
      <c r="AH369" s="78"/>
      <c r="AI369" s="78"/>
      <c r="AJ369" s="78"/>
      <c r="AK369" s="77" t="s">
        <v>5111</v>
      </c>
      <c r="AL369" s="78"/>
      <c r="AM369" s="78"/>
      <c r="AN369" s="78"/>
      <c r="AO369" s="78"/>
      <c r="AP369" s="78"/>
      <c r="AQ369" s="78"/>
      <c r="AR369" s="77"/>
      <c r="AS369" s="77"/>
      <c r="AT369" s="78"/>
      <c r="AU369" s="78"/>
      <c r="AV369" s="77"/>
      <c r="AW369" s="77"/>
      <c r="AX369" s="77" t="s">
        <v>329</v>
      </c>
      <c r="AY369" s="78"/>
      <c r="AZ369" s="78"/>
      <c r="BA369" s="78"/>
      <c r="BB369" s="78"/>
      <c r="BC369" s="78"/>
      <c r="BD369" s="78"/>
      <c r="BE369" s="78"/>
      <c r="BF369" s="78"/>
      <c r="BG369" s="77"/>
      <c r="BH369" s="78"/>
      <c r="BI369" s="78"/>
      <c r="BJ369" s="78"/>
      <c r="BK369" s="78"/>
      <c r="BL369" s="78"/>
      <c r="BM369" s="78"/>
      <c r="BN369" s="78"/>
      <c r="BO369" s="78"/>
      <c r="BP369" s="78"/>
      <c r="BQ369" s="78"/>
      <c r="BR369" s="78"/>
      <c r="BS369" s="78"/>
      <c r="BT369" s="78"/>
      <c r="BU369" s="78"/>
      <c r="BV369" s="78"/>
      <c r="BW369" s="78"/>
      <c r="BX369" s="78"/>
      <c r="BY369" s="78"/>
      <c r="BZ369" s="78"/>
      <c r="CA369" s="78"/>
      <c r="CB369" s="12"/>
      <c r="CC369" s="12"/>
      <c r="CD369" s="78"/>
    </row>
    <row r="370" spans="1:82" s="116" customFormat="1" ht="13.9" customHeight="1" x14ac:dyDescent="0.2">
      <c r="A370" s="125">
        <v>894</v>
      </c>
      <c r="B370" s="125" t="s">
        <v>5097</v>
      </c>
      <c r="C370" s="110" t="s">
        <v>363</v>
      </c>
      <c r="D370" s="109" t="s">
        <v>86</v>
      </c>
      <c r="E370" s="111" t="s">
        <v>6688</v>
      </c>
      <c r="F370" s="127">
        <v>45845</v>
      </c>
      <c r="G370" s="127">
        <v>45845</v>
      </c>
      <c r="H370" s="113">
        <f>+G370+AE370</f>
        <v>45845</v>
      </c>
      <c r="I370" s="113" t="s">
        <v>290</v>
      </c>
      <c r="J370" s="125" t="s">
        <v>4387</v>
      </c>
      <c r="K370" s="125" t="s">
        <v>1239</v>
      </c>
      <c r="L370" s="125" t="s">
        <v>5101</v>
      </c>
      <c r="M370" s="128" t="str">
        <f t="shared" si="31"/>
        <v>LOREDO VAZQUEZ OSSIEL</v>
      </c>
      <c r="N370" s="128" t="s">
        <v>7094</v>
      </c>
      <c r="O370" s="128" t="s">
        <v>5107</v>
      </c>
      <c r="P370" s="125" t="s">
        <v>1953</v>
      </c>
      <c r="Q370" s="112">
        <v>37974</v>
      </c>
      <c r="R370" s="125">
        <f t="shared" si="32"/>
        <v>19</v>
      </c>
      <c r="S370" s="125">
        <f t="shared" si="33"/>
        <v>12</v>
      </c>
      <c r="T370" s="125">
        <f t="shared" si="34"/>
        <v>2003</v>
      </c>
      <c r="U370" s="142">
        <f t="shared" ca="1" si="35"/>
        <v>22.830136986301369</v>
      </c>
      <c r="V370" s="128" t="s">
        <v>452</v>
      </c>
      <c r="W370" s="128" t="s">
        <v>5108</v>
      </c>
      <c r="X370" s="125"/>
      <c r="Y370" s="125" t="s">
        <v>91</v>
      </c>
      <c r="Z370" s="125" t="s">
        <v>88</v>
      </c>
      <c r="AA370" s="125" t="s">
        <v>392</v>
      </c>
      <c r="AB370" s="125" t="s">
        <v>374</v>
      </c>
      <c r="AC370" s="110"/>
      <c r="AD370" s="110"/>
      <c r="AE370" s="110"/>
      <c r="AF370" s="128"/>
      <c r="AG370" s="125"/>
      <c r="AH370" s="110"/>
      <c r="AI370" s="110"/>
      <c r="AJ370" s="110"/>
      <c r="AK370" s="125" t="s">
        <v>5112</v>
      </c>
      <c r="AL370" s="110"/>
      <c r="AM370" s="110"/>
      <c r="AN370" s="110"/>
      <c r="AO370" s="110"/>
      <c r="AP370" s="110"/>
      <c r="AQ370" s="110"/>
      <c r="AR370" s="125"/>
      <c r="AS370" s="125"/>
      <c r="AT370" s="110"/>
      <c r="AU370" s="110"/>
      <c r="AV370" s="125"/>
      <c r="AW370" s="125"/>
      <c r="AX370" s="125" t="s">
        <v>329</v>
      </c>
      <c r="AY370" s="110"/>
      <c r="AZ370" s="110"/>
      <c r="BA370" s="110"/>
      <c r="BB370" s="110"/>
      <c r="BC370" s="110"/>
      <c r="BD370" s="110"/>
      <c r="BE370" s="110"/>
      <c r="BF370" s="110"/>
      <c r="BG370" s="125"/>
      <c r="BH370" s="110"/>
      <c r="BI370" s="110"/>
      <c r="BJ370" s="110"/>
      <c r="BK370" s="110"/>
      <c r="BL370" s="110"/>
      <c r="BM370" s="110"/>
      <c r="BN370" s="110"/>
      <c r="BO370" s="110"/>
      <c r="BP370" s="110"/>
      <c r="BQ370" s="110"/>
      <c r="BR370" s="110"/>
      <c r="BS370" s="110"/>
      <c r="BT370" s="110"/>
      <c r="BU370" s="110"/>
      <c r="BV370" s="110"/>
      <c r="BW370" s="110"/>
      <c r="BX370" s="110"/>
      <c r="BY370" s="110"/>
      <c r="BZ370" s="110"/>
      <c r="CA370" s="110"/>
      <c r="CB370" s="109"/>
      <c r="CC370" s="109"/>
      <c r="CD370" s="110"/>
    </row>
    <row r="371" spans="1:82" s="116" customFormat="1" ht="13.9" customHeight="1" x14ac:dyDescent="0.2">
      <c r="A371" s="125">
        <v>895</v>
      </c>
      <c r="B371" s="125" t="s">
        <v>5098</v>
      </c>
      <c r="C371" s="110" t="s">
        <v>335</v>
      </c>
      <c r="D371" s="125" t="s">
        <v>116</v>
      </c>
      <c r="E371" s="111" t="s">
        <v>6689</v>
      </c>
      <c r="F371" s="127">
        <v>45845</v>
      </c>
      <c r="G371" s="127">
        <v>45845</v>
      </c>
      <c r="H371" s="113">
        <f>+G371+AE371</f>
        <v>45845</v>
      </c>
      <c r="I371" s="113" t="s">
        <v>290</v>
      </c>
      <c r="J371" s="125" t="s">
        <v>5102</v>
      </c>
      <c r="K371" s="125" t="s">
        <v>5103</v>
      </c>
      <c r="L371" s="125" t="s">
        <v>5104</v>
      </c>
      <c r="M371" s="128" t="str">
        <f t="shared" si="31"/>
        <v>CARRANZA SANTACRUZ ADRIAN SALVADOR</v>
      </c>
      <c r="N371" s="128" t="s">
        <v>7095</v>
      </c>
      <c r="O371" s="128" t="s">
        <v>5109</v>
      </c>
      <c r="P371" s="125" t="s">
        <v>1953</v>
      </c>
      <c r="Q371" s="112">
        <v>37232</v>
      </c>
      <c r="R371" s="125">
        <f t="shared" si="32"/>
        <v>7</v>
      </c>
      <c r="S371" s="125">
        <f t="shared" si="33"/>
        <v>12</v>
      </c>
      <c r="T371" s="125">
        <f t="shared" si="34"/>
        <v>2001</v>
      </c>
      <c r="U371" s="142">
        <f t="shared" ca="1" si="35"/>
        <v>24.863013698630137</v>
      </c>
      <c r="V371" s="128" t="s">
        <v>452</v>
      </c>
      <c r="W371" s="128" t="s">
        <v>5110</v>
      </c>
      <c r="X371" s="125"/>
      <c r="Y371" s="109" t="s">
        <v>117</v>
      </c>
      <c r="Z371" s="109" t="s">
        <v>118</v>
      </c>
      <c r="AA371" s="109" t="s">
        <v>347</v>
      </c>
      <c r="AB371" s="109" t="s">
        <v>348</v>
      </c>
      <c r="AC371" s="110"/>
      <c r="AD371" s="110"/>
      <c r="AE371" s="110"/>
      <c r="AF371" s="128"/>
      <c r="AG371" s="125"/>
      <c r="AH371" s="110"/>
      <c r="AI371" s="110"/>
      <c r="AJ371" s="110"/>
      <c r="AK371" s="125" t="s">
        <v>5113</v>
      </c>
      <c r="AL371" s="110"/>
      <c r="AM371" s="110"/>
      <c r="AN371" s="110"/>
      <c r="AO371" s="110"/>
      <c r="AP371" s="110"/>
      <c r="AQ371" s="110"/>
      <c r="AR371" s="125"/>
      <c r="AS371" s="125"/>
      <c r="AT371" s="110"/>
      <c r="AU371" s="110"/>
      <c r="AV371" s="125"/>
      <c r="AW371" s="125"/>
      <c r="AX371" s="125" t="s">
        <v>329</v>
      </c>
      <c r="AY371" s="110"/>
      <c r="AZ371" s="110"/>
      <c r="BA371" s="110"/>
      <c r="BB371" s="110"/>
      <c r="BC371" s="110"/>
      <c r="BD371" s="110"/>
      <c r="BE371" s="110"/>
      <c r="BF371" s="110"/>
      <c r="BG371" s="125"/>
      <c r="BH371" s="110"/>
      <c r="BI371" s="110"/>
      <c r="BJ371" s="110"/>
      <c r="BK371" s="110"/>
      <c r="BL371" s="110"/>
      <c r="BM371" s="110"/>
      <c r="BN371" s="110"/>
      <c r="BO371" s="110"/>
      <c r="BP371" s="110"/>
      <c r="BQ371" s="110"/>
      <c r="BR371" s="110"/>
      <c r="BS371" s="110"/>
      <c r="BT371" s="110"/>
      <c r="BU371" s="110"/>
      <c r="BV371" s="110"/>
      <c r="BW371" s="110"/>
      <c r="BX371" s="110"/>
      <c r="BY371" s="110"/>
      <c r="BZ371" s="110"/>
      <c r="CA371" s="110"/>
      <c r="CB371" s="109"/>
      <c r="CC371" s="109"/>
      <c r="CD371" s="110"/>
    </row>
    <row r="372" spans="1:82" ht="13.9" customHeight="1" x14ac:dyDescent="0.25">
      <c r="A372" s="77">
        <v>896</v>
      </c>
      <c r="B372" s="77" t="s">
        <v>5114</v>
      </c>
      <c r="C372" s="78" t="s">
        <v>363</v>
      </c>
      <c r="D372" s="107" t="s">
        <v>98</v>
      </c>
      <c r="E372" s="99" t="s">
        <v>6690</v>
      </c>
      <c r="F372" s="79">
        <v>45852</v>
      </c>
      <c r="G372" s="79">
        <v>45852</v>
      </c>
      <c r="H372" s="101">
        <v>45942</v>
      </c>
      <c r="I372" s="101" t="s">
        <v>290</v>
      </c>
      <c r="J372" s="77" t="s">
        <v>4416</v>
      </c>
      <c r="K372" s="125" t="s">
        <v>384</v>
      </c>
      <c r="L372" s="125" t="s">
        <v>1854</v>
      </c>
      <c r="M372" s="102" t="str">
        <f t="shared" si="31"/>
        <v>ALEMAN SANCHEZ JORGE</v>
      </c>
      <c r="N372" s="102" t="s">
        <v>7096</v>
      </c>
      <c r="O372" s="102" t="s">
        <v>5120</v>
      </c>
      <c r="P372" s="77" t="s">
        <v>1953</v>
      </c>
      <c r="Q372" s="100">
        <v>24997</v>
      </c>
      <c r="R372" s="77">
        <f t="shared" si="32"/>
        <v>8</v>
      </c>
      <c r="S372" s="77">
        <f t="shared" si="33"/>
        <v>6</v>
      </c>
      <c r="T372" s="77">
        <f t="shared" si="34"/>
        <v>1968</v>
      </c>
      <c r="U372" s="103">
        <f t="shared" ca="1" si="35"/>
        <v>58.38356164383562</v>
      </c>
      <c r="V372" s="102"/>
      <c r="W372" s="102"/>
      <c r="X372" s="77"/>
      <c r="Y372" s="77" t="s">
        <v>101</v>
      </c>
      <c r="Z372" s="12" t="s">
        <v>99</v>
      </c>
      <c r="AA372" s="12" t="s">
        <v>392</v>
      </c>
      <c r="AB372" s="12" t="s">
        <v>596</v>
      </c>
      <c r="AC372" s="78"/>
      <c r="AD372" s="78"/>
      <c r="AE372" s="78"/>
      <c r="AF372" s="102"/>
      <c r="AG372" s="77"/>
      <c r="AH372" s="78"/>
      <c r="AI372" s="78"/>
      <c r="AJ372" s="78"/>
      <c r="AK372" s="77" t="s">
        <v>5128</v>
      </c>
      <c r="AL372" s="91" t="s">
        <v>5129</v>
      </c>
      <c r="AM372" s="78"/>
      <c r="AN372" s="78"/>
      <c r="AO372" s="78"/>
      <c r="AP372" s="78"/>
      <c r="AQ372" s="78"/>
      <c r="AR372" s="77"/>
      <c r="AS372" s="77"/>
      <c r="AT372" s="78"/>
      <c r="AU372" s="78"/>
      <c r="AV372" s="77"/>
      <c r="AW372" s="77"/>
      <c r="AX372" s="77" t="s">
        <v>329</v>
      </c>
      <c r="AY372" s="78"/>
      <c r="AZ372" s="78"/>
      <c r="BA372" s="78"/>
      <c r="BB372" s="78"/>
      <c r="BC372" s="78"/>
      <c r="BD372" s="78"/>
      <c r="BE372" s="78"/>
      <c r="BF372" s="78"/>
      <c r="BG372" s="77"/>
      <c r="BH372" s="78"/>
      <c r="BI372" s="78"/>
      <c r="BJ372" s="78"/>
      <c r="BK372" s="78"/>
      <c r="BL372" s="78"/>
      <c r="BM372" s="78"/>
      <c r="BN372" s="78"/>
      <c r="BO372" s="78"/>
      <c r="BP372" s="78"/>
      <c r="BQ372" s="78"/>
      <c r="BR372" s="78"/>
      <c r="BS372" s="78"/>
      <c r="BT372" s="78"/>
      <c r="BU372" s="78"/>
      <c r="BV372" s="78"/>
      <c r="BW372" s="78"/>
      <c r="BX372" s="78"/>
      <c r="BY372" s="78"/>
      <c r="BZ372" s="78"/>
      <c r="CA372" s="78"/>
      <c r="CB372" s="12"/>
      <c r="CC372" s="12"/>
      <c r="CD372" s="78"/>
    </row>
    <row r="373" spans="1:82" s="116" customFormat="1" ht="13.9" customHeight="1" x14ac:dyDescent="0.2">
      <c r="A373" s="125">
        <v>897</v>
      </c>
      <c r="B373" s="125" t="s">
        <v>5115</v>
      </c>
      <c r="C373" s="110" t="s">
        <v>335</v>
      </c>
      <c r="D373" s="111" t="s">
        <v>86</v>
      </c>
      <c r="E373" s="111" t="s">
        <v>6691</v>
      </c>
      <c r="F373" s="127">
        <v>45853</v>
      </c>
      <c r="G373" s="127">
        <v>45853</v>
      </c>
      <c r="H373" s="113">
        <v>45943</v>
      </c>
      <c r="I373" s="113" t="s">
        <v>290</v>
      </c>
      <c r="J373" s="125" t="s">
        <v>6445</v>
      </c>
      <c r="K373" s="125" t="s">
        <v>4917</v>
      </c>
      <c r="L373" s="125" t="s">
        <v>6467</v>
      </c>
      <c r="M373" s="128" t="str">
        <f t="shared" si="31"/>
        <v>SERNA FERNANDEZ ULISES</v>
      </c>
      <c r="N373" s="128" t="s">
        <v>7097</v>
      </c>
      <c r="O373" s="128" t="s">
        <v>5121</v>
      </c>
      <c r="P373" s="125" t="s">
        <v>1953</v>
      </c>
      <c r="Q373" s="112">
        <v>38010</v>
      </c>
      <c r="R373" s="125">
        <f t="shared" si="32"/>
        <v>24</v>
      </c>
      <c r="S373" s="125">
        <f t="shared" si="33"/>
        <v>1</v>
      </c>
      <c r="T373" s="125">
        <f t="shared" si="34"/>
        <v>2004</v>
      </c>
      <c r="U373" s="142">
        <f t="shared" ca="1" si="35"/>
        <v>22.731506849315068</v>
      </c>
      <c r="V373" s="128"/>
      <c r="W373" s="128"/>
      <c r="X373" s="125"/>
      <c r="Y373" s="109" t="s">
        <v>117</v>
      </c>
      <c r="Z373" s="109" t="s">
        <v>153</v>
      </c>
      <c r="AA373" s="109" t="s">
        <v>347</v>
      </c>
      <c r="AB373" s="109" t="s">
        <v>842</v>
      </c>
      <c r="AC373" s="110"/>
      <c r="AD373" s="110"/>
      <c r="AE373" s="110"/>
      <c r="AF373" s="128"/>
      <c r="AG373" s="125"/>
      <c r="AH373" s="110"/>
      <c r="AI373" s="110"/>
      <c r="AJ373" s="110"/>
      <c r="AK373" s="125" t="s">
        <v>5130</v>
      </c>
      <c r="AL373" s="110"/>
      <c r="AM373" s="110"/>
      <c r="AN373" s="110"/>
      <c r="AO373" s="110"/>
      <c r="AP373" s="110"/>
      <c r="AQ373" s="110"/>
      <c r="AR373" s="125"/>
      <c r="AS373" s="125"/>
      <c r="AT373" s="110"/>
      <c r="AU373" s="110"/>
      <c r="AV373" s="125"/>
      <c r="AW373" s="125"/>
      <c r="AX373" s="125" t="s">
        <v>329</v>
      </c>
      <c r="AY373" s="110"/>
      <c r="AZ373" s="110"/>
      <c r="BA373" s="110"/>
      <c r="BB373" s="110"/>
      <c r="BC373" s="110"/>
      <c r="BD373" s="110"/>
      <c r="BE373" s="110"/>
      <c r="BF373" s="110"/>
      <c r="BG373" s="125"/>
      <c r="BH373" s="110"/>
      <c r="BI373" s="110"/>
      <c r="BJ373" s="110"/>
      <c r="BK373" s="110"/>
      <c r="BL373" s="110"/>
      <c r="BM373" s="110"/>
      <c r="BN373" s="110"/>
      <c r="BO373" s="110"/>
      <c r="BP373" s="110"/>
      <c r="BQ373" s="110"/>
      <c r="BR373" s="110"/>
      <c r="BS373" s="110"/>
      <c r="BT373" s="110"/>
      <c r="BU373" s="110"/>
      <c r="BV373" s="110"/>
      <c r="BW373" s="110"/>
      <c r="BX373" s="110"/>
      <c r="BY373" s="110"/>
      <c r="BZ373" s="110"/>
      <c r="CA373" s="110"/>
      <c r="CB373" s="109"/>
      <c r="CC373" s="109"/>
      <c r="CD373" s="110"/>
    </row>
    <row r="374" spans="1:82" s="116" customFormat="1" ht="13.9" customHeight="1" x14ac:dyDescent="0.25">
      <c r="A374" s="125">
        <v>898</v>
      </c>
      <c r="B374" s="125" t="s">
        <v>5116</v>
      </c>
      <c r="C374" s="110" t="s">
        <v>335</v>
      </c>
      <c r="D374" s="111" t="s">
        <v>86</v>
      </c>
      <c r="E374" s="111" t="s">
        <v>6692</v>
      </c>
      <c r="F374" s="127">
        <v>45853</v>
      </c>
      <c r="G374" s="127">
        <v>45853</v>
      </c>
      <c r="H374" s="113">
        <v>45943</v>
      </c>
      <c r="I374" s="113" t="s">
        <v>290</v>
      </c>
      <c r="J374" s="125" t="s">
        <v>6086</v>
      </c>
      <c r="K374" s="125" t="s">
        <v>4312</v>
      </c>
      <c r="L374" s="125" t="s">
        <v>706</v>
      </c>
      <c r="M374" s="128" t="str">
        <f t="shared" si="31"/>
        <v>IZAGUIRRE SANTILLAN MIGUEL ANGEL</v>
      </c>
      <c r="N374" s="128" t="s">
        <v>7098</v>
      </c>
      <c r="O374" s="128" t="s">
        <v>5122</v>
      </c>
      <c r="P374" s="125" t="s">
        <v>1953</v>
      </c>
      <c r="Q374" s="112">
        <v>36718</v>
      </c>
      <c r="R374" s="125">
        <f t="shared" si="32"/>
        <v>11</v>
      </c>
      <c r="S374" s="125">
        <f t="shared" si="33"/>
        <v>7</v>
      </c>
      <c r="T374" s="125">
        <f t="shared" si="34"/>
        <v>2000</v>
      </c>
      <c r="U374" s="142">
        <f t="shared" ca="1" si="35"/>
        <v>26.271232876712329</v>
      </c>
      <c r="V374" s="128"/>
      <c r="W374" s="128"/>
      <c r="X374" s="125"/>
      <c r="Y374" s="109" t="s">
        <v>117</v>
      </c>
      <c r="Z374" s="109" t="s">
        <v>153</v>
      </c>
      <c r="AA374" s="109" t="s">
        <v>347</v>
      </c>
      <c r="AB374" s="109" t="s">
        <v>842</v>
      </c>
      <c r="AC374" s="110"/>
      <c r="AD374" s="110"/>
      <c r="AE374" s="110"/>
      <c r="AF374" s="128"/>
      <c r="AG374" s="125"/>
      <c r="AH374" s="110"/>
      <c r="AI374" s="110"/>
      <c r="AJ374" s="110"/>
      <c r="AK374" s="125" t="s">
        <v>5131</v>
      </c>
      <c r="AL374" s="95" t="s">
        <v>5132</v>
      </c>
      <c r="AM374" s="110"/>
      <c r="AN374" s="110"/>
      <c r="AO374" s="110"/>
      <c r="AP374" s="110"/>
      <c r="AQ374" s="110"/>
      <c r="AR374" s="125"/>
      <c r="AS374" s="125"/>
      <c r="AT374" s="110"/>
      <c r="AU374" s="110"/>
      <c r="AV374" s="125"/>
      <c r="AW374" s="125"/>
      <c r="AX374" s="125" t="s">
        <v>329</v>
      </c>
      <c r="AY374" s="110"/>
      <c r="AZ374" s="110"/>
      <c r="BA374" s="110"/>
      <c r="BB374" s="110"/>
      <c r="BC374" s="110"/>
      <c r="BD374" s="110"/>
      <c r="BE374" s="110"/>
      <c r="BF374" s="110"/>
      <c r="BG374" s="125"/>
      <c r="BH374" s="110"/>
      <c r="BI374" s="110"/>
      <c r="BJ374" s="110"/>
      <c r="BK374" s="110"/>
      <c r="BL374" s="110"/>
      <c r="BM374" s="110"/>
      <c r="BN374" s="110"/>
      <c r="BO374" s="110"/>
      <c r="BP374" s="110"/>
      <c r="BQ374" s="110"/>
      <c r="BR374" s="110"/>
      <c r="BS374" s="110"/>
      <c r="BT374" s="110"/>
      <c r="BU374" s="110"/>
      <c r="BV374" s="110"/>
      <c r="BW374" s="110"/>
      <c r="BX374" s="110"/>
      <c r="BY374" s="110"/>
      <c r="BZ374" s="110"/>
      <c r="CA374" s="110"/>
      <c r="CB374" s="109"/>
      <c r="CC374" s="109"/>
      <c r="CD374" s="110"/>
    </row>
    <row r="375" spans="1:82" s="116" customFormat="1" ht="13.9" customHeight="1" x14ac:dyDescent="0.25">
      <c r="A375" s="125">
        <v>899</v>
      </c>
      <c r="B375" s="125" t="s">
        <v>5117</v>
      </c>
      <c r="C375" s="110" t="s">
        <v>335</v>
      </c>
      <c r="D375" s="125" t="s">
        <v>140</v>
      </c>
      <c r="E375" s="111" t="s">
        <v>6693</v>
      </c>
      <c r="F375" s="127">
        <v>45854</v>
      </c>
      <c r="G375" s="127">
        <v>45854</v>
      </c>
      <c r="H375" s="113">
        <v>45944</v>
      </c>
      <c r="I375" s="113" t="s">
        <v>291</v>
      </c>
      <c r="J375" s="125" t="s">
        <v>1280</v>
      </c>
      <c r="K375" s="125" t="s">
        <v>6453</v>
      </c>
      <c r="L375" s="125" t="s">
        <v>6468</v>
      </c>
      <c r="M375" s="128" t="str">
        <f t="shared" si="31"/>
        <v>RAMIREZ URQUIZA ERIKA</v>
      </c>
      <c r="N375" s="128" t="s">
        <v>7099</v>
      </c>
      <c r="O375" s="128" t="s">
        <v>5123</v>
      </c>
      <c r="P375" s="125" t="s">
        <v>1954</v>
      </c>
      <c r="Q375" s="112">
        <v>32714</v>
      </c>
      <c r="R375" s="125">
        <f t="shared" si="32"/>
        <v>25</v>
      </c>
      <c r="S375" s="125">
        <f t="shared" si="33"/>
        <v>7</v>
      </c>
      <c r="T375" s="125">
        <f t="shared" si="34"/>
        <v>1989</v>
      </c>
      <c r="U375" s="142">
        <f t="shared" ca="1" si="35"/>
        <v>37.241095890410961</v>
      </c>
      <c r="V375" s="128"/>
      <c r="W375" s="128"/>
      <c r="X375" s="125"/>
      <c r="Y375" s="120" t="s">
        <v>235</v>
      </c>
      <c r="Z375" s="109" t="s">
        <v>238</v>
      </c>
      <c r="AA375" s="109" t="s">
        <v>636</v>
      </c>
      <c r="AB375" s="109" t="s">
        <v>934</v>
      </c>
      <c r="AC375" s="110"/>
      <c r="AD375" s="110"/>
      <c r="AE375" s="110"/>
      <c r="AF375" s="128"/>
      <c r="AG375" s="125"/>
      <c r="AH375" s="110"/>
      <c r="AI375" s="110"/>
      <c r="AJ375" s="110"/>
      <c r="AK375" s="125" t="s">
        <v>5133</v>
      </c>
      <c r="AL375" s="95" t="s">
        <v>5134</v>
      </c>
      <c r="AM375" s="110"/>
      <c r="AN375" s="110"/>
      <c r="AO375" s="110"/>
      <c r="AP375" s="110"/>
      <c r="AQ375" s="110"/>
      <c r="AR375" s="125"/>
      <c r="AS375" s="125"/>
      <c r="AT375" s="110"/>
      <c r="AU375" s="110"/>
      <c r="AV375" s="125"/>
      <c r="AW375" s="125"/>
      <c r="AX375" s="125" t="s">
        <v>329</v>
      </c>
      <c r="AY375" s="110"/>
      <c r="AZ375" s="110"/>
      <c r="BA375" s="110"/>
      <c r="BB375" s="110"/>
      <c r="BC375" s="110"/>
      <c r="BD375" s="110"/>
      <c r="BE375" s="110"/>
      <c r="BF375" s="110"/>
      <c r="BG375" s="125"/>
      <c r="BH375" s="110"/>
      <c r="BI375" s="110"/>
      <c r="BJ375" s="110"/>
      <c r="BK375" s="110"/>
      <c r="BL375" s="110"/>
      <c r="BM375" s="110"/>
      <c r="BN375" s="110"/>
      <c r="BO375" s="110"/>
      <c r="BP375" s="110"/>
      <c r="BQ375" s="110"/>
      <c r="BR375" s="110"/>
      <c r="BS375" s="110"/>
      <c r="BT375" s="110"/>
      <c r="BU375" s="110"/>
      <c r="BV375" s="110"/>
      <c r="BW375" s="110"/>
      <c r="BX375" s="110"/>
      <c r="BY375" s="110"/>
      <c r="BZ375" s="110"/>
      <c r="CA375" s="110"/>
      <c r="CB375" s="109"/>
      <c r="CC375" s="109"/>
      <c r="CD375" s="110"/>
    </row>
    <row r="376" spans="1:82" ht="13.9" customHeight="1" x14ac:dyDescent="0.25">
      <c r="A376" s="77">
        <v>901</v>
      </c>
      <c r="B376" s="77" t="s">
        <v>5135</v>
      </c>
      <c r="C376" s="78" t="s">
        <v>564</v>
      </c>
      <c r="D376" s="107" t="s">
        <v>81</v>
      </c>
      <c r="E376" s="99" t="s">
        <v>6694</v>
      </c>
      <c r="F376" s="79">
        <v>45854</v>
      </c>
      <c r="G376" s="79">
        <v>45854</v>
      </c>
      <c r="H376" s="101">
        <f t="shared" ref="H376:H439" si="36">+G376+AE376</f>
        <v>45944</v>
      </c>
      <c r="I376" s="101" t="s">
        <v>290</v>
      </c>
      <c r="J376" s="77" t="s">
        <v>4388</v>
      </c>
      <c r="K376" s="77" t="s">
        <v>5155</v>
      </c>
      <c r="L376" s="77" t="s">
        <v>5156</v>
      </c>
      <c r="M376" s="102" t="str">
        <f t="shared" si="31"/>
        <v>SOTO VILLEGAS RODOLFO JAVIER</v>
      </c>
      <c r="N376" s="102" t="s">
        <v>7100</v>
      </c>
      <c r="O376" s="102" t="s">
        <v>5157</v>
      </c>
      <c r="P376" s="77" t="s">
        <v>1953</v>
      </c>
      <c r="Q376" s="100">
        <v>25977</v>
      </c>
      <c r="R376" s="77">
        <f t="shared" si="32"/>
        <v>13</v>
      </c>
      <c r="S376" s="77">
        <f t="shared" si="33"/>
        <v>2</v>
      </c>
      <c r="T376" s="77">
        <f t="shared" si="34"/>
        <v>1971</v>
      </c>
      <c r="U376" s="103">
        <f t="shared" ca="1" si="35"/>
        <v>55.698630136986303</v>
      </c>
      <c r="V376" s="102" t="s">
        <v>342</v>
      </c>
      <c r="W376" s="102" t="s">
        <v>5158</v>
      </c>
      <c r="X376" s="77" t="s">
        <v>472</v>
      </c>
      <c r="Y376" s="77" t="s">
        <v>115</v>
      </c>
      <c r="Z376" s="77" t="s">
        <v>260</v>
      </c>
      <c r="AA376" s="77" t="s">
        <v>532</v>
      </c>
      <c r="AB376" s="77" t="s">
        <v>574</v>
      </c>
      <c r="AC376" s="77" t="s">
        <v>313</v>
      </c>
      <c r="AD376" s="77" t="s">
        <v>314</v>
      </c>
      <c r="AE376" s="77">
        <v>90</v>
      </c>
      <c r="AF376" s="102" t="s">
        <v>710</v>
      </c>
      <c r="AG376" s="77" t="s">
        <v>290</v>
      </c>
      <c r="AH376" s="78" t="s">
        <v>575</v>
      </c>
      <c r="AI376" s="77" t="s">
        <v>317</v>
      </c>
      <c r="AJ376" s="77" t="s">
        <v>318</v>
      </c>
      <c r="AK376" s="77" t="s">
        <v>5159</v>
      </c>
      <c r="AL376" s="91" t="s">
        <v>5160</v>
      </c>
      <c r="AM376" s="77" t="s">
        <v>5161</v>
      </c>
      <c r="AN376" s="77" t="s">
        <v>381</v>
      </c>
      <c r="AO376" s="77" t="s">
        <v>327</v>
      </c>
      <c r="AP376" s="77" t="s">
        <v>398</v>
      </c>
      <c r="AQ376" s="77" t="s">
        <v>5162</v>
      </c>
      <c r="AR376" s="77" t="s">
        <v>5163</v>
      </c>
      <c r="AS376" s="77" t="s">
        <v>880</v>
      </c>
      <c r="AT376" s="77" t="s">
        <v>5164</v>
      </c>
      <c r="AU376" s="77" t="s">
        <v>5165</v>
      </c>
      <c r="AV376" s="77">
        <v>35150</v>
      </c>
      <c r="AW376" s="77" t="s">
        <v>3416</v>
      </c>
      <c r="AX376" s="77" t="s">
        <v>329</v>
      </c>
      <c r="AY376" s="77" t="s">
        <v>329</v>
      </c>
      <c r="AZ376" s="77"/>
      <c r="BA376" s="77"/>
      <c r="BB376" s="77"/>
      <c r="BC376" s="77"/>
      <c r="BD376" s="77" t="s">
        <v>5161</v>
      </c>
      <c r="BE376" s="77" t="s">
        <v>381</v>
      </c>
      <c r="BF376" s="77" t="s">
        <v>5166</v>
      </c>
      <c r="BG376" s="77" t="s">
        <v>333</v>
      </c>
      <c r="BH376" s="77" t="s">
        <v>334</v>
      </c>
      <c r="BI376" s="77">
        <v>1</v>
      </c>
      <c r="BJ376" s="77"/>
      <c r="BK376" s="77" t="s">
        <v>571</v>
      </c>
      <c r="BL376" s="77" t="s">
        <v>3922</v>
      </c>
      <c r="BM376" s="77"/>
      <c r="BN376" s="77"/>
      <c r="BO376" s="77"/>
      <c r="BP376" s="77"/>
      <c r="BQ376" s="77"/>
      <c r="BR376" s="77"/>
      <c r="BS376" s="77"/>
      <c r="BT376" s="77"/>
      <c r="BU376" s="77"/>
      <c r="BV376" s="77"/>
      <c r="BW376" s="77"/>
      <c r="BX376" s="77"/>
      <c r="BY376" s="77"/>
      <c r="BZ376" s="77"/>
      <c r="CA376" s="77"/>
      <c r="CB376" s="12"/>
      <c r="CC376" s="12"/>
      <c r="CD376" s="78"/>
    </row>
    <row r="377" spans="1:82" ht="13.9" customHeight="1" x14ac:dyDescent="0.25">
      <c r="A377" s="77">
        <v>900</v>
      </c>
      <c r="B377" s="77" t="s">
        <v>5118</v>
      </c>
      <c r="C377" s="78" t="s">
        <v>335</v>
      </c>
      <c r="D377" s="77" t="s">
        <v>161</v>
      </c>
      <c r="E377" s="99" t="s">
        <v>6695</v>
      </c>
      <c r="F377" s="79">
        <v>45856</v>
      </c>
      <c r="G377" s="79">
        <v>45856</v>
      </c>
      <c r="H377" s="101">
        <f t="shared" si="36"/>
        <v>45946</v>
      </c>
      <c r="I377" s="101" t="s">
        <v>290</v>
      </c>
      <c r="J377" s="77" t="s">
        <v>384</v>
      </c>
      <c r="K377" s="77" t="s">
        <v>793</v>
      </c>
      <c r="L377" s="77" t="s">
        <v>5147</v>
      </c>
      <c r="M377" s="102" t="str">
        <f t="shared" si="31"/>
        <v>SANCHEZ LOPEZ OSCAR DAVID</v>
      </c>
      <c r="N377" s="102" t="s">
        <v>7101</v>
      </c>
      <c r="O377" s="102" t="s">
        <v>5148</v>
      </c>
      <c r="P377" s="77" t="s">
        <v>1953</v>
      </c>
      <c r="Q377" s="100">
        <v>27195</v>
      </c>
      <c r="R377" s="77">
        <f t="shared" si="32"/>
        <v>15</v>
      </c>
      <c r="S377" s="77">
        <f t="shared" si="33"/>
        <v>6</v>
      </c>
      <c r="T377" s="77">
        <f t="shared" si="34"/>
        <v>1974</v>
      </c>
      <c r="U377" s="103">
        <f t="shared" ca="1" si="35"/>
        <v>52.361643835616441</v>
      </c>
      <c r="V377" s="102" t="s">
        <v>342</v>
      </c>
      <c r="W377" s="102" t="s">
        <v>5149</v>
      </c>
      <c r="X377" s="77" t="s">
        <v>472</v>
      </c>
      <c r="Y377" s="12" t="s">
        <v>168</v>
      </c>
      <c r="Z377" s="12" t="s">
        <v>164</v>
      </c>
      <c r="AA377" s="12" t="s">
        <v>347</v>
      </c>
      <c r="AB377" s="12" t="s">
        <v>2297</v>
      </c>
      <c r="AC377" s="77" t="s">
        <v>313</v>
      </c>
      <c r="AD377" s="12" t="s">
        <v>314</v>
      </c>
      <c r="AE377" s="77">
        <v>90</v>
      </c>
      <c r="AF377" s="13" t="s">
        <v>2330</v>
      </c>
      <c r="AG377" s="12" t="s">
        <v>290</v>
      </c>
      <c r="AH377" s="78" t="s">
        <v>2343</v>
      </c>
      <c r="AI377" s="12" t="s">
        <v>317</v>
      </c>
      <c r="AJ377" s="12" t="s">
        <v>318</v>
      </c>
      <c r="AK377" s="78">
        <v>4811475131</v>
      </c>
      <c r="AL377" s="91" t="s">
        <v>5150</v>
      </c>
      <c r="AM377" s="77" t="s">
        <v>5151</v>
      </c>
      <c r="AN377" s="77" t="s">
        <v>381</v>
      </c>
      <c r="AO377" s="77" t="s">
        <v>398</v>
      </c>
      <c r="AP377" s="77" t="s">
        <v>398</v>
      </c>
      <c r="AQ377" s="77" t="s">
        <v>5152</v>
      </c>
      <c r="AR377" s="77">
        <v>74</v>
      </c>
      <c r="AS377" s="77" t="s">
        <v>880</v>
      </c>
      <c r="AT377" s="77" t="s">
        <v>3376</v>
      </c>
      <c r="AU377" s="77" t="s">
        <v>483</v>
      </c>
      <c r="AV377" s="77">
        <v>79050</v>
      </c>
      <c r="AW377" s="12" t="s">
        <v>3416</v>
      </c>
      <c r="AX377" s="77" t="s">
        <v>329</v>
      </c>
      <c r="AY377" s="12" t="s">
        <v>329</v>
      </c>
      <c r="AZ377" s="78"/>
      <c r="BA377" s="78"/>
      <c r="BB377" s="78"/>
      <c r="BC377" s="78"/>
      <c r="BD377" s="77" t="s">
        <v>5153</v>
      </c>
      <c r="BE377" s="77" t="s">
        <v>3175</v>
      </c>
      <c r="BF377" s="77" t="s">
        <v>5154</v>
      </c>
      <c r="BG377" s="77" t="s">
        <v>1093</v>
      </c>
      <c r="BH377" s="77" t="s">
        <v>334</v>
      </c>
      <c r="BI377" s="77">
        <v>1</v>
      </c>
      <c r="BJ377" s="77"/>
      <c r="BK377" s="77" t="s">
        <v>571</v>
      </c>
      <c r="BL377" s="77">
        <v>2</v>
      </c>
      <c r="BM377" s="78"/>
      <c r="BN377" s="78"/>
      <c r="BO377" s="78"/>
      <c r="BP377" s="78"/>
      <c r="BQ377" s="78"/>
      <c r="BR377" s="78"/>
      <c r="BS377" s="78"/>
      <c r="BT377" s="78"/>
      <c r="BU377" s="78"/>
      <c r="BV377" s="78"/>
      <c r="BW377" s="78"/>
      <c r="BX377" s="78"/>
      <c r="BY377" s="78"/>
      <c r="BZ377" s="78"/>
      <c r="CA377" s="78"/>
      <c r="CB377" s="12"/>
      <c r="CC377" s="12"/>
      <c r="CD377" s="78"/>
    </row>
    <row r="378" spans="1:82" s="116" customFormat="1" ht="13.9" customHeight="1" x14ac:dyDescent="0.2">
      <c r="A378" s="109">
        <v>735</v>
      </c>
      <c r="B378" s="109" t="s">
        <v>4000</v>
      </c>
      <c r="C378" s="115" t="s">
        <v>564</v>
      </c>
      <c r="D378" s="109" t="s">
        <v>81</v>
      </c>
      <c r="E378" s="111" t="s">
        <v>6610</v>
      </c>
      <c r="F378" s="127">
        <v>45859</v>
      </c>
      <c r="G378" s="127">
        <v>45859</v>
      </c>
      <c r="H378" s="113">
        <f t="shared" si="36"/>
        <v>45949</v>
      </c>
      <c r="I378" s="113" t="s">
        <v>290</v>
      </c>
      <c r="J378" s="109" t="s">
        <v>4327</v>
      </c>
      <c r="K378" s="109" t="s">
        <v>4317</v>
      </c>
      <c r="L378" s="125" t="s">
        <v>1725</v>
      </c>
      <c r="M378" s="128" t="str">
        <f t="shared" si="31"/>
        <v>VARGAS DIAZ PRUDENCIO</v>
      </c>
      <c r="N378" s="128" t="s">
        <v>7016</v>
      </c>
      <c r="O378" s="128" t="s">
        <v>4582</v>
      </c>
      <c r="P378" s="109" t="s">
        <v>1953</v>
      </c>
      <c r="Q378" s="112">
        <v>31895</v>
      </c>
      <c r="R378" s="125">
        <f t="shared" si="32"/>
        <v>28</v>
      </c>
      <c r="S378" s="125">
        <f t="shared" si="33"/>
        <v>4</v>
      </c>
      <c r="T378" s="125">
        <f t="shared" si="34"/>
        <v>1987</v>
      </c>
      <c r="U378" s="142">
        <f t="shared" ca="1" si="35"/>
        <v>39.484931506849314</v>
      </c>
      <c r="V378" s="114" t="s">
        <v>342</v>
      </c>
      <c r="W378" s="114" t="s">
        <v>1993</v>
      </c>
      <c r="X378" s="109" t="s">
        <v>454</v>
      </c>
      <c r="Y378" s="109" t="s">
        <v>83</v>
      </c>
      <c r="Z378" s="109" t="s">
        <v>84</v>
      </c>
      <c r="AA378" s="109" t="s">
        <v>532</v>
      </c>
      <c r="AB378" s="109" t="s">
        <v>574</v>
      </c>
      <c r="AC378" s="109" t="s">
        <v>313</v>
      </c>
      <c r="AD378" s="109" t="s">
        <v>314</v>
      </c>
      <c r="AE378" s="109">
        <v>90</v>
      </c>
      <c r="AF378" s="114" t="s">
        <v>710</v>
      </c>
      <c r="AG378" s="109" t="s">
        <v>290</v>
      </c>
      <c r="AH378" s="110" t="s">
        <v>575</v>
      </c>
      <c r="AI378" s="109" t="s">
        <v>317</v>
      </c>
      <c r="AJ378" s="109" t="s">
        <v>318</v>
      </c>
      <c r="AK378" s="109">
        <v>6311097416</v>
      </c>
      <c r="AL378" s="115" t="s">
        <v>2900</v>
      </c>
      <c r="AM378" s="109" t="s">
        <v>2382</v>
      </c>
      <c r="AN378" s="109" t="s">
        <v>381</v>
      </c>
      <c r="AO378" s="109" t="s">
        <v>327</v>
      </c>
      <c r="AP378" s="110" t="s">
        <v>398</v>
      </c>
      <c r="AQ378" s="109" t="s">
        <v>5178</v>
      </c>
      <c r="AR378" s="109">
        <v>6</v>
      </c>
      <c r="AS378" s="109" t="s">
        <v>328</v>
      </c>
      <c r="AT378" s="109" t="s">
        <v>3378</v>
      </c>
      <c r="AU378" s="109" t="s">
        <v>1066</v>
      </c>
      <c r="AV378" s="109">
        <v>53790</v>
      </c>
      <c r="AW378" s="125" t="s">
        <v>3416</v>
      </c>
      <c r="AX378" s="125" t="s">
        <v>329</v>
      </c>
      <c r="AY378" s="125" t="s">
        <v>329</v>
      </c>
      <c r="AZ378" s="110"/>
      <c r="BA378" s="110"/>
      <c r="BB378" s="110"/>
      <c r="BC378" s="110"/>
      <c r="BD378" s="109" t="s">
        <v>2382</v>
      </c>
      <c r="BE378" s="109" t="s">
        <v>381</v>
      </c>
      <c r="BF378" s="109">
        <v>3334611582</v>
      </c>
      <c r="BG378" s="109" t="s">
        <v>333</v>
      </c>
      <c r="BH378" s="109" t="s">
        <v>334</v>
      </c>
      <c r="BI378" s="109">
        <v>3</v>
      </c>
      <c r="BJ378" s="109" t="s">
        <v>3888</v>
      </c>
      <c r="BK378" s="109" t="s">
        <v>571</v>
      </c>
      <c r="BL378" s="125">
        <v>12</v>
      </c>
      <c r="BM378" s="125"/>
      <c r="BN378" s="109" t="s">
        <v>571</v>
      </c>
      <c r="BO378" s="125">
        <v>10</v>
      </c>
      <c r="BP378" s="125"/>
      <c r="BQ378" s="109" t="s">
        <v>3911</v>
      </c>
      <c r="BR378" s="109">
        <v>3</v>
      </c>
      <c r="BS378" s="110"/>
      <c r="BT378" s="110"/>
      <c r="BU378" s="110"/>
      <c r="BV378" s="110"/>
      <c r="BW378" s="110"/>
      <c r="BX378" s="110"/>
      <c r="BY378" s="110"/>
      <c r="BZ378" s="110"/>
      <c r="CA378" s="110"/>
      <c r="CB378" s="109"/>
      <c r="CC378" s="109"/>
      <c r="CD378" s="110"/>
    </row>
    <row r="379" spans="1:82" s="116" customFormat="1" ht="13.9" customHeight="1" x14ac:dyDescent="0.25">
      <c r="A379" s="125">
        <v>902</v>
      </c>
      <c r="B379" s="125" t="s">
        <v>5136</v>
      </c>
      <c r="C379" s="110" t="s">
        <v>335</v>
      </c>
      <c r="D379" s="125" t="s">
        <v>116</v>
      </c>
      <c r="E379" s="111" t="s">
        <v>6696</v>
      </c>
      <c r="F379" s="127">
        <v>45859</v>
      </c>
      <c r="G379" s="127">
        <v>45859</v>
      </c>
      <c r="H379" s="113">
        <f t="shared" si="36"/>
        <v>45949</v>
      </c>
      <c r="I379" s="113" t="s">
        <v>291</v>
      </c>
      <c r="J379" s="125" t="s">
        <v>507</v>
      </c>
      <c r="K379" s="125" t="s">
        <v>1044</v>
      </c>
      <c r="L379" s="125" t="s">
        <v>5167</v>
      </c>
      <c r="M379" s="128" t="str">
        <f t="shared" si="31"/>
        <v>MARTINEZ RODRIGUEZ YAREHT LIZETTE</v>
      </c>
      <c r="N379" s="128" t="s">
        <v>7102</v>
      </c>
      <c r="O379" s="128" t="s">
        <v>5168</v>
      </c>
      <c r="P379" s="125" t="s">
        <v>1954</v>
      </c>
      <c r="Q379" s="112">
        <v>31657</v>
      </c>
      <c r="R379" s="125">
        <f t="shared" si="32"/>
        <v>2</v>
      </c>
      <c r="S379" s="125">
        <f t="shared" si="33"/>
        <v>9</v>
      </c>
      <c r="T379" s="125">
        <f t="shared" si="34"/>
        <v>1986</v>
      </c>
      <c r="U379" s="142">
        <f t="shared" ca="1" si="35"/>
        <v>40.136986301369866</v>
      </c>
      <c r="V379" s="128" t="s">
        <v>452</v>
      </c>
      <c r="W379" s="128" t="s">
        <v>5169</v>
      </c>
      <c r="X379" s="125" t="s">
        <v>310</v>
      </c>
      <c r="Y379" s="125" t="s">
        <v>216</v>
      </c>
      <c r="Z379" s="109" t="s">
        <v>214</v>
      </c>
      <c r="AA379" s="109" t="s">
        <v>857</v>
      </c>
      <c r="AB379" s="109" t="s">
        <v>2306</v>
      </c>
      <c r="AC379" s="109" t="s">
        <v>313</v>
      </c>
      <c r="AD379" s="109" t="s">
        <v>314</v>
      </c>
      <c r="AE379" s="109">
        <v>90</v>
      </c>
      <c r="AF379" s="114" t="s">
        <v>350</v>
      </c>
      <c r="AG379" s="125" t="s">
        <v>291</v>
      </c>
      <c r="AH379" s="110" t="s">
        <v>351</v>
      </c>
      <c r="AI379" s="125" t="s">
        <v>317</v>
      </c>
      <c r="AJ379" s="125" t="s">
        <v>318</v>
      </c>
      <c r="AK379" s="125" t="s">
        <v>5170</v>
      </c>
      <c r="AL379" s="95" t="s">
        <v>5171</v>
      </c>
      <c r="AM379" s="125" t="s">
        <v>5172</v>
      </c>
      <c r="AN379" s="125" t="s">
        <v>560</v>
      </c>
      <c r="AO379" s="125" t="s">
        <v>327</v>
      </c>
      <c r="AP379" s="125" t="s">
        <v>398</v>
      </c>
      <c r="AQ379" s="125" t="s">
        <v>5173</v>
      </c>
      <c r="AR379" s="125" t="s">
        <v>5174</v>
      </c>
      <c r="AS379" s="125" t="s">
        <v>880</v>
      </c>
      <c r="AT379" s="125" t="s">
        <v>985</v>
      </c>
      <c r="AU379" s="125" t="s">
        <v>985</v>
      </c>
      <c r="AV379" s="125">
        <v>28030</v>
      </c>
      <c r="AW379" s="125" t="s">
        <v>3416</v>
      </c>
      <c r="AX379" s="125" t="s">
        <v>329</v>
      </c>
      <c r="AY379" s="125" t="s">
        <v>329</v>
      </c>
      <c r="AZ379" s="110"/>
      <c r="BA379" s="110"/>
      <c r="BB379" s="110"/>
      <c r="BC379" s="110"/>
      <c r="BD379" s="125" t="s">
        <v>5172</v>
      </c>
      <c r="BE379" s="125" t="s">
        <v>560</v>
      </c>
      <c r="BF379" s="125" t="s">
        <v>5175</v>
      </c>
      <c r="BG379" s="125" t="s">
        <v>333</v>
      </c>
      <c r="BH379" s="109" t="s">
        <v>334</v>
      </c>
      <c r="BI379" s="125">
        <v>3</v>
      </c>
      <c r="BJ379" s="125"/>
      <c r="BK379" s="109" t="s">
        <v>571</v>
      </c>
      <c r="BL379" s="111" t="s">
        <v>3959</v>
      </c>
      <c r="BM379" s="110"/>
      <c r="BN379" s="109" t="s">
        <v>3911</v>
      </c>
      <c r="BO379" s="125" t="s">
        <v>5176</v>
      </c>
      <c r="BP379" s="110"/>
      <c r="BQ379" s="109" t="s">
        <v>571</v>
      </c>
      <c r="BR379" s="125" t="s">
        <v>5177</v>
      </c>
      <c r="BS379" s="110"/>
      <c r="BT379" s="110"/>
      <c r="BU379" s="110"/>
      <c r="BV379" s="110"/>
      <c r="BW379" s="110"/>
      <c r="BX379" s="110"/>
      <c r="BY379" s="110"/>
      <c r="BZ379" s="110"/>
      <c r="CA379" s="110"/>
      <c r="CB379" s="109"/>
      <c r="CC379" s="109"/>
      <c r="CD379" s="110"/>
    </row>
    <row r="380" spans="1:82" s="116" customFormat="1" ht="13.9" customHeight="1" x14ac:dyDescent="0.2">
      <c r="A380" s="125">
        <v>859</v>
      </c>
      <c r="B380" s="125" t="s">
        <v>4007</v>
      </c>
      <c r="C380" s="115" t="s">
        <v>564</v>
      </c>
      <c r="D380" s="109" t="s">
        <v>81</v>
      </c>
      <c r="E380" s="111" t="s">
        <v>6660</v>
      </c>
      <c r="F380" s="127">
        <v>45860</v>
      </c>
      <c r="G380" s="127">
        <v>45860</v>
      </c>
      <c r="H380" s="113">
        <f t="shared" si="36"/>
        <v>45950</v>
      </c>
      <c r="I380" s="113" t="s">
        <v>290</v>
      </c>
      <c r="J380" s="125" t="s">
        <v>5182</v>
      </c>
      <c r="K380" s="125" t="s">
        <v>4455</v>
      </c>
      <c r="L380" s="125" t="s">
        <v>1733</v>
      </c>
      <c r="M380" s="128" t="str">
        <f t="shared" si="31"/>
        <v>FLORES  UDAVE JUAN LUIS</v>
      </c>
      <c r="N380" s="128" t="s">
        <v>7067</v>
      </c>
      <c r="O380" s="128" t="s">
        <v>4591</v>
      </c>
      <c r="P380" s="109" t="s">
        <v>1953</v>
      </c>
      <c r="Q380" s="112">
        <v>34711</v>
      </c>
      <c r="R380" s="125">
        <f t="shared" si="32"/>
        <v>12</v>
      </c>
      <c r="S380" s="125">
        <f t="shared" si="33"/>
        <v>1</v>
      </c>
      <c r="T380" s="125">
        <f t="shared" si="34"/>
        <v>1995</v>
      </c>
      <c r="U380" s="142">
        <f t="shared" ca="1" si="35"/>
        <v>31.769863013698629</v>
      </c>
      <c r="V380" s="128" t="s">
        <v>814</v>
      </c>
      <c r="W380" s="128" t="s">
        <v>5183</v>
      </c>
      <c r="X380" s="109" t="s">
        <v>472</v>
      </c>
      <c r="Y380" s="109" t="s">
        <v>115</v>
      </c>
      <c r="Z380" s="109" t="s">
        <v>260</v>
      </c>
      <c r="AA380" s="109" t="s">
        <v>532</v>
      </c>
      <c r="AB380" s="109" t="s">
        <v>574</v>
      </c>
      <c r="AC380" s="109" t="s">
        <v>313</v>
      </c>
      <c r="AD380" s="109" t="s">
        <v>314</v>
      </c>
      <c r="AE380" s="109">
        <v>90</v>
      </c>
      <c r="AF380" s="114" t="s">
        <v>710</v>
      </c>
      <c r="AG380" s="109" t="s">
        <v>290</v>
      </c>
      <c r="AH380" s="110" t="s">
        <v>575</v>
      </c>
      <c r="AI380" s="109" t="s">
        <v>317</v>
      </c>
      <c r="AJ380" s="109" t="s">
        <v>318</v>
      </c>
      <c r="AK380" s="109">
        <v>3312522059</v>
      </c>
      <c r="AL380" s="115" t="s">
        <v>2909</v>
      </c>
      <c r="AM380" s="109" t="s">
        <v>2391</v>
      </c>
      <c r="AN380" s="125" t="s">
        <v>3175</v>
      </c>
      <c r="AO380" s="125" t="s">
        <v>398</v>
      </c>
      <c r="AP380" s="125" t="s">
        <v>398</v>
      </c>
      <c r="AQ380" s="109" t="s">
        <v>3217</v>
      </c>
      <c r="AR380" s="109" t="s">
        <v>3353</v>
      </c>
      <c r="AS380" s="109" t="s">
        <v>880</v>
      </c>
      <c r="AT380" s="109" t="s">
        <v>3379</v>
      </c>
      <c r="AU380" s="109" t="s">
        <v>583</v>
      </c>
      <c r="AV380" s="109">
        <v>49650</v>
      </c>
      <c r="AW380" s="125" t="s">
        <v>329</v>
      </c>
      <c r="AX380" s="125" t="s">
        <v>329</v>
      </c>
      <c r="AY380" s="125" t="s">
        <v>329</v>
      </c>
      <c r="AZ380" s="110"/>
      <c r="BA380" s="110"/>
      <c r="BB380" s="110"/>
      <c r="BC380" s="110"/>
      <c r="BD380" s="109" t="s">
        <v>3466</v>
      </c>
      <c r="BE380" s="109" t="s">
        <v>3175</v>
      </c>
      <c r="BF380" s="109">
        <v>3418795891</v>
      </c>
      <c r="BG380" s="109" t="s">
        <v>1406</v>
      </c>
      <c r="BH380" s="109" t="s">
        <v>334</v>
      </c>
      <c r="BI380" s="109">
        <v>1</v>
      </c>
      <c r="BJ380" s="125" t="s">
        <v>3888</v>
      </c>
      <c r="BK380" s="109" t="s">
        <v>3911</v>
      </c>
      <c r="BL380" s="111">
        <v>3</v>
      </c>
      <c r="BM380" s="110"/>
      <c r="BN380" s="110"/>
      <c r="BO380" s="110"/>
      <c r="BP380" s="110"/>
      <c r="BQ380" s="110"/>
      <c r="BR380" s="110"/>
      <c r="BS380" s="110"/>
      <c r="BT380" s="110"/>
      <c r="BU380" s="110"/>
      <c r="BV380" s="110"/>
      <c r="BW380" s="110"/>
      <c r="BX380" s="110"/>
      <c r="BY380" s="110"/>
      <c r="BZ380" s="110"/>
      <c r="CA380" s="110"/>
      <c r="CB380" s="109"/>
      <c r="CC380" s="109"/>
      <c r="CD380" s="110"/>
    </row>
    <row r="381" spans="1:82" s="116" customFormat="1" ht="13.9" customHeight="1" x14ac:dyDescent="0.25">
      <c r="A381" s="125">
        <v>903</v>
      </c>
      <c r="B381" s="125" t="s">
        <v>5138</v>
      </c>
      <c r="C381" s="115" t="s">
        <v>564</v>
      </c>
      <c r="D381" s="109" t="s">
        <v>81</v>
      </c>
      <c r="E381" s="111" t="s">
        <v>6794</v>
      </c>
      <c r="F381" s="127">
        <v>45860</v>
      </c>
      <c r="G381" s="127">
        <v>45860</v>
      </c>
      <c r="H381" s="113">
        <f t="shared" si="36"/>
        <v>45950</v>
      </c>
      <c r="I381" s="113" t="s">
        <v>290</v>
      </c>
      <c r="J381" s="125" t="s">
        <v>5184</v>
      </c>
      <c r="K381" s="125" t="s">
        <v>489</v>
      </c>
      <c r="L381" s="125" t="s">
        <v>5185</v>
      </c>
      <c r="M381" s="128" t="str">
        <f t="shared" si="31"/>
        <v>TOSTADO  ACOSTA NAHUM ISAAC</v>
      </c>
      <c r="N381" s="128" t="s">
        <v>7208</v>
      </c>
      <c r="O381" s="128" t="s">
        <v>5186</v>
      </c>
      <c r="P381" s="125" t="s">
        <v>1953</v>
      </c>
      <c r="Q381" s="112">
        <v>38443</v>
      </c>
      <c r="R381" s="125">
        <f t="shared" si="32"/>
        <v>1</v>
      </c>
      <c r="S381" s="125">
        <f t="shared" si="33"/>
        <v>4</v>
      </c>
      <c r="T381" s="125">
        <f t="shared" si="34"/>
        <v>2005</v>
      </c>
      <c r="U381" s="142">
        <f t="shared" ca="1" si="35"/>
        <v>21.545205479452054</v>
      </c>
      <c r="V381" s="128" t="s">
        <v>389</v>
      </c>
      <c r="W381" s="128" t="s">
        <v>5187</v>
      </c>
      <c r="X381" s="125" t="s">
        <v>454</v>
      </c>
      <c r="Y381" s="109" t="s">
        <v>115</v>
      </c>
      <c r="Z381" s="109" t="s">
        <v>260</v>
      </c>
      <c r="AA381" s="109" t="s">
        <v>532</v>
      </c>
      <c r="AB381" s="109" t="s">
        <v>574</v>
      </c>
      <c r="AC381" s="109" t="s">
        <v>313</v>
      </c>
      <c r="AD381" s="109" t="s">
        <v>314</v>
      </c>
      <c r="AE381" s="109">
        <v>90</v>
      </c>
      <c r="AF381" s="114" t="s">
        <v>710</v>
      </c>
      <c r="AG381" s="109" t="s">
        <v>290</v>
      </c>
      <c r="AH381" s="110" t="s">
        <v>575</v>
      </c>
      <c r="AI381" s="109" t="s">
        <v>317</v>
      </c>
      <c r="AJ381" s="109" t="s">
        <v>318</v>
      </c>
      <c r="AK381" s="110" t="s">
        <v>5188</v>
      </c>
      <c r="AL381" s="95" t="s">
        <v>5189</v>
      </c>
      <c r="AM381" s="110" t="s">
        <v>5190</v>
      </c>
      <c r="AN381" s="125" t="s">
        <v>5038</v>
      </c>
      <c r="AO381" s="125" t="s">
        <v>398</v>
      </c>
      <c r="AP381" s="125" t="s">
        <v>398</v>
      </c>
      <c r="AQ381" s="125" t="s">
        <v>5191</v>
      </c>
      <c r="AR381" s="125">
        <v>76</v>
      </c>
      <c r="AS381" s="125" t="s">
        <v>880</v>
      </c>
      <c r="AT381" s="125" t="s">
        <v>1132</v>
      </c>
      <c r="AU381" s="125" t="s">
        <v>583</v>
      </c>
      <c r="AV381" s="125">
        <v>45235</v>
      </c>
      <c r="AW381" s="125" t="s">
        <v>329</v>
      </c>
      <c r="AX381" s="125" t="s">
        <v>329</v>
      </c>
      <c r="AY381" s="125" t="s">
        <v>329</v>
      </c>
      <c r="AZ381" s="110"/>
      <c r="BA381" s="110"/>
      <c r="BB381" s="110"/>
      <c r="BC381" s="110"/>
      <c r="BD381" s="125" t="s">
        <v>5190</v>
      </c>
      <c r="BE381" s="125" t="s">
        <v>5038</v>
      </c>
      <c r="BF381" s="125" t="s">
        <v>5192</v>
      </c>
      <c r="BG381" s="125" t="s">
        <v>488</v>
      </c>
      <c r="BH381" s="109" t="s">
        <v>334</v>
      </c>
      <c r="BI381" s="125" t="s">
        <v>398</v>
      </c>
      <c r="BJ381" s="125"/>
      <c r="BK381" s="110"/>
      <c r="BL381" s="110"/>
      <c r="BM381" s="110"/>
      <c r="BN381" s="110"/>
      <c r="BO381" s="110"/>
      <c r="BP381" s="110"/>
      <c r="BQ381" s="110"/>
      <c r="BR381" s="110"/>
      <c r="BS381" s="110"/>
      <c r="BT381" s="110"/>
      <c r="BU381" s="110"/>
      <c r="BV381" s="110"/>
      <c r="BW381" s="110"/>
      <c r="BX381" s="110"/>
      <c r="BY381" s="110"/>
      <c r="BZ381" s="110"/>
      <c r="CA381" s="110"/>
      <c r="CB381" s="109"/>
      <c r="CC381" s="109"/>
      <c r="CD381" s="110"/>
    </row>
    <row r="382" spans="1:82" s="116" customFormat="1" ht="13.9" customHeight="1" x14ac:dyDescent="0.2">
      <c r="A382" s="109">
        <v>801</v>
      </c>
      <c r="B382" s="109" t="s">
        <v>5137</v>
      </c>
      <c r="C382" s="115" t="s">
        <v>564</v>
      </c>
      <c r="D382" s="109" t="s">
        <v>81</v>
      </c>
      <c r="E382" s="111" t="s">
        <v>1518</v>
      </c>
      <c r="F382" s="127">
        <v>45862</v>
      </c>
      <c r="G382" s="127">
        <v>45862</v>
      </c>
      <c r="H382" s="113">
        <f t="shared" si="36"/>
        <v>45952</v>
      </c>
      <c r="I382" s="113" t="s">
        <v>290</v>
      </c>
      <c r="J382" s="109" t="s">
        <v>1519</v>
      </c>
      <c r="K382" s="109" t="s">
        <v>590</v>
      </c>
      <c r="L382" s="125" t="s">
        <v>1520</v>
      </c>
      <c r="M382" s="128" t="str">
        <f t="shared" si="31"/>
        <v>RUBIO  PEREZ JOSE ANACLETO</v>
      </c>
      <c r="N382" s="128" t="s">
        <v>1522</v>
      </c>
      <c r="O382" s="128" t="s">
        <v>1523</v>
      </c>
      <c r="P382" s="109" t="s">
        <v>1953</v>
      </c>
      <c r="Q382" s="112">
        <v>31149</v>
      </c>
      <c r="R382" s="125">
        <f t="shared" si="32"/>
        <v>12</v>
      </c>
      <c r="S382" s="125">
        <f t="shared" si="33"/>
        <v>4</v>
      </c>
      <c r="T382" s="125">
        <f t="shared" si="34"/>
        <v>1985</v>
      </c>
      <c r="U382" s="142">
        <f t="shared" ca="1" si="35"/>
        <v>41.528767123287672</v>
      </c>
      <c r="V382" s="114" t="s">
        <v>342</v>
      </c>
      <c r="W382" s="114" t="s">
        <v>5179</v>
      </c>
      <c r="X382" s="109" t="s">
        <v>454</v>
      </c>
      <c r="Y382" s="109" t="s">
        <v>1498</v>
      </c>
      <c r="Z382" s="109" t="s">
        <v>260</v>
      </c>
      <c r="AA382" s="109" t="s">
        <v>532</v>
      </c>
      <c r="AB382" s="109" t="s">
        <v>574</v>
      </c>
      <c r="AC382" s="109" t="s">
        <v>313</v>
      </c>
      <c r="AD382" s="109" t="s">
        <v>314</v>
      </c>
      <c r="AE382" s="109">
        <v>90</v>
      </c>
      <c r="AF382" s="114" t="s">
        <v>710</v>
      </c>
      <c r="AG382" s="109" t="s">
        <v>290</v>
      </c>
      <c r="AH382" s="110" t="s">
        <v>575</v>
      </c>
      <c r="AI382" s="109" t="s">
        <v>317</v>
      </c>
      <c r="AJ382" s="109" t="s">
        <v>318</v>
      </c>
      <c r="AK382" s="109" t="s">
        <v>5180</v>
      </c>
      <c r="AL382" s="115"/>
      <c r="AM382" s="109" t="s">
        <v>1527</v>
      </c>
      <c r="AN382" s="109" t="s">
        <v>560</v>
      </c>
      <c r="AO382" s="109" t="s">
        <v>327</v>
      </c>
      <c r="AP382" s="110" t="s">
        <v>398</v>
      </c>
      <c r="AQ382" s="109" t="s">
        <v>5181</v>
      </c>
      <c r="AR382" s="109">
        <v>2885</v>
      </c>
      <c r="AS382" s="109" t="s">
        <v>581</v>
      </c>
      <c r="AT382" s="109" t="s">
        <v>116</v>
      </c>
      <c r="AU382" s="109"/>
      <c r="AV382" s="109">
        <v>44490</v>
      </c>
      <c r="AW382" s="125" t="s">
        <v>329</v>
      </c>
      <c r="AX382" s="125" t="s">
        <v>329</v>
      </c>
      <c r="AY382" s="125" t="s">
        <v>329</v>
      </c>
      <c r="AZ382" s="110"/>
      <c r="BA382" s="110"/>
      <c r="BB382" s="110"/>
      <c r="BC382" s="110"/>
      <c r="BD382" s="109" t="s">
        <v>1530</v>
      </c>
      <c r="BE382" s="109" t="s">
        <v>1531</v>
      </c>
      <c r="BF382" s="109">
        <v>3317614894</v>
      </c>
      <c r="BG382" s="109" t="s">
        <v>333</v>
      </c>
      <c r="BH382" s="109" t="s">
        <v>334</v>
      </c>
      <c r="BI382" s="109">
        <v>3</v>
      </c>
      <c r="BJ382" s="109"/>
      <c r="BK382" s="109" t="s">
        <v>571</v>
      </c>
      <c r="BL382" s="125">
        <v>22</v>
      </c>
      <c r="BM382" s="125"/>
      <c r="BN382" s="109" t="s">
        <v>3911</v>
      </c>
      <c r="BO382" s="125">
        <v>18</v>
      </c>
      <c r="BP382" s="125"/>
      <c r="BQ382" s="109" t="s">
        <v>571</v>
      </c>
      <c r="BR382" s="109">
        <v>16</v>
      </c>
      <c r="BS382" s="110"/>
      <c r="BT382" s="110"/>
      <c r="BU382" s="110"/>
      <c r="BV382" s="110"/>
      <c r="BW382" s="110"/>
      <c r="BX382" s="110"/>
      <c r="BY382" s="110"/>
      <c r="BZ382" s="110"/>
      <c r="CA382" s="110"/>
      <c r="CB382" s="109"/>
      <c r="CC382" s="109"/>
      <c r="CD382" s="110"/>
    </row>
    <row r="383" spans="1:82" s="116" customFormat="1" ht="13.9" customHeight="1" x14ac:dyDescent="0.25">
      <c r="A383" s="125">
        <v>905</v>
      </c>
      <c r="B383" s="125" t="s">
        <v>5140</v>
      </c>
      <c r="C383" s="115" t="s">
        <v>564</v>
      </c>
      <c r="D383" s="109" t="s">
        <v>81</v>
      </c>
      <c r="E383" s="111" t="s">
        <v>6697</v>
      </c>
      <c r="F383" s="127">
        <v>45862</v>
      </c>
      <c r="G383" s="127">
        <v>45862</v>
      </c>
      <c r="H383" s="113">
        <f t="shared" si="36"/>
        <v>45952</v>
      </c>
      <c r="I383" s="113" t="s">
        <v>290</v>
      </c>
      <c r="J383" s="125" t="s">
        <v>1280</v>
      </c>
      <c r="K383" s="125" t="s">
        <v>1044</v>
      </c>
      <c r="L383" s="125" t="s">
        <v>1931</v>
      </c>
      <c r="M383" s="128" t="str">
        <f t="shared" si="31"/>
        <v>RAMIREZ RODRIGUEZ ENRIQUE</v>
      </c>
      <c r="N383" s="128" t="s">
        <v>7103</v>
      </c>
      <c r="O383" s="128" t="s">
        <v>7233</v>
      </c>
      <c r="P383" s="125" t="s">
        <v>1953</v>
      </c>
      <c r="Q383" s="112">
        <v>33221</v>
      </c>
      <c r="R383" s="125">
        <f t="shared" si="32"/>
        <v>14</v>
      </c>
      <c r="S383" s="125">
        <f t="shared" si="33"/>
        <v>12</v>
      </c>
      <c r="T383" s="125">
        <f t="shared" si="34"/>
        <v>1990</v>
      </c>
      <c r="U383" s="142">
        <f t="shared" ca="1" si="35"/>
        <v>35.852054794520548</v>
      </c>
      <c r="V383" s="128" t="s">
        <v>342</v>
      </c>
      <c r="W383" s="128" t="s">
        <v>5200</v>
      </c>
      <c r="X383" s="125" t="s">
        <v>454</v>
      </c>
      <c r="Y383" s="125" t="s">
        <v>115</v>
      </c>
      <c r="Z383" s="125" t="s">
        <v>260</v>
      </c>
      <c r="AA383" s="125" t="s">
        <v>532</v>
      </c>
      <c r="AB383" s="125" t="s">
        <v>574</v>
      </c>
      <c r="AC383" s="109" t="s">
        <v>313</v>
      </c>
      <c r="AD383" s="109" t="s">
        <v>314</v>
      </c>
      <c r="AE383" s="109">
        <v>90</v>
      </c>
      <c r="AF383" s="114" t="s">
        <v>710</v>
      </c>
      <c r="AG383" s="109" t="s">
        <v>290</v>
      </c>
      <c r="AH383" s="110" t="s">
        <v>575</v>
      </c>
      <c r="AI383" s="109" t="s">
        <v>317</v>
      </c>
      <c r="AJ383" s="109" t="s">
        <v>318</v>
      </c>
      <c r="AK383" s="110" t="s">
        <v>5201</v>
      </c>
      <c r="AL383" s="95" t="s">
        <v>5202</v>
      </c>
      <c r="AM383" s="110" t="s">
        <v>5203</v>
      </c>
      <c r="AN383" s="125" t="s">
        <v>381</v>
      </c>
      <c r="AO383" s="125" t="s">
        <v>327</v>
      </c>
      <c r="AP383" s="125" t="s">
        <v>398</v>
      </c>
      <c r="AQ383" s="125" t="s">
        <v>5204</v>
      </c>
      <c r="AR383" s="125" t="s">
        <v>581</v>
      </c>
      <c r="AS383" s="125" t="s">
        <v>581</v>
      </c>
      <c r="AT383" s="125" t="s">
        <v>624</v>
      </c>
      <c r="AU383" s="125" t="s">
        <v>116</v>
      </c>
      <c r="AV383" s="125">
        <v>45680</v>
      </c>
      <c r="AW383" s="125" t="s">
        <v>329</v>
      </c>
      <c r="AX383" s="125" t="s">
        <v>329</v>
      </c>
      <c r="AY383" s="125" t="s">
        <v>329</v>
      </c>
      <c r="AZ383" s="110"/>
      <c r="BA383" s="110"/>
      <c r="BB383" s="110"/>
      <c r="BC383" s="110"/>
      <c r="BD383" s="125" t="s">
        <v>5205</v>
      </c>
      <c r="BE383" s="125" t="s">
        <v>3175</v>
      </c>
      <c r="BF383" s="125" t="s">
        <v>5206</v>
      </c>
      <c r="BG383" s="125" t="s">
        <v>333</v>
      </c>
      <c r="BH383" s="109" t="s">
        <v>334</v>
      </c>
      <c r="BI383" s="125">
        <v>0</v>
      </c>
      <c r="BJ383" s="125"/>
      <c r="BK383" s="110"/>
      <c r="BL383" s="110"/>
      <c r="BM383" s="110"/>
      <c r="BN383" s="110"/>
      <c r="BO383" s="110"/>
      <c r="BP383" s="110"/>
      <c r="BQ383" s="110"/>
      <c r="BR383" s="110"/>
      <c r="BS383" s="110"/>
      <c r="BT383" s="110"/>
      <c r="BU383" s="110"/>
      <c r="BV383" s="110"/>
      <c r="BW383" s="110"/>
      <c r="BX383" s="110"/>
      <c r="BY383" s="110"/>
      <c r="BZ383" s="110"/>
      <c r="CA383" s="110"/>
      <c r="CB383" s="109"/>
      <c r="CC383" s="109"/>
      <c r="CD383" s="110"/>
    </row>
    <row r="384" spans="1:82" ht="13.9" customHeight="1" x14ac:dyDescent="0.2">
      <c r="A384" s="12">
        <v>906</v>
      </c>
      <c r="B384" s="12" t="s">
        <v>5141</v>
      </c>
      <c r="C384" s="106" t="s">
        <v>1390</v>
      </c>
      <c r="D384" s="107" t="s">
        <v>281</v>
      </c>
      <c r="E384" s="99" t="s">
        <v>6698</v>
      </c>
      <c r="F384" s="100">
        <v>45863</v>
      </c>
      <c r="G384" s="100">
        <v>45863</v>
      </c>
      <c r="H384" s="101">
        <f t="shared" si="36"/>
        <v>45953</v>
      </c>
      <c r="I384" s="101" t="s">
        <v>291</v>
      </c>
      <c r="J384" s="12" t="s">
        <v>5207</v>
      </c>
      <c r="K384" s="12" t="s">
        <v>5208</v>
      </c>
      <c r="L384" s="12" t="s">
        <v>5209</v>
      </c>
      <c r="M384" s="102" t="str">
        <f t="shared" si="31"/>
        <v>HURTADO AVALOS TANIA DEL CARMEN</v>
      </c>
      <c r="N384" s="102" t="s">
        <v>7104</v>
      </c>
      <c r="O384" s="102" t="s">
        <v>5210</v>
      </c>
      <c r="P384" s="12" t="s">
        <v>1954</v>
      </c>
      <c r="Q384" s="100">
        <v>34958</v>
      </c>
      <c r="R384" s="77">
        <f t="shared" si="32"/>
        <v>16</v>
      </c>
      <c r="S384" s="77">
        <f t="shared" si="33"/>
        <v>9</v>
      </c>
      <c r="T384" s="77">
        <f t="shared" si="34"/>
        <v>1995</v>
      </c>
      <c r="U384" s="103">
        <f t="shared" ca="1" si="35"/>
        <v>31.093150684931508</v>
      </c>
      <c r="V384" s="13" t="s">
        <v>308</v>
      </c>
      <c r="W384" s="13" t="s">
        <v>5211</v>
      </c>
      <c r="X384" s="12" t="s">
        <v>310</v>
      </c>
      <c r="Y384" s="108" t="s">
        <v>278</v>
      </c>
      <c r="Z384" s="12" t="s">
        <v>263</v>
      </c>
      <c r="AA384" s="12" t="s">
        <v>636</v>
      </c>
      <c r="AB384" s="12" t="s">
        <v>1397</v>
      </c>
      <c r="AC384" s="12" t="s">
        <v>313</v>
      </c>
      <c r="AD384" s="12" t="s">
        <v>314</v>
      </c>
      <c r="AE384" s="12">
        <v>90</v>
      </c>
      <c r="AF384" s="13" t="s">
        <v>375</v>
      </c>
      <c r="AG384" s="12" t="s">
        <v>291</v>
      </c>
      <c r="AH384" s="78" t="s">
        <v>1398</v>
      </c>
      <c r="AI384" s="12" t="s">
        <v>317</v>
      </c>
      <c r="AJ384" s="12" t="s">
        <v>318</v>
      </c>
      <c r="AK384" s="12">
        <v>4443046062</v>
      </c>
      <c r="AL384" s="92" t="s">
        <v>5212</v>
      </c>
      <c r="AM384" s="12" t="s">
        <v>5205</v>
      </c>
      <c r="AN384" s="12" t="s">
        <v>3175</v>
      </c>
      <c r="AO384" s="12" t="s">
        <v>398</v>
      </c>
      <c r="AP384" s="12" t="s">
        <v>398</v>
      </c>
      <c r="AQ384" s="12" t="s">
        <v>5213</v>
      </c>
      <c r="AR384" s="12">
        <v>1606</v>
      </c>
      <c r="AS384" s="12" t="s">
        <v>880</v>
      </c>
      <c r="AT384" s="12" t="s">
        <v>482</v>
      </c>
      <c r="AU384" s="12" t="s">
        <v>483</v>
      </c>
      <c r="AV384" s="12">
        <v>78433</v>
      </c>
      <c r="AW384" s="12" t="s">
        <v>3416</v>
      </c>
      <c r="AX384" s="77" t="s">
        <v>329</v>
      </c>
      <c r="AY384" s="12" t="s">
        <v>329</v>
      </c>
      <c r="AZ384" s="12"/>
      <c r="BA384" s="12"/>
      <c r="BB384" s="12"/>
      <c r="BC384" s="12"/>
      <c r="BD384" s="12" t="s">
        <v>5203</v>
      </c>
      <c r="BE384" s="12" t="s">
        <v>381</v>
      </c>
      <c r="BF384" s="12" t="s">
        <v>5214</v>
      </c>
      <c r="BG384" s="12" t="s">
        <v>488</v>
      </c>
      <c r="BH384" s="12" t="s">
        <v>334</v>
      </c>
      <c r="BI384" s="12">
        <v>2</v>
      </c>
      <c r="BJ384" s="12"/>
      <c r="BK384" s="12" t="s">
        <v>3911</v>
      </c>
      <c r="BL384" s="105">
        <v>14</v>
      </c>
      <c r="BM384" s="12"/>
      <c r="BN384" s="12" t="s">
        <v>3911</v>
      </c>
      <c r="BO384" s="105">
        <v>8</v>
      </c>
      <c r="BP384" s="12"/>
      <c r="BQ384" s="12"/>
      <c r="BR384" s="12"/>
      <c r="BS384" s="12"/>
      <c r="BT384" s="12"/>
      <c r="BU384" s="12"/>
      <c r="BV384" s="12"/>
      <c r="BW384" s="12"/>
      <c r="BX384" s="12"/>
      <c r="BY384" s="12"/>
      <c r="BZ384" s="12"/>
      <c r="CA384" s="12"/>
      <c r="CB384" s="12"/>
      <c r="CC384" s="12"/>
      <c r="CD384" s="78"/>
    </row>
    <row r="385" spans="1:82" ht="13.9" customHeight="1" x14ac:dyDescent="0.2">
      <c r="A385" s="12">
        <v>907</v>
      </c>
      <c r="B385" s="12" t="s">
        <v>5802</v>
      </c>
      <c r="C385" s="106" t="s">
        <v>1390</v>
      </c>
      <c r="D385" s="107" t="s">
        <v>281</v>
      </c>
      <c r="E385" s="99">
        <v>38159459619</v>
      </c>
      <c r="F385" s="100">
        <v>45863</v>
      </c>
      <c r="G385" s="100">
        <v>45863</v>
      </c>
      <c r="H385" s="101">
        <f t="shared" si="36"/>
        <v>45953</v>
      </c>
      <c r="I385" s="101" t="s">
        <v>291</v>
      </c>
      <c r="J385" s="12" t="s">
        <v>1576</v>
      </c>
      <c r="K385" s="12" t="s">
        <v>5215</v>
      </c>
      <c r="L385" s="12" t="s">
        <v>5216</v>
      </c>
      <c r="M385" s="102" t="str">
        <f t="shared" si="31"/>
        <v>CAMPOS PALOMO BEATRIZ</v>
      </c>
      <c r="N385" s="102" t="s">
        <v>7105</v>
      </c>
      <c r="O385" s="102" t="s">
        <v>5217</v>
      </c>
      <c r="P385" s="12" t="s">
        <v>1954</v>
      </c>
      <c r="Q385" s="100">
        <v>34489</v>
      </c>
      <c r="R385" s="77">
        <f t="shared" si="32"/>
        <v>4</v>
      </c>
      <c r="S385" s="77">
        <f t="shared" si="33"/>
        <v>6</v>
      </c>
      <c r="T385" s="77">
        <f t="shared" si="34"/>
        <v>1994</v>
      </c>
      <c r="U385" s="103">
        <f t="shared" ca="1" si="35"/>
        <v>32.37808219178082</v>
      </c>
      <c r="V385" s="13" t="s">
        <v>308</v>
      </c>
      <c r="W385" s="13" t="s">
        <v>5218</v>
      </c>
      <c r="X385" s="12" t="s">
        <v>310</v>
      </c>
      <c r="Y385" s="108" t="s">
        <v>278</v>
      </c>
      <c r="Z385" s="12" t="s">
        <v>263</v>
      </c>
      <c r="AA385" s="12" t="s">
        <v>636</v>
      </c>
      <c r="AB385" s="12" t="s">
        <v>1397</v>
      </c>
      <c r="AC385" s="12" t="s">
        <v>313</v>
      </c>
      <c r="AD385" s="12" t="s">
        <v>314</v>
      </c>
      <c r="AE385" s="12">
        <v>90</v>
      </c>
      <c r="AF385" s="13" t="s">
        <v>375</v>
      </c>
      <c r="AG385" s="12" t="s">
        <v>291</v>
      </c>
      <c r="AH385" s="78" t="s">
        <v>1398</v>
      </c>
      <c r="AI385" s="12" t="s">
        <v>317</v>
      </c>
      <c r="AJ385" s="12" t="s">
        <v>318</v>
      </c>
      <c r="AK385" s="12" t="s">
        <v>5219</v>
      </c>
      <c r="AL385" s="92" t="s">
        <v>5220</v>
      </c>
      <c r="AM385" s="12" t="s">
        <v>5221</v>
      </c>
      <c r="AN385" s="12" t="s">
        <v>776</v>
      </c>
      <c r="AO385" s="12">
        <v>0</v>
      </c>
      <c r="AP385" s="12" t="s">
        <v>398</v>
      </c>
      <c r="AQ385" s="12" t="s">
        <v>5222</v>
      </c>
      <c r="AR385" s="12">
        <v>303</v>
      </c>
      <c r="AS385" s="12" t="s">
        <v>880</v>
      </c>
      <c r="AT385" s="12" t="s">
        <v>482</v>
      </c>
      <c r="AU385" s="12" t="s">
        <v>483</v>
      </c>
      <c r="AV385" s="12">
        <v>78433</v>
      </c>
      <c r="AW385" s="12" t="s">
        <v>3416</v>
      </c>
      <c r="AX385" s="77" t="s">
        <v>329</v>
      </c>
      <c r="AY385" s="12" t="s">
        <v>329</v>
      </c>
      <c r="AZ385" s="12"/>
      <c r="BA385" s="12"/>
      <c r="BB385" s="12"/>
      <c r="BC385" s="12"/>
      <c r="BD385" s="12" t="s">
        <v>5221</v>
      </c>
      <c r="BE385" s="12" t="s">
        <v>776</v>
      </c>
      <c r="BF385" s="12" t="s">
        <v>5223</v>
      </c>
      <c r="BG385" s="12" t="s">
        <v>333</v>
      </c>
      <c r="BH385" s="12" t="s">
        <v>334</v>
      </c>
      <c r="BI385" s="12">
        <v>0</v>
      </c>
      <c r="BJ385" s="12"/>
      <c r="BK385" s="12"/>
      <c r="BL385" s="105"/>
      <c r="BM385" s="12"/>
      <c r="BN385" s="12"/>
      <c r="BO385" s="105"/>
      <c r="BP385" s="12"/>
      <c r="BQ385" s="12"/>
      <c r="BR385" s="12"/>
      <c r="BS385" s="12"/>
      <c r="BT385" s="12"/>
      <c r="BU385" s="12"/>
      <c r="BV385" s="12"/>
      <c r="BW385" s="12"/>
      <c r="BX385" s="12"/>
      <c r="BY385" s="12"/>
      <c r="BZ385" s="12"/>
      <c r="CA385" s="12"/>
      <c r="CB385" s="12"/>
      <c r="CC385" s="12"/>
      <c r="CD385" s="78"/>
    </row>
    <row r="386" spans="1:82" s="116" customFormat="1" ht="13.9" customHeight="1" x14ac:dyDescent="0.25">
      <c r="A386" s="125">
        <v>908</v>
      </c>
      <c r="B386" s="125" t="s">
        <v>5142</v>
      </c>
      <c r="C386" s="115" t="s">
        <v>564</v>
      </c>
      <c r="D386" s="109" t="s">
        <v>81</v>
      </c>
      <c r="E386" s="111" t="s">
        <v>6699</v>
      </c>
      <c r="F386" s="112">
        <v>45863</v>
      </c>
      <c r="G386" s="112">
        <v>45863</v>
      </c>
      <c r="H386" s="113">
        <f t="shared" si="36"/>
        <v>45953</v>
      </c>
      <c r="I386" s="113" t="s">
        <v>290</v>
      </c>
      <c r="J386" s="125" t="s">
        <v>5224</v>
      </c>
      <c r="K386" s="125" t="s">
        <v>1280</v>
      </c>
      <c r="L386" s="125" t="s">
        <v>1938</v>
      </c>
      <c r="M386" s="128" t="str">
        <f t="shared" ref="M386:M449" si="37">_xlfn.CONCAT(J386," ",K386," ",L386)</f>
        <v>MARIANO RAMIREZ LUIS ENRIQUE</v>
      </c>
      <c r="N386" s="128" t="s">
        <v>7106</v>
      </c>
      <c r="O386" s="128" t="s">
        <v>5225</v>
      </c>
      <c r="P386" s="125" t="s">
        <v>1953</v>
      </c>
      <c r="Q386" s="112">
        <v>36291</v>
      </c>
      <c r="R386" s="125">
        <f t="shared" si="32"/>
        <v>11</v>
      </c>
      <c r="S386" s="125">
        <f t="shared" si="33"/>
        <v>5</v>
      </c>
      <c r="T386" s="125">
        <f t="shared" si="34"/>
        <v>1999</v>
      </c>
      <c r="U386" s="142">
        <f t="shared" ca="1" si="35"/>
        <v>27.44109589041096</v>
      </c>
      <c r="V386" s="128" t="s">
        <v>5226</v>
      </c>
      <c r="W386" s="128" t="s">
        <v>5227</v>
      </c>
      <c r="X386" s="125" t="s">
        <v>454</v>
      </c>
      <c r="Y386" s="109" t="s">
        <v>115</v>
      </c>
      <c r="Z386" s="109" t="s">
        <v>260</v>
      </c>
      <c r="AA386" s="109" t="s">
        <v>532</v>
      </c>
      <c r="AB386" s="109" t="s">
        <v>574</v>
      </c>
      <c r="AC386" s="125" t="s">
        <v>5228</v>
      </c>
      <c r="AD386" s="125" t="s">
        <v>314</v>
      </c>
      <c r="AE386" s="125">
        <v>90</v>
      </c>
      <c r="AF386" s="114" t="s">
        <v>710</v>
      </c>
      <c r="AG386" s="125" t="s">
        <v>290</v>
      </c>
      <c r="AH386" s="110" t="s">
        <v>575</v>
      </c>
      <c r="AI386" s="125" t="s">
        <v>317</v>
      </c>
      <c r="AJ386" s="125" t="s">
        <v>5229</v>
      </c>
      <c r="AK386" s="125">
        <v>3327858967</v>
      </c>
      <c r="AL386" s="95" t="s">
        <v>5230</v>
      </c>
      <c r="AM386" s="125" t="s">
        <v>5231</v>
      </c>
      <c r="AN386" s="125" t="s">
        <v>478</v>
      </c>
      <c r="AO386" s="125"/>
      <c r="AP386" s="125" t="s">
        <v>398</v>
      </c>
      <c r="AQ386" s="125" t="s">
        <v>5232</v>
      </c>
      <c r="AR386" s="125">
        <v>152</v>
      </c>
      <c r="AS386" s="125" t="s">
        <v>880</v>
      </c>
      <c r="AT386" s="125" t="s">
        <v>582</v>
      </c>
      <c r="AU386" s="125" t="s">
        <v>583</v>
      </c>
      <c r="AV386" s="125">
        <v>45653</v>
      </c>
      <c r="AW386" s="109" t="s">
        <v>3416</v>
      </c>
      <c r="AX386" s="125" t="s">
        <v>329</v>
      </c>
      <c r="AY386" s="125" t="s">
        <v>329</v>
      </c>
      <c r="AZ386" s="125"/>
      <c r="BA386" s="125"/>
      <c r="BB386" s="125"/>
      <c r="BC386" s="125"/>
      <c r="BD386" s="125" t="s">
        <v>5231</v>
      </c>
      <c r="BE386" s="125" t="s">
        <v>478</v>
      </c>
      <c r="BF386" s="125">
        <v>3332000625</v>
      </c>
      <c r="BG386" s="125"/>
      <c r="BH386" s="125" t="s">
        <v>334</v>
      </c>
      <c r="BI386" s="125">
        <v>1</v>
      </c>
      <c r="BJ386" s="125"/>
      <c r="BK386" s="125" t="s">
        <v>3946</v>
      </c>
      <c r="BL386" s="125">
        <v>5</v>
      </c>
      <c r="BM386" s="125"/>
      <c r="BN386" s="125"/>
      <c r="BO386" s="125"/>
      <c r="BP386" s="125"/>
      <c r="BQ386" s="125"/>
      <c r="BR386" s="125"/>
      <c r="BS386" s="125"/>
      <c r="BT386" s="125"/>
      <c r="BU386" s="125"/>
      <c r="BV386" s="125"/>
      <c r="BW386" s="125"/>
      <c r="BX386" s="125"/>
      <c r="BY386" s="125"/>
      <c r="BZ386" s="125"/>
      <c r="CA386" s="125"/>
      <c r="CB386" s="109"/>
      <c r="CC386" s="109"/>
      <c r="CD386" s="110"/>
    </row>
    <row r="387" spans="1:82" s="116" customFormat="1" ht="13.9" customHeight="1" x14ac:dyDescent="0.25">
      <c r="A387" s="125">
        <v>904</v>
      </c>
      <c r="B387" s="125" t="s">
        <v>5139</v>
      </c>
      <c r="C387" s="115" t="s">
        <v>363</v>
      </c>
      <c r="D387" s="109" t="s">
        <v>86</v>
      </c>
      <c r="E387" s="111" t="s">
        <v>6700</v>
      </c>
      <c r="F387" s="127">
        <v>45866</v>
      </c>
      <c r="G387" s="127">
        <v>45866</v>
      </c>
      <c r="H387" s="113">
        <f t="shared" si="36"/>
        <v>45896</v>
      </c>
      <c r="I387" s="113" t="s">
        <v>290</v>
      </c>
      <c r="J387" s="125" t="s">
        <v>960</v>
      </c>
      <c r="K387" s="125" t="s">
        <v>704</v>
      </c>
      <c r="L387" s="125" t="s">
        <v>1081</v>
      </c>
      <c r="M387" s="128" t="str">
        <f t="shared" si="37"/>
        <v>TORRES GONZALEZ EDUARDO</v>
      </c>
      <c r="N387" s="128" t="s">
        <v>7107</v>
      </c>
      <c r="O387" s="128" t="s">
        <v>5193</v>
      </c>
      <c r="P387" s="125" t="s">
        <v>1953</v>
      </c>
      <c r="Q387" s="112">
        <v>34605</v>
      </c>
      <c r="R387" s="125">
        <f t="shared" ref="R387:R450" si="38">DAY(Q387)</f>
        <v>28</v>
      </c>
      <c r="S387" s="125">
        <f t="shared" ref="S387:S450" si="39">MONTH(Q387)</f>
        <v>9</v>
      </c>
      <c r="T387" s="125">
        <f t="shared" ref="T387:T450" si="40">YEAR(Q387)</f>
        <v>1994</v>
      </c>
      <c r="U387" s="142">
        <f t="shared" ref="U387:U450" ca="1" si="41">(+TODAY()-Q387)/365</f>
        <v>32.060273972602737</v>
      </c>
      <c r="V387" s="128" t="s">
        <v>452</v>
      </c>
      <c r="W387" s="128" t="s">
        <v>5194</v>
      </c>
      <c r="X387" s="125" t="s">
        <v>454</v>
      </c>
      <c r="Y387" s="109" t="s">
        <v>391</v>
      </c>
      <c r="Z387" s="109" t="s">
        <v>88</v>
      </c>
      <c r="AA387" s="109" t="s">
        <v>392</v>
      </c>
      <c r="AB387" s="109" t="s">
        <v>374</v>
      </c>
      <c r="AC387" s="109" t="s">
        <v>313</v>
      </c>
      <c r="AD387" s="109" t="s">
        <v>314</v>
      </c>
      <c r="AE387" s="109">
        <v>30</v>
      </c>
      <c r="AF387" s="114" t="s">
        <v>375</v>
      </c>
      <c r="AG387" s="109" t="s">
        <v>290</v>
      </c>
      <c r="AH387" s="110" t="s">
        <v>393</v>
      </c>
      <c r="AI387" s="109" t="s">
        <v>317</v>
      </c>
      <c r="AJ387" s="109" t="s">
        <v>318</v>
      </c>
      <c r="AK387" s="110" t="s">
        <v>5195</v>
      </c>
      <c r="AL387" s="95" t="s">
        <v>5196</v>
      </c>
      <c r="AM387" s="110" t="s">
        <v>5197</v>
      </c>
      <c r="AN387" s="125" t="s">
        <v>478</v>
      </c>
      <c r="AO387" s="125" t="s">
        <v>398</v>
      </c>
      <c r="AP387" s="125" t="s">
        <v>398</v>
      </c>
      <c r="AQ387" s="125" t="s">
        <v>5198</v>
      </c>
      <c r="AR387" s="125">
        <v>126</v>
      </c>
      <c r="AS387" s="125" t="s">
        <v>880</v>
      </c>
      <c r="AT387" s="125" t="s">
        <v>482</v>
      </c>
      <c r="AU387" s="125" t="s">
        <v>483</v>
      </c>
      <c r="AV387" s="125">
        <v>78438</v>
      </c>
      <c r="AW387" s="125" t="s">
        <v>329</v>
      </c>
      <c r="AX387" s="125" t="s">
        <v>329</v>
      </c>
      <c r="AY387" s="125" t="s">
        <v>329</v>
      </c>
      <c r="AZ387" s="110"/>
      <c r="BA387" s="110"/>
      <c r="BB387" s="110"/>
      <c r="BC387" s="110"/>
      <c r="BD387" s="125" t="s">
        <v>5197</v>
      </c>
      <c r="BE387" s="125" t="s">
        <v>560</v>
      </c>
      <c r="BF387" s="125" t="s">
        <v>5199</v>
      </c>
      <c r="BG387" s="125" t="s">
        <v>333</v>
      </c>
      <c r="BH387" s="109" t="s">
        <v>334</v>
      </c>
      <c r="BI387" s="125">
        <v>1</v>
      </c>
      <c r="BJ387" s="125">
        <v>42572</v>
      </c>
      <c r="BK387" s="110" t="s">
        <v>3911</v>
      </c>
      <c r="BL387" s="110">
        <v>9</v>
      </c>
      <c r="BM387" s="110"/>
      <c r="BN387" s="110"/>
      <c r="BO387" s="110"/>
      <c r="BP387" s="110"/>
      <c r="BQ387" s="110"/>
      <c r="BR387" s="110"/>
      <c r="BS387" s="110"/>
      <c r="BT387" s="110"/>
      <c r="BU387" s="110"/>
      <c r="BV387" s="110"/>
      <c r="BW387" s="110"/>
      <c r="BX387" s="110"/>
      <c r="BY387" s="110"/>
      <c r="BZ387" s="110"/>
      <c r="CA387" s="110"/>
      <c r="CB387" s="109"/>
      <c r="CC387" s="109"/>
      <c r="CD387" s="110"/>
    </row>
    <row r="388" spans="1:82" s="16" customFormat="1" ht="13.9" customHeight="1" x14ac:dyDescent="0.2">
      <c r="A388" s="77">
        <v>909</v>
      </c>
      <c r="B388" s="77" t="s">
        <v>7890</v>
      </c>
      <c r="C388" s="104" t="s">
        <v>564</v>
      </c>
      <c r="D388" s="107" t="s">
        <v>81</v>
      </c>
      <c r="E388" s="99" t="s">
        <v>6795</v>
      </c>
      <c r="F388" s="79">
        <v>45866</v>
      </c>
      <c r="G388" s="79">
        <v>45866</v>
      </c>
      <c r="H388" s="101">
        <f t="shared" si="36"/>
        <v>45956</v>
      </c>
      <c r="I388" s="101" t="s">
        <v>290</v>
      </c>
      <c r="J388" s="77" t="s">
        <v>766</v>
      </c>
      <c r="K388" s="77" t="s">
        <v>1212</v>
      </c>
      <c r="L388" s="77" t="s">
        <v>5233</v>
      </c>
      <c r="M388" s="102" t="str">
        <f t="shared" si="37"/>
        <v>HERNANDEZ  ALVAREZ OSCAR JESUS</v>
      </c>
      <c r="N388" s="102" t="s">
        <v>7209</v>
      </c>
      <c r="O388" s="102" t="s">
        <v>5234</v>
      </c>
      <c r="P388" s="77" t="s">
        <v>1953</v>
      </c>
      <c r="Q388" s="100">
        <v>32635</v>
      </c>
      <c r="R388" s="77">
        <f t="shared" si="38"/>
        <v>7</v>
      </c>
      <c r="S388" s="77">
        <f t="shared" si="39"/>
        <v>5</v>
      </c>
      <c r="T388" s="77">
        <f t="shared" si="40"/>
        <v>1989</v>
      </c>
      <c r="U388" s="103">
        <f t="shared" ca="1" si="41"/>
        <v>37.457534246575342</v>
      </c>
      <c r="V388" s="102" t="s">
        <v>452</v>
      </c>
      <c r="W388" s="102" t="s">
        <v>5235</v>
      </c>
      <c r="X388" s="77" t="s">
        <v>454</v>
      </c>
      <c r="Y388" s="12" t="s">
        <v>115</v>
      </c>
      <c r="Z388" s="12" t="s">
        <v>260</v>
      </c>
      <c r="AA388" s="12" t="s">
        <v>532</v>
      </c>
      <c r="AB388" s="12" t="s">
        <v>574</v>
      </c>
      <c r="AC388" s="77" t="s">
        <v>5228</v>
      </c>
      <c r="AD388" s="77" t="s">
        <v>314</v>
      </c>
      <c r="AE388" s="77">
        <v>90</v>
      </c>
      <c r="AF388" s="13" t="s">
        <v>710</v>
      </c>
      <c r="AG388" s="77" t="s">
        <v>290</v>
      </c>
      <c r="AH388" s="78" t="s">
        <v>575</v>
      </c>
      <c r="AI388" s="77" t="s">
        <v>317</v>
      </c>
      <c r="AJ388" s="77" t="s">
        <v>5229</v>
      </c>
      <c r="AK388" s="77">
        <v>3312885493</v>
      </c>
      <c r="AL388" s="78"/>
      <c r="AM388" s="77" t="s">
        <v>5236</v>
      </c>
      <c r="AN388" s="77" t="s">
        <v>478</v>
      </c>
      <c r="AO388" s="77" t="s">
        <v>327</v>
      </c>
      <c r="AP388" s="77" t="s">
        <v>327</v>
      </c>
      <c r="AQ388" s="77" t="s">
        <v>5237</v>
      </c>
      <c r="AR388" s="77">
        <v>2721</v>
      </c>
      <c r="AS388" s="77" t="s">
        <v>5238</v>
      </c>
      <c r="AT388" s="77" t="s">
        <v>116</v>
      </c>
      <c r="AU388" s="77" t="s">
        <v>583</v>
      </c>
      <c r="AV388" s="77">
        <v>44680</v>
      </c>
      <c r="AW388" s="12" t="s">
        <v>3416</v>
      </c>
      <c r="AX388" s="77" t="s">
        <v>329</v>
      </c>
      <c r="AY388" s="77" t="s">
        <v>5034</v>
      </c>
      <c r="AZ388" s="77"/>
      <c r="BA388" s="77"/>
      <c r="BB388" s="77"/>
      <c r="BC388" s="77"/>
      <c r="BD388" s="77" t="s">
        <v>5236</v>
      </c>
      <c r="BE388" s="77" t="s">
        <v>478</v>
      </c>
      <c r="BF388" s="77" t="s">
        <v>5239</v>
      </c>
      <c r="BG388" s="77" t="s">
        <v>333</v>
      </c>
      <c r="BH388" s="77" t="s">
        <v>334</v>
      </c>
      <c r="BI388" s="77">
        <v>3</v>
      </c>
      <c r="BJ388" s="77"/>
      <c r="BK388" s="77" t="s">
        <v>3946</v>
      </c>
      <c r="BL388" s="77">
        <v>12</v>
      </c>
      <c r="BM388" s="77"/>
      <c r="BN388" s="12" t="s">
        <v>3911</v>
      </c>
      <c r="BO388" s="77">
        <v>6</v>
      </c>
      <c r="BP388" s="77"/>
      <c r="BQ388" s="12" t="s">
        <v>3911</v>
      </c>
      <c r="BR388" s="77">
        <v>3</v>
      </c>
      <c r="BS388" s="77"/>
      <c r="BT388" s="77"/>
      <c r="BU388" s="77"/>
      <c r="BV388" s="77"/>
      <c r="BW388" s="77"/>
      <c r="BX388" s="77"/>
      <c r="BY388" s="77"/>
      <c r="BZ388" s="77"/>
      <c r="CA388" s="77"/>
      <c r="CB388" s="12"/>
      <c r="CC388" s="12"/>
      <c r="CD388" s="77"/>
    </row>
    <row r="389" spans="1:82" s="16" customFormat="1" ht="13.9" customHeight="1" x14ac:dyDescent="0.25">
      <c r="A389" s="77">
        <v>1113</v>
      </c>
      <c r="B389" s="77" t="s">
        <v>5144</v>
      </c>
      <c r="C389" s="78" t="s">
        <v>299</v>
      </c>
      <c r="D389" s="99" t="s">
        <v>80</v>
      </c>
      <c r="E389" s="99" t="s">
        <v>6796</v>
      </c>
      <c r="F389" s="79">
        <v>45866</v>
      </c>
      <c r="G389" s="79">
        <v>45866</v>
      </c>
      <c r="H389" s="101">
        <f t="shared" si="36"/>
        <v>45956</v>
      </c>
      <c r="I389" s="101" t="s">
        <v>291</v>
      </c>
      <c r="J389" s="77" t="s">
        <v>4411</v>
      </c>
      <c r="K389" s="77" t="s">
        <v>4487</v>
      </c>
      <c r="L389" s="77" t="s">
        <v>1786</v>
      </c>
      <c r="M389" s="102" t="str">
        <f t="shared" si="37"/>
        <v>ANDRADE  DOMINGUEZ HECTOR OSWALDO</v>
      </c>
      <c r="N389" s="102" t="s">
        <v>7210</v>
      </c>
      <c r="O389" s="102" t="s">
        <v>5248</v>
      </c>
      <c r="P389" s="77" t="s">
        <v>1953</v>
      </c>
      <c r="Q389" s="100">
        <v>34414</v>
      </c>
      <c r="R389" s="77">
        <f t="shared" si="38"/>
        <v>21</v>
      </c>
      <c r="S389" s="77">
        <f t="shared" si="39"/>
        <v>3</v>
      </c>
      <c r="T389" s="77">
        <f t="shared" si="40"/>
        <v>1994</v>
      </c>
      <c r="U389" s="103">
        <f t="shared" ca="1" si="41"/>
        <v>32.583561643835615</v>
      </c>
      <c r="V389" s="102" t="s">
        <v>389</v>
      </c>
      <c r="W389" s="102" t="s">
        <v>5249</v>
      </c>
      <c r="X389" s="77" t="s">
        <v>310</v>
      </c>
      <c r="Y389" s="12" t="s">
        <v>5250</v>
      </c>
      <c r="Z389" s="12" t="s">
        <v>196</v>
      </c>
      <c r="AA389" s="12" t="s">
        <v>636</v>
      </c>
      <c r="AB389" s="12" t="s">
        <v>2280</v>
      </c>
      <c r="AC389" s="77" t="s">
        <v>313</v>
      </c>
      <c r="AD389" s="77" t="s">
        <v>314</v>
      </c>
      <c r="AE389" s="77">
        <v>90</v>
      </c>
      <c r="AF389" s="13" t="s">
        <v>315</v>
      </c>
      <c r="AG389" s="12" t="s">
        <v>291</v>
      </c>
      <c r="AH389" s="78" t="s">
        <v>316</v>
      </c>
      <c r="AI389" s="77" t="s">
        <v>317</v>
      </c>
      <c r="AJ389" s="77" t="s">
        <v>5229</v>
      </c>
      <c r="AK389" s="77" t="s">
        <v>5251</v>
      </c>
      <c r="AL389" s="91" t="s">
        <v>5252</v>
      </c>
      <c r="AM389" s="77" t="s">
        <v>5253</v>
      </c>
      <c r="AN389" s="77" t="s">
        <v>3175</v>
      </c>
      <c r="AO389" s="77" t="s">
        <v>327</v>
      </c>
      <c r="AP389" s="77" t="s">
        <v>398</v>
      </c>
      <c r="AQ389" s="77" t="s">
        <v>5254</v>
      </c>
      <c r="AR389" s="77" t="s">
        <v>5255</v>
      </c>
      <c r="AS389" s="77" t="s">
        <v>5256</v>
      </c>
      <c r="AT389" s="77" t="s">
        <v>5257</v>
      </c>
      <c r="AU389" s="77" t="s">
        <v>1066</v>
      </c>
      <c r="AV389" s="77">
        <v>50295</v>
      </c>
      <c r="AW389" s="12" t="s">
        <v>3417</v>
      </c>
      <c r="AX389" s="77" t="s">
        <v>329</v>
      </c>
      <c r="AY389" s="12" t="s">
        <v>3417</v>
      </c>
      <c r="AZ389" s="77"/>
      <c r="BA389" s="77"/>
      <c r="BB389" s="77"/>
      <c r="BC389" s="77"/>
      <c r="BD389" s="77" t="s">
        <v>5253</v>
      </c>
      <c r="BE389" s="77" t="s">
        <v>3175</v>
      </c>
      <c r="BF389" s="77" t="s">
        <v>5258</v>
      </c>
      <c r="BG389" s="77" t="s">
        <v>333</v>
      </c>
      <c r="BH389" s="77" t="s">
        <v>334</v>
      </c>
      <c r="BI389" s="77">
        <v>0</v>
      </c>
      <c r="BJ389" s="77"/>
      <c r="BK389" s="77"/>
      <c r="BL389" s="77"/>
      <c r="BM389" s="77"/>
      <c r="BN389" s="77"/>
      <c r="BO389" s="77"/>
      <c r="BP389" s="77"/>
      <c r="BQ389" s="77"/>
      <c r="BR389" s="77"/>
      <c r="BS389" s="77"/>
      <c r="BT389" s="77"/>
      <c r="BU389" s="77"/>
      <c r="BV389" s="77"/>
      <c r="BW389" s="77"/>
      <c r="BX389" s="77"/>
      <c r="BY389" s="77"/>
      <c r="BZ389" s="77"/>
      <c r="CA389" s="77"/>
      <c r="CB389" s="12"/>
      <c r="CC389" s="12"/>
      <c r="CD389" s="77"/>
    </row>
    <row r="390" spans="1:82" s="16" customFormat="1" ht="13.9" customHeight="1" x14ac:dyDescent="0.25">
      <c r="A390" s="77">
        <v>1114</v>
      </c>
      <c r="B390" s="77" t="s">
        <v>5145</v>
      </c>
      <c r="C390" s="78" t="s">
        <v>299</v>
      </c>
      <c r="D390" s="99" t="s">
        <v>80</v>
      </c>
      <c r="E390" s="99" t="s">
        <v>6701</v>
      </c>
      <c r="F390" s="79">
        <v>45866</v>
      </c>
      <c r="G390" s="79">
        <v>45866</v>
      </c>
      <c r="H390" s="101">
        <f t="shared" si="36"/>
        <v>45956</v>
      </c>
      <c r="I390" s="101" t="s">
        <v>291</v>
      </c>
      <c r="J390" s="77" t="s">
        <v>5259</v>
      </c>
      <c r="K390" s="77" t="s">
        <v>384</v>
      </c>
      <c r="L390" s="77" t="s">
        <v>5260</v>
      </c>
      <c r="M390" s="102" t="str">
        <f t="shared" si="37"/>
        <v>SALGADO SANCHEZ EFRAIN TEODORO</v>
      </c>
      <c r="N390" s="102" t="s">
        <v>7108</v>
      </c>
      <c r="O390" s="102" t="s">
        <v>7234</v>
      </c>
      <c r="P390" s="77" t="s">
        <v>1953</v>
      </c>
      <c r="Q390" s="100">
        <v>32173</v>
      </c>
      <c r="R390" s="77">
        <f t="shared" si="38"/>
        <v>31</v>
      </c>
      <c r="S390" s="77">
        <f t="shared" si="39"/>
        <v>1</v>
      </c>
      <c r="T390" s="77">
        <f t="shared" si="40"/>
        <v>1988</v>
      </c>
      <c r="U390" s="103">
        <f t="shared" ca="1" si="41"/>
        <v>38.723287671232875</v>
      </c>
      <c r="V390" s="102" t="s">
        <v>389</v>
      </c>
      <c r="W390" s="102" t="s">
        <v>5261</v>
      </c>
      <c r="X390" s="77" t="s">
        <v>1327</v>
      </c>
      <c r="Y390" s="77" t="s">
        <v>1367</v>
      </c>
      <c r="Z390" s="12" t="s">
        <v>183</v>
      </c>
      <c r="AA390" s="12" t="s">
        <v>311</v>
      </c>
      <c r="AB390" s="12"/>
      <c r="AC390" s="77" t="s">
        <v>313</v>
      </c>
      <c r="AD390" s="77" t="s">
        <v>314</v>
      </c>
      <c r="AE390" s="77">
        <v>90</v>
      </c>
      <c r="AF390" s="13" t="s">
        <v>315</v>
      </c>
      <c r="AG390" s="12" t="s">
        <v>291</v>
      </c>
      <c r="AH390" s="78" t="s">
        <v>316</v>
      </c>
      <c r="AI390" s="77" t="s">
        <v>317</v>
      </c>
      <c r="AJ390" s="77" t="s">
        <v>5229</v>
      </c>
      <c r="AK390" s="77" t="s">
        <v>5262</v>
      </c>
      <c r="AL390" s="91" t="s">
        <v>5263</v>
      </c>
      <c r="AM390" s="77" t="s">
        <v>5264</v>
      </c>
      <c r="AN390" s="77" t="s">
        <v>3175</v>
      </c>
      <c r="AO390" s="77" t="s">
        <v>327</v>
      </c>
      <c r="AP390" s="77" t="s">
        <v>398</v>
      </c>
      <c r="AQ390" s="77" t="s">
        <v>5265</v>
      </c>
      <c r="AR390" s="77">
        <v>374</v>
      </c>
      <c r="AS390" s="77" t="s">
        <v>581</v>
      </c>
      <c r="AT390" s="77" t="s">
        <v>483</v>
      </c>
      <c r="AU390" s="77" t="s">
        <v>483</v>
      </c>
      <c r="AV390" s="77">
        <v>78427</v>
      </c>
      <c r="AW390" s="12" t="s">
        <v>3417</v>
      </c>
      <c r="AX390" s="77" t="s">
        <v>329</v>
      </c>
      <c r="AY390" s="12" t="s">
        <v>3417</v>
      </c>
      <c r="AZ390" s="77"/>
      <c r="BA390" s="77"/>
      <c r="BB390" s="77"/>
      <c r="BC390" s="77"/>
      <c r="BD390" s="77" t="s">
        <v>5264</v>
      </c>
      <c r="BE390" s="77" t="s">
        <v>3175</v>
      </c>
      <c r="BF390" s="77" t="s">
        <v>5262</v>
      </c>
      <c r="BG390" s="77"/>
      <c r="BH390" s="77" t="s">
        <v>334</v>
      </c>
      <c r="BI390" s="77">
        <v>0</v>
      </c>
      <c r="BJ390" s="77"/>
      <c r="BK390" s="77"/>
      <c r="BL390" s="77"/>
      <c r="BM390" s="77"/>
      <c r="BN390" s="77"/>
      <c r="BO390" s="77"/>
      <c r="BP390" s="77"/>
      <c r="BQ390" s="77"/>
      <c r="BR390" s="77"/>
      <c r="BS390" s="77"/>
      <c r="BT390" s="77"/>
      <c r="BU390" s="77"/>
      <c r="BV390" s="77"/>
      <c r="BW390" s="77"/>
      <c r="BX390" s="77"/>
      <c r="BY390" s="77"/>
      <c r="BZ390" s="77"/>
      <c r="CA390" s="77"/>
      <c r="CB390" s="12"/>
      <c r="CC390" s="12"/>
      <c r="CD390" s="77"/>
    </row>
    <row r="391" spans="1:82" s="135" customFormat="1" ht="13.9" customHeight="1" x14ac:dyDescent="0.25">
      <c r="A391" s="125">
        <v>910</v>
      </c>
      <c r="B391" s="125" t="s">
        <v>5143</v>
      </c>
      <c r="C391" s="115" t="s">
        <v>564</v>
      </c>
      <c r="D391" s="109" t="s">
        <v>81</v>
      </c>
      <c r="E391" s="111" t="s">
        <v>6702</v>
      </c>
      <c r="F391" s="127">
        <v>45867</v>
      </c>
      <c r="G391" s="127">
        <v>45867</v>
      </c>
      <c r="H391" s="113">
        <f t="shared" si="36"/>
        <v>45957</v>
      </c>
      <c r="I391" s="113" t="s">
        <v>290</v>
      </c>
      <c r="J391" s="125" t="s">
        <v>5240</v>
      </c>
      <c r="K391" s="125" t="s">
        <v>1044</v>
      </c>
      <c r="L391" s="125" t="s">
        <v>5241</v>
      </c>
      <c r="M391" s="128" t="str">
        <f t="shared" si="37"/>
        <v>MAGAÑA RODRIGUEZ ANGEL JAIR</v>
      </c>
      <c r="N391" s="128" t="s">
        <v>7109</v>
      </c>
      <c r="O391" s="128" t="s">
        <v>7235</v>
      </c>
      <c r="P391" s="125" t="s">
        <v>1953</v>
      </c>
      <c r="Q391" s="112">
        <v>37204</v>
      </c>
      <c r="R391" s="125">
        <f t="shared" si="38"/>
        <v>9</v>
      </c>
      <c r="S391" s="125">
        <f t="shared" si="39"/>
        <v>11</v>
      </c>
      <c r="T391" s="125">
        <f t="shared" si="40"/>
        <v>2001</v>
      </c>
      <c r="U391" s="142">
        <f t="shared" ca="1" si="41"/>
        <v>24.93972602739726</v>
      </c>
      <c r="V391" s="128" t="s">
        <v>452</v>
      </c>
      <c r="W391" s="128" t="s">
        <v>5242</v>
      </c>
      <c r="X391" s="125" t="s">
        <v>454</v>
      </c>
      <c r="Y391" s="125" t="s">
        <v>115</v>
      </c>
      <c r="Z391" s="109" t="s">
        <v>260</v>
      </c>
      <c r="AA391" s="125" t="s">
        <v>532</v>
      </c>
      <c r="AB391" s="109" t="s">
        <v>574</v>
      </c>
      <c r="AC391" s="125" t="s">
        <v>313</v>
      </c>
      <c r="AD391" s="125" t="s">
        <v>314</v>
      </c>
      <c r="AE391" s="125">
        <v>90</v>
      </c>
      <c r="AF391" s="128" t="s">
        <v>710</v>
      </c>
      <c r="AG391" s="125" t="s">
        <v>290</v>
      </c>
      <c r="AH391" s="110" t="s">
        <v>575</v>
      </c>
      <c r="AI391" s="125" t="s">
        <v>317</v>
      </c>
      <c r="AJ391" s="125" t="s">
        <v>5229</v>
      </c>
      <c r="AK391" s="125" t="s">
        <v>5243</v>
      </c>
      <c r="AL391" s="95" t="s">
        <v>5244</v>
      </c>
      <c r="AM391" s="125" t="s">
        <v>5245</v>
      </c>
      <c r="AN391" s="125" t="s">
        <v>478</v>
      </c>
      <c r="AO391" s="125" t="s">
        <v>327</v>
      </c>
      <c r="AP391" s="125" t="s">
        <v>327</v>
      </c>
      <c r="AQ391" s="125" t="s">
        <v>5246</v>
      </c>
      <c r="AR391" s="125">
        <v>56</v>
      </c>
      <c r="AS391" s="125" t="s">
        <v>581</v>
      </c>
      <c r="AT391" s="125" t="s">
        <v>582</v>
      </c>
      <c r="AU391" s="125" t="s">
        <v>583</v>
      </c>
      <c r="AV391" s="125">
        <v>45656</v>
      </c>
      <c r="AW391" s="109" t="s">
        <v>3416</v>
      </c>
      <c r="AX391" s="125" t="s">
        <v>329</v>
      </c>
      <c r="AY391" s="125" t="s">
        <v>329</v>
      </c>
      <c r="AZ391" s="125"/>
      <c r="BA391" s="125"/>
      <c r="BB391" s="125"/>
      <c r="BC391" s="125"/>
      <c r="BD391" s="125" t="s">
        <v>5245</v>
      </c>
      <c r="BE391" s="125" t="s">
        <v>478</v>
      </c>
      <c r="BF391" s="125" t="s">
        <v>5247</v>
      </c>
      <c r="BG391" s="125"/>
      <c r="BH391" s="125" t="s">
        <v>334</v>
      </c>
      <c r="BI391" s="125">
        <v>1</v>
      </c>
      <c r="BJ391" s="125"/>
      <c r="BK391" s="125" t="s">
        <v>3946</v>
      </c>
      <c r="BL391" s="125" t="s">
        <v>3953</v>
      </c>
      <c r="BM391" s="125"/>
      <c r="BN391" s="125"/>
      <c r="BO391" s="125"/>
      <c r="BP391" s="125"/>
      <c r="BQ391" s="125"/>
      <c r="BR391" s="125"/>
      <c r="BS391" s="125"/>
      <c r="BT391" s="125"/>
      <c r="BU391" s="125"/>
      <c r="BV391" s="125"/>
      <c r="BW391" s="125"/>
      <c r="BX391" s="125"/>
      <c r="BY391" s="125"/>
      <c r="BZ391" s="125"/>
      <c r="CA391" s="125"/>
      <c r="CB391" s="109"/>
      <c r="CC391" s="109"/>
      <c r="CD391" s="125"/>
    </row>
    <row r="392" spans="1:82" s="135" customFormat="1" ht="13.9" customHeight="1" x14ac:dyDescent="0.25">
      <c r="A392" s="125">
        <v>911</v>
      </c>
      <c r="B392" s="125" t="s">
        <v>5146</v>
      </c>
      <c r="C392" s="115" t="s">
        <v>564</v>
      </c>
      <c r="D392" s="109" t="s">
        <v>81</v>
      </c>
      <c r="E392" s="129">
        <v>63159789112</v>
      </c>
      <c r="F392" s="127">
        <v>45867</v>
      </c>
      <c r="G392" s="127">
        <v>45867</v>
      </c>
      <c r="H392" s="113">
        <f t="shared" si="36"/>
        <v>45957</v>
      </c>
      <c r="I392" s="113" t="s">
        <v>290</v>
      </c>
      <c r="J392" s="125" t="s">
        <v>366</v>
      </c>
      <c r="K392" s="125" t="s">
        <v>5266</v>
      </c>
      <c r="L392" s="125" t="s">
        <v>5267</v>
      </c>
      <c r="M392" s="128" t="str">
        <f t="shared" si="37"/>
        <v>HERNANDEZ CORTEZ  HIRAM DAVID</v>
      </c>
      <c r="N392" s="128" t="s">
        <v>5268</v>
      </c>
      <c r="O392" s="128" t="s">
        <v>5269</v>
      </c>
      <c r="P392" s="125" t="s">
        <v>1953</v>
      </c>
      <c r="Q392" s="112">
        <v>35456</v>
      </c>
      <c r="R392" s="125">
        <f t="shared" si="38"/>
        <v>26</v>
      </c>
      <c r="S392" s="125">
        <f t="shared" si="39"/>
        <v>1</v>
      </c>
      <c r="T392" s="125">
        <f t="shared" si="40"/>
        <v>1997</v>
      </c>
      <c r="U392" s="142">
        <f t="shared" ca="1" si="41"/>
        <v>29.728767123287671</v>
      </c>
      <c r="V392" s="128" t="s">
        <v>389</v>
      </c>
      <c r="W392" s="128" t="s">
        <v>5270</v>
      </c>
      <c r="X392" s="125" t="s">
        <v>454</v>
      </c>
      <c r="Y392" s="125" t="s">
        <v>115</v>
      </c>
      <c r="Z392" s="109" t="s">
        <v>260</v>
      </c>
      <c r="AA392" s="125" t="s">
        <v>532</v>
      </c>
      <c r="AB392" s="109" t="s">
        <v>574</v>
      </c>
      <c r="AC392" s="125" t="s">
        <v>313</v>
      </c>
      <c r="AD392" s="125" t="s">
        <v>314</v>
      </c>
      <c r="AE392" s="125">
        <v>90</v>
      </c>
      <c r="AF392" s="114" t="s">
        <v>710</v>
      </c>
      <c r="AG392" s="125" t="s">
        <v>290</v>
      </c>
      <c r="AH392" s="110" t="s">
        <v>575</v>
      </c>
      <c r="AI392" s="125" t="s">
        <v>317</v>
      </c>
      <c r="AJ392" s="125" t="s">
        <v>5229</v>
      </c>
      <c r="AK392" s="125" t="s">
        <v>5271</v>
      </c>
      <c r="AL392" s="95" t="s">
        <v>5272</v>
      </c>
      <c r="AM392" s="125" t="s">
        <v>5273</v>
      </c>
      <c r="AN392" s="125" t="s">
        <v>5274</v>
      </c>
      <c r="AO392" s="125" t="s">
        <v>327</v>
      </c>
      <c r="AP392" s="125" t="s">
        <v>398</v>
      </c>
      <c r="AQ392" s="125" t="s">
        <v>5275</v>
      </c>
      <c r="AR392" s="125">
        <v>1</v>
      </c>
      <c r="AS392" s="125" t="s">
        <v>581</v>
      </c>
      <c r="AT392" s="125" t="s">
        <v>606</v>
      </c>
      <c r="AU392" s="125" t="s">
        <v>583</v>
      </c>
      <c r="AV392" s="125">
        <v>45629</v>
      </c>
      <c r="AW392" s="109" t="s">
        <v>3416</v>
      </c>
      <c r="AX392" s="125" t="s">
        <v>329</v>
      </c>
      <c r="AY392" s="125" t="s">
        <v>329</v>
      </c>
      <c r="AZ392" s="125"/>
      <c r="BA392" s="125"/>
      <c r="BB392" s="125"/>
      <c r="BC392" s="125"/>
      <c r="BD392" s="125" t="s">
        <v>5273</v>
      </c>
      <c r="BE392" s="125" t="s">
        <v>3175</v>
      </c>
      <c r="BF392" s="125">
        <v>3333394132</v>
      </c>
      <c r="BG392" s="125"/>
      <c r="BH392" s="125" t="s">
        <v>334</v>
      </c>
      <c r="BI392" s="125">
        <v>1</v>
      </c>
      <c r="BJ392" s="125"/>
      <c r="BK392" s="125" t="s">
        <v>3911</v>
      </c>
      <c r="BL392" s="125" t="s">
        <v>3922</v>
      </c>
      <c r="BM392" s="125"/>
      <c r="BN392" s="125"/>
      <c r="BO392" s="125"/>
      <c r="BP392" s="125"/>
      <c r="BQ392" s="125"/>
      <c r="BR392" s="125"/>
      <c r="BS392" s="125"/>
      <c r="BT392" s="125"/>
      <c r="BU392" s="125"/>
      <c r="BV392" s="125"/>
      <c r="BW392" s="125"/>
      <c r="BX392" s="125"/>
      <c r="BY392" s="125"/>
      <c r="BZ392" s="125"/>
      <c r="CA392" s="125"/>
      <c r="CB392" s="109"/>
      <c r="CC392" s="109"/>
      <c r="CD392" s="125"/>
    </row>
    <row r="393" spans="1:82" s="135" customFormat="1" ht="13.9" customHeight="1" x14ac:dyDescent="0.25">
      <c r="A393" s="125">
        <v>912</v>
      </c>
      <c r="B393" s="125" t="s">
        <v>5276</v>
      </c>
      <c r="C393" s="114" t="s">
        <v>564</v>
      </c>
      <c r="D393" s="109" t="s">
        <v>81</v>
      </c>
      <c r="E393" s="111" t="s">
        <v>6703</v>
      </c>
      <c r="F393" s="127">
        <v>45868</v>
      </c>
      <c r="G393" s="127">
        <v>45868</v>
      </c>
      <c r="H393" s="113">
        <f t="shared" si="36"/>
        <v>45958</v>
      </c>
      <c r="I393" s="113" t="s">
        <v>290</v>
      </c>
      <c r="J393" s="125" t="s">
        <v>882</v>
      </c>
      <c r="K393" s="125" t="s">
        <v>611</v>
      </c>
      <c r="L393" s="125" t="s">
        <v>5277</v>
      </c>
      <c r="M393" s="128" t="str">
        <f t="shared" si="37"/>
        <v>OCHOA QUEZADA LUIS ANGEL</v>
      </c>
      <c r="N393" s="128" t="s">
        <v>7110</v>
      </c>
      <c r="O393" s="128" t="s">
        <v>5278</v>
      </c>
      <c r="P393" s="125" t="s">
        <v>1953</v>
      </c>
      <c r="Q393" s="112">
        <v>34301</v>
      </c>
      <c r="R393" s="125">
        <f t="shared" si="38"/>
        <v>28</v>
      </c>
      <c r="S393" s="125">
        <f t="shared" si="39"/>
        <v>11</v>
      </c>
      <c r="T393" s="125">
        <f t="shared" si="40"/>
        <v>1993</v>
      </c>
      <c r="U393" s="142">
        <f t="shared" ca="1" si="41"/>
        <v>32.893150684931506</v>
      </c>
      <c r="V393" s="128" t="s">
        <v>452</v>
      </c>
      <c r="W393" s="128" t="s">
        <v>5280</v>
      </c>
      <c r="X393" s="125" t="s">
        <v>454</v>
      </c>
      <c r="Y393" s="125" t="s">
        <v>115</v>
      </c>
      <c r="Z393" s="109" t="s">
        <v>260</v>
      </c>
      <c r="AA393" s="125" t="s">
        <v>532</v>
      </c>
      <c r="AB393" s="109" t="s">
        <v>574</v>
      </c>
      <c r="AC393" s="125" t="s">
        <v>313</v>
      </c>
      <c r="AD393" s="125" t="s">
        <v>314</v>
      </c>
      <c r="AE393" s="125">
        <v>90</v>
      </c>
      <c r="AF393" s="114" t="s">
        <v>710</v>
      </c>
      <c r="AG393" s="125" t="s">
        <v>290</v>
      </c>
      <c r="AH393" s="110" t="s">
        <v>575</v>
      </c>
      <c r="AI393" s="125" t="s">
        <v>317</v>
      </c>
      <c r="AJ393" s="125" t="s">
        <v>5229</v>
      </c>
      <c r="AK393" s="125" t="s">
        <v>5279</v>
      </c>
      <c r="AL393" s="95" t="s">
        <v>5281</v>
      </c>
      <c r="AM393" s="125" t="s">
        <v>5282</v>
      </c>
      <c r="AN393" s="125" t="s">
        <v>3175</v>
      </c>
      <c r="AO393" s="125" t="s">
        <v>398</v>
      </c>
      <c r="AP393" s="125" t="s">
        <v>398</v>
      </c>
      <c r="AQ393" s="125" t="s">
        <v>5283</v>
      </c>
      <c r="AR393" s="125">
        <v>60</v>
      </c>
      <c r="AS393" s="125" t="s">
        <v>642</v>
      </c>
      <c r="AT393" s="125" t="s">
        <v>1132</v>
      </c>
      <c r="AU393" s="125" t="s">
        <v>583</v>
      </c>
      <c r="AV393" s="125">
        <v>45040</v>
      </c>
      <c r="AW393" s="109" t="s">
        <v>3416</v>
      </c>
      <c r="AX393" s="125" t="s">
        <v>329</v>
      </c>
      <c r="AY393" s="125" t="s">
        <v>329</v>
      </c>
      <c r="AZ393" s="125"/>
      <c r="BA393" s="125"/>
      <c r="BB393" s="125"/>
      <c r="BC393" s="125"/>
      <c r="BD393" s="125" t="s">
        <v>5282</v>
      </c>
      <c r="BE393" s="125" t="s">
        <v>478</v>
      </c>
      <c r="BF393" s="125" t="s">
        <v>5284</v>
      </c>
      <c r="BG393" s="125"/>
      <c r="BH393" s="125" t="s">
        <v>334</v>
      </c>
      <c r="BI393" s="125">
        <v>3</v>
      </c>
      <c r="BJ393" s="125"/>
      <c r="BK393" s="125" t="s">
        <v>3911</v>
      </c>
      <c r="BL393" s="125" t="s">
        <v>5285</v>
      </c>
      <c r="BM393" s="125"/>
      <c r="BN393" s="125" t="s">
        <v>3911</v>
      </c>
      <c r="BO393" s="125" t="s">
        <v>3913</v>
      </c>
      <c r="BP393" s="125"/>
      <c r="BQ393" s="125" t="s">
        <v>3946</v>
      </c>
      <c r="BR393" s="125" t="s">
        <v>3947</v>
      </c>
      <c r="BS393" s="125"/>
      <c r="BT393" s="125"/>
      <c r="BU393" s="125"/>
      <c r="BV393" s="125"/>
      <c r="BW393" s="125"/>
      <c r="BX393" s="125"/>
      <c r="BY393" s="125"/>
      <c r="BZ393" s="125"/>
      <c r="CA393" s="125"/>
      <c r="CB393" s="109"/>
      <c r="CC393" s="109"/>
      <c r="CD393" s="125"/>
    </row>
    <row r="394" spans="1:82" ht="13.9" customHeight="1" x14ac:dyDescent="0.25">
      <c r="A394" s="77">
        <v>676</v>
      </c>
      <c r="B394" s="77" t="s">
        <v>5318</v>
      </c>
      <c r="C394" s="102" t="s">
        <v>363</v>
      </c>
      <c r="D394" s="107" t="s">
        <v>98</v>
      </c>
      <c r="E394" s="99" t="s">
        <v>6704</v>
      </c>
      <c r="F394" s="79">
        <v>45870</v>
      </c>
      <c r="G394" s="79">
        <v>45870</v>
      </c>
      <c r="H394" s="101">
        <f t="shared" si="36"/>
        <v>45960</v>
      </c>
      <c r="I394" s="101" t="s">
        <v>290</v>
      </c>
      <c r="J394" s="77" t="s">
        <v>507</v>
      </c>
      <c r="K394" s="77" t="s">
        <v>735</v>
      </c>
      <c r="L394" s="77" t="s">
        <v>736</v>
      </c>
      <c r="M394" s="102" t="str">
        <f t="shared" si="37"/>
        <v>MARTINEZ RIVERA DAVID ALEJANDRO</v>
      </c>
      <c r="N394" s="102" t="s">
        <v>738</v>
      </c>
      <c r="O394" s="102" t="s">
        <v>739</v>
      </c>
      <c r="P394" s="77" t="s">
        <v>1953</v>
      </c>
      <c r="Q394" s="100">
        <v>34798</v>
      </c>
      <c r="R394" s="77">
        <f t="shared" si="38"/>
        <v>9</v>
      </c>
      <c r="S394" s="77">
        <f t="shared" si="39"/>
        <v>4</v>
      </c>
      <c r="T394" s="77">
        <f t="shared" si="40"/>
        <v>1995</v>
      </c>
      <c r="U394" s="103">
        <f t="shared" ca="1" si="41"/>
        <v>31.531506849315068</v>
      </c>
      <c r="V394" s="102" t="s">
        <v>452</v>
      </c>
      <c r="W394" s="102" t="s">
        <v>5317</v>
      </c>
      <c r="X394" s="77" t="s">
        <v>454</v>
      </c>
      <c r="Y394" s="80" t="s">
        <v>391</v>
      </c>
      <c r="Z394" s="77" t="s">
        <v>88</v>
      </c>
      <c r="AA394" s="77" t="s">
        <v>392</v>
      </c>
      <c r="AB394" s="12" t="s">
        <v>374</v>
      </c>
      <c r="AC394" s="77" t="s">
        <v>313</v>
      </c>
      <c r="AD394" s="77" t="s">
        <v>314</v>
      </c>
      <c r="AE394" s="77">
        <v>90</v>
      </c>
      <c r="AF394" s="13" t="s">
        <v>597</v>
      </c>
      <c r="AG394" s="12" t="s">
        <v>290</v>
      </c>
      <c r="AH394" s="78" t="s">
        <v>598</v>
      </c>
      <c r="AI394" s="12" t="s">
        <v>317</v>
      </c>
      <c r="AJ394" s="12" t="s">
        <v>318</v>
      </c>
      <c r="AK394" s="78" t="s">
        <v>5319</v>
      </c>
      <c r="AL394" s="91" t="s">
        <v>5320</v>
      </c>
      <c r="AM394" s="78" t="s">
        <v>744</v>
      </c>
      <c r="AN394" s="78" t="s">
        <v>5038</v>
      </c>
      <c r="AO394" s="78" t="s">
        <v>327</v>
      </c>
      <c r="AP394" s="78" t="s">
        <v>398</v>
      </c>
      <c r="AQ394" s="78" t="s">
        <v>5321</v>
      </c>
      <c r="AR394" s="77">
        <v>308</v>
      </c>
      <c r="AS394" s="77">
        <v>14</v>
      </c>
      <c r="AT394" s="78" t="s">
        <v>105</v>
      </c>
      <c r="AU394" s="78" t="s">
        <v>105</v>
      </c>
      <c r="AV394" s="77">
        <v>20179</v>
      </c>
      <c r="AW394" s="12" t="s">
        <v>3416</v>
      </c>
      <c r="AX394" s="78" t="s">
        <v>329</v>
      </c>
      <c r="AY394" s="78" t="s">
        <v>329</v>
      </c>
      <c r="AZ394" s="78"/>
      <c r="BA394" s="78"/>
      <c r="BB394" s="78"/>
      <c r="BC394" s="78"/>
      <c r="BD394" s="78" t="s">
        <v>744</v>
      </c>
      <c r="BE394" s="78" t="s">
        <v>1003</v>
      </c>
      <c r="BF394" s="78">
        <v>4491372115</v>
      </c>
      <c r="BG394" s="77"/>
      <c r="BH394" s="78" t="s">
        <v>334</v>
      </c>
      <c r="BI394" s="78">
        <v>2</v>
      </c>
      <c r="BJ394" s="78"/>
      <c r="BK394" s="78" t="s">
        <v>571</v>
      </c>
      <c r="BL394" s="78">
        <v>6</v>
      </c>
      <c r="BM394" s="78"/>
      <c r="BN394" s="78" t="s">
        <v>571</v>
      </c>
      <c r="BO394" s="78">
        <v>4</v>
      </c>
      <c r="BP394" s="78"/>
      <c r="BQ394" s="78"/>
      <c r="BR394" s="78"/>
      <c r="BS394" s="78"/>
      <c r="BT394" s="78"/>
      <c r="BU394" s="78"/>
      <c r="BV394" s="78"/>
      <c r="BW394" s="78"/>
      <c r="BX394" s="78"/>
      <c r="BY394" s="78"/>
      <c r="BZ394" s="78"/>
      <c r="CA394" s="78"/>
      <c r="CB394" s="12"/>
      <c r="CC394" s="12"/>
      <c r="CD394" s="78"/>
    </row>
    <row r="395" spans="1:82" s="116" customFormat="1" ht="13.9" customHeight="1" x14ac:dyDescent="0.25">
      <c r="A395" s="125">
        <v>913</v>
      </c>
      <c r="B395" s="125" t="s">
        <v>5306</v>
      </c>
      <c r="C395" s="110" t="s">
        <v>335</v>
      </c>
      <c r="D395" s="125" t="s">
        <v>140</v>
      </c>
      <c r="E395" s="111" t="s">
        <v>6705</v>
      </c>
      <c r="F395" s="127">
        <v>45870</v>
      </c>
      <c r="G395" s="127">
        <v>45870</v>
      </c>
      <c r="H395" s="113">
        <f t="shared" si="36"/>
        <v>45960</v>
      </c>
      <c r="I395" s="113" t="s">
        <v>291</v>
      </c>
      <c r="J395" s="125" t="s">
        <v>1239</v>
      </c>
      <c r="K395" s="125" t="s">
        <v>4883</v>
      </c>
      <c r="L395" s="125" t="s">
        <v>5288</v>
      </c>
      <c r="M395" s="128" t="str">
        <f t="shared" si="37"/>
        <v>VAZQUEZ GUERRA JESSICA YADIRA</v>
      </c>
      <c r="N395" s="128" t="s">
        <v>7111</v>
      </c>
      <c r="O395" s="128" t="s">
        <v>5289</v>
      </c>
      <c r="P395" s="125" t="s">
        <v>1954</v>
      </c>
      <c r="Q395" s="112">
        <v>30919</v>
      </c>
      <c r="R395" s="125">
        <f t="shared" si="38"/>
        <v>25</v>
      </c>
      <c r="S395" s="125">
        <f t="shared" si="39"/>
        <v>8</v>
      </c>
      <c r="T395" s="125">
        <f t="shared" si="40"/>
        <v>1984</v>
      </c>
      <c r="U395" s="142">
        <f t="shared" ca="1" si="41"/>
        <v>42.158904109589038</v>
      </c>
      <c r="V395" s="128" t="s">
        <v>308</v>
      </c>
      <c r="W395" s="128" t="s">
        <v>5290</v>
      </c>
      <c r="X395" s="125" t="s">
        <v>310</v>
      </c>
      <c r="Y395" s="120" t="s">
        <v>235</v>
      </c>
      <c r="Z395" s="109" t="s">
        <v>238</v>
      </c>
      <c r="AA395" s="110" t="s">
        <v>636</v>
      </c>
      <c r="AB395" s="125" t="s">
        <v>934</v>
      </c>
      <c r="AC395" s="125" t="s">
        <v>313</v>
      </c>
      <c r="AD395" s="125" t="s">
        <v>314</v>
      </c>
      <c r="AE395" s="125">
        <v>90</v>
      </c>
      <c r="AF395" s="128" t="s">
        <v>554</v>
      </c>
      <c r="AG395" s="125" t="s">
        <v>291</v>
      </c>
      <c r="AH395" s="110" t="s">
        <v>555</v>
      </c>
      <c r="AI395" s="125" t="s">
        <v>317</v>
      </c>
      <c r="AJ395" s="125" t="s">
        <v>318</v>
      </c>
      <c r="AK395" s="125">
        <v>4615465157</v>
      </c>
      <c r="AL395" s="95" t="s">
        <v>5291</v>
      </c>
      <c r="AM395" s="110" t="s">
        <v>5294</v>
      </c>
      <c r="AN395" s="125" t="s">
        <v>832</v>
      </c>
      <c r="AO395" s="125" t="s">
        <v>329</v>
      </c>
      <c r="AP395" s="125" t="s">
        <v>398</v>
      </c>
      <c r="AQ395" s="110" t="s">
        <v>5292</v>
      </c>
      <c r="AR395" s="125">
        <v>101</v>
      </c>
      <c r="AS395" s="125">
        <v>5</v>
      </c>
      <c r="AT395" s="110" t="s">
        <v>5293</v>
      </c>
      <c r="AU395" s="110" t="s">
        <v>1184</v>
      </c>
      <c r="AV395" s="125">
        <v>38115</v>
      </c>
      <c r="AW395" s="109" t="s">
        <v>3416</v>
      </c>
      <c r="AX395" s="125" t="s">
        <v>329</v>
      </c>
      <c r="AY395" s="125" t="s">
        <v>329</v>
      </c>
      <c r="AZ395" s="110"/>
      <c r="BA395" s="110"/>
      <c r="BB395" s="110"/>
      <c r="BC395" s="110"/>
      <c r="BD395" s="110" t="s">
        <v>5294</v>
      </c>
      <c r="BE395" s="110" t="s">
        <v>832</v>
      </c>
      <c r="BF395" s="110" t="s">
        <v>5295</v>
      </c>
      <c r="BG395" s="125" t="s">
        <v>333</v>
      </c>
      <c r="BH395" s="110" t="s">
        <v>5296</v>
      </c>
      <c r="BI395" s="125">
        <v>2</v>
      </c>
      <c r="BJ395" s="110"/>
      <c r="BK395" s="125" t="s">
        <v>3911</v>
      </c>
      <c r="BL395" s="110">
        <v>20</v>
      </c>
      <c r="BM395" s="110"/>
      <c r="BN395" s="110" t="s">
        <v>571</v>
      </c>
      <c r="BO395" s="110">
        <v>10</v>
      </c>
      <c r="BP395" s="110"/>
      <c r="BQ395" s="110"/>
      <c r="BR395" s="110"/>
      <c r="BS395" s="110"/>
      <c r="BT395" s="110"/>
      <c r="BU395" s="110"/>
      <c r="BV395" s="110"/>
      <c r="BW395" s="110"/>
      <c r="BX395" s="110"/>
      <c r="BY395" s="110"/>
      <c r="BZ395" s="110"/>
      <c r="CA395" s="110"/>
      <c r="CB395" s="109"/>
      <c r="CC395" s="109"/>
      <c r="CD395" s="110"/>
    </row>
    <row r="396" spans="1:82" s="116" customFormat="1" ht="13.9" customHeight="1" x14ac:dyDescent="0.25">
      <c r="A396" s="77">
        <v>914</v>
      </c>
      <c r="B396" s="77" t="s">
        <v>5297</v>
      </c>
      <c r="C396" s="13" t="s">
        <v>564</v>
      </c>
      <c r="D396" s="107" t="s">
        <v>81</v>
      </c>
      <c r="E396" s="99" t="s">
        <v>6797</v>
      </c>
      <c r="F396" s="79">
        <v>45870</v>
      </c>
      <c r="G396" s="79">
        <v>45870</v>
      </c>
      <c r="H396" s="101">
        <f t="shared" si="36"/>
        <v>45960</v>
      </c>
      <c r="I396" s="101" t="s">
        <v>290</v>
      </c>
      <c r="J396" s="77" t="s">
        <v>4324</v>
      </c>
      <c r="K396" s="77" t="s">
        <v>404</v>
      </c>
      <c r="L396" s="77" t="s">
        <v>5298</v>
      </c>
      <c r="M396" s="102" t="str">
        <f t="shared" si="37"/>
        <v xml:space="preserve">VILLALOBOS GOMEZ RICARDO EZEQUIEL </v>
      </c>
      <c r="N396" s="102" t="s">
        <v>7211</v>
      </c>
      <c r="O396" s="102" t="s">
        <v>5299</v>
      </c>
      <c r="P396" s="77" t="s">
        <v>1953</v>
      </c>
      <c r="Q396" s="100">
        <v>36742</v>
      </c>
      <c r="R396" s="77">
        <f t="shared" si="38"/>
        <v>4</v>
      </c>
      <c r="S396" s="77">
        <f t="shared" si="39"/>
        <v>8</v>
      </c>
      <c r="T396" s="77">
        <f t="shared" si="40"/>
        <v>2000</v>
      </c>
      <c r="U396" s="103">
        <f t="shared" ca="1" si="41"/>
        <v>26.205479452054796</v>
      </c>
      <c r="V396" s="102" t="s">
        <v>342</v>
      </c>
      <c r="W396" s="102" t="s">
        <v>5300</v>
      </c>
      <c r="X396" s="77" t="s">
        <v>454</v>
      </c>
      <c r="Y396" s="77" t="s">
        <v>115</v>
      </c>
      <c r="Z396" s="12" t="s">
        <v>260</v>
      </c>
      <c r="AA396" s="77" t="s">
        <v>532</v>
      </c>
      <c r="AB396" s="12" t="s">
        <v>574</v>
      </c>
      <c r="AC396" s="77" t="s">
        <v>313</v>
      </c>
      <c r="AD396" s="77" t="s">
        <v>314</v>
      </c>
      <c r="AE396" s="77">
        <v>90</v>
      </c>
      <c r="AF396" s="13" t="s">
        <v>710</v>
      </c>
      <c r="AG396" s="77" t="s">
        <v>290</v>
      </c>
      <c r="AH396" s="78" t="s">
        <v>575</v>
      </c>
      <c r="AI396" s="77" t="s">
        <v>317</v>
      </c>
      <c r="AJ396" s="77" t="s">
        <v>318</v>
      </c>
      <c r="AK396" s="78" t="s">
        <v>5301</v>
      </c>
      <c r="AL396" s="91" t="s">
        <v>5302</v>
      </c>
      <c r="AM396" s="78" t="s">
        <v>5303</v>
      </c>
      <c r="AN396" s="77" t="s">
        <v>381</v>
      </c>
      <c r="AO396" s="77" t="s">
        <v>398</v>
      </c>
      <c r="AP396" s="77" t="s">
        <v>398</v>
      </c>
      <c r="AQ396" s="78" t="s">
        <v>5304</v>
      </c>
      <c r="AR396" s="77">
        <v>341</v>
      </c>
      <c r="AS396" s="77" t="s">
        <v>581</v>
      </c>
      <c r="AT396" s="78" t="s">
        <v>582</v>
      </c>
      <c r="AU396" s="78" t="s">
        <v>583</v>
      </c>
      <c r="AV396" s="77">
        <v>45653</v>
      </c>
      <c r="AW396" s="12" t="s">
        <v>3416</v>
      </c>
      <c r="AX396" s="78" t="s">
        <v>329</v>
      </c>
      <c r="AY396" s="78" t="s">
        <v>329</v>
      </c>
      <c r="AZ396" s="78"/>
      <c r="BA396" s="78"/>
      <c r="BB396" s="78"/>
      <c r="BC396" s="78"/>
      <c r="BD396" s="78" t="s">
        <v>5303</v>
      </c>
      <c r="BE396" s="78" t="s">
        <v>381</v>
      </c>
      <c r="BF396" s="78" t="s">
        <v>5305</v>
      </c>
      <c r="BG396" s="77"/>
      <c r="BH396" s="78"/>
      <c r="BI396" s="78"/>
      <c r="BJ396" s="78"/>
      <c r="BK396" s="78"/>
      <c r="BL396" s="78"/>
      <c r="BM396" s="78"/>
      <c r="BN396" s="78"/>
      <c r="BO396" s="78"/>
      <c r="BP396" s="78"/>
      <c r="BQ396" s="78"/>
      <c r="BR396" s="78"/>
      <c r="BS396" s="78"/>
      <c r="BT396" s="78"/>
      <c r="BU396" s="78"/>
      <c r="BV396" s="78"/>
      <c r="BW396" s="78"/>
      <c r="BX396" s="78"/>
      <c r="BY396" s="78"/>
      <c r="BZ396" s="78"/>
      <c r="CA396" s="78"/>
      <c r="CB396" s="12"/>
      <c r="CC396" s="12"/>
      <c r="CD396" s="110"/>
    </row>
    <row r="397" spans="1:82" s="116" customFormat="1" ht="13.9" customHeight="1" x14ac:dyDescent="0.25">
      <c r="A397" s="125">
        <v>915</v>
      </c>
      <c r="B397" s="125" t="s">
        <v>5307</v>
      </c>
      <c r="C397" s="114" t="s">
        <v>564</v>
      </c>
      <c r="D397" s="109" t="s">
        <v>81</v>
      </c>
      <c r="E397" s="111" t="s">
        <v>6798</v>
      </c>
      <c r="F397" s="127">
        <v>45870</v>
      </c>
      <c r="G397" s="127">
        <v>45870</v>
      </c>
      <c r="H397" s="113">
        <f t="shared" si="36"/>
        <v>45960</v>
      </c>
      <c r="I397" s="113" t="s">
        <v>290</v>
      </c>
      <c r="J397" s="125" t="s">
        <v>4314</v>
      </c>
      <c r="K397" s="125" t="s">
        <v>5308</v>
      </c>
      <c r="L397" s="125" t="s">
        <v>5309</v>
      </c>
      <c r="M397" s="128" t="str">
        <f t="shared" si="37"/>
        <v>TORRES  POLANCO DANIEL</v>
      </c>
      <c r="N397" s="128" t="s">
        <v>7212</v>
      </c>
      <c r="O397" s="128" t="s">
        <v>5310</v>
      </c>
      <c r="P397" s="125" t="s">
        <v>1953</v>
      </c>
      <c r="Q397" s="112">
        <v>29834</v>
      </c>
      <c r="R397" s="125">
        <f t="shared" si="38"/>
        <v>5</v>
      </c>
      <c r="S397" s="125">
        <f t="shared" si="39"/>
        <v>9</v>
      </c>
      <c r="T397" s="125">
        <f t="shared" si="40"/>
        <v>1981</v>
      </c>
      <c r="U397" s="142">
        <f t="shared" ca="1" si="41"/>
        <v>45.131506849315066</v>
      </c>
      <c r="V397" s="128" t="s">
        <v>342</v>
      </c>
      <c r="W397" s="128" t="s">
        <v>5311</v>
      </c>
      <c r="X397" s="125" t="s">
        <v>454</v>
      </c>
      <c r="Y397" s="125" t="s">
        <v>115</v>
      </c>
      <c r="Z397" s="109" t="s">
        <v>260</v>
      </c>
      <c r="AA397" s="125" t="s">
        <v>532</v>
      </c>
      <c r="AB397" s="109" t="s">
        <v>574</v>
      </c>
      <c r="AC397" s="125" t="s">
        <v>313</v>
      </c>
      <c r="AD397" s="125" t="s">
        <v>314</v>
      </c>
      <c r="AE397" s="125">
        <v>90</v>
      </c>
      <c r="AF397" s="114" t="s">
        <v>710</v>
      </c>
      <c r="AG397" s="125" t="s">
        <v>290</v>
      </c>
      <c r="AH397" s="110" t="s">
        <v>575</v>
      </c>
      <c r="AI397" s="125" t="s">
        <v>317</v>
      </c>
      <c r="AJ397" s="125" t="s">
        <v>318</v>
      </c>
      <c r="AK397" s="110" t="s">
        <v>5312</v>
      </c>
      <c r="AL397" s="95" t="s">
        <v>5313</v>
      </c>
      <c r="AM397" s="110" t="s">
        <v>5314</v>
      </c>
      <c r="AN397" s="110" t="s">
        <v>1531</v>
      </c>
      <c r="AO397" s="110" t="s">
        <v>398</v>
      </c>
      <c r="AP397" s="110" t="s">
        <v>398</v>
      </c>
      <c r="AQ397" s="110" t="s">
        <v>5315</v>
      </c>
      <c r="AR397" s="125">
        <v>2721</v>
      </c>
      <c r="AS397" s="125" t="s">
        <v>5238</v>
      </c>
      <c r="AT397" s="110" t="s">
        <v>116</v>
      </c>
      <c r="AU397" s="110" t="s">
        <v>583</v>
      </c>
      <c r="AV397" s="125">
        <v>44680</v>
      </c>
      <c r="AW397" s="109" t="s">
        <v>3416</v>
      </c>
      <c r="AX397" s="110" t="s">
        <v>329</v>
      </c>
      <c r="AY397" s="110" t="s">
        <v>329</v>
      </c>
      <c r="AZ397" s="110"/>
      <c r="BA397" s="110"/>
      <c r="BB397" s="110"/>
      <c r="BC397" s="110"/>
      <c r="BD397" s="110" t="s">
        <v>5314</v>
      </c>
      <c r="BE397" s="110" t="s">
        <v>1531</v>
      </c>
      <c r="BF397" s="110" t="s">
        <v>5316</v>
      </c>
      <c r="BG397" s="125"/>
      <c r="BH397" s="110" t="s">
        <v>3814</v>
      </c>
      <c r="BI397" s="110">
        <v>3</v>
      </c>
      <c r="BJ397" s="110"/>
      <c r="BK397" s="110" t="s">
        <v>571</v>
      </c>
      <c r="BL397" s="110">
        <v>16</v>
      </c>
      <c r="BM397" s="110"/>
      <c r="BN397" s="110" t="s">
        <v>571</v>
      </c>
      <c r="BO397" s="110">
        <v>13</v>
      </c>
      <c r="BP397" s="110"/>
      <c r="BQ397" s="125" t="s">
        <v>3911</v>
      </c>
      <c r="BR397" s="110">
        <v>3</v>
      </c>
      <c r="BS397" s="110"/>
      <c r="BT397" s="110"/>
      <c r="BU397" s="110"/>
      <c r="BV397" s="110"/>
      <c r="BW397" s="110"/>
      <c r="BX397" s="110"/>
      <c r="BY397" s="110"/>
      <c r="BZ397" s="110"/>
      <c r="CA397" s="110"/>
      <c r="CB397" s="109"/>
      <c r="CC397" s="109"/>
      <c r="CD397" s="110"/>
    </row>
    <row r="398" spans="1:82" s="116" customFormat="1" ht="13.9" customHeight="1" x14ac:dyDescent="0.25">
      <c r="A398" s="125">
        <v>916</v>
      </c>
      <c r="B398" s="125" t="s">
        <v>5325</v>
      </c>
      <c r="C398" s="128" t="s">
        <v>363</v>
      </c>
      <c r="D398" s="125" t="s">
        <v>292</v>
      </c>
      <c r="E398" s="111" t="s">
        <v>6706</v>
      </c>
      <c r="F398" s="127">
        <v>45870</v>
      </c>
      <c r="G398" s="127">
        <v>45870</v>
      </c>
      <c r="H398" s="113">
        <f t="shared" si="36"/>
        <v>45960</v>
      </c>
      <c r="I398" s="113" t="s">
        <v>290</v>
      </c>
      <c r="J398" s="125" t="s">
        <v>5286</v>
      </c>
      <c r="K398" s="125" t="s">
        <v>704</v>
      </c>
      <c r="L398" s="125" t="s">
        <v>1722</v>
      </c>
      <c r="M398" s="128" t="str">
        <f t="shared" si="37"/>
        <v>CUELLAR GONZALEZ SERGIO</v>
      </c>
      <c r="N398" s="128" t="s">
        <v>7112</v>
      </c>
      <c r="O398" s="128" t="s">
        <v>5287</v>
      </c>
      <c r="P398" s="125" t="s">
        <v>1953</v>
      </c>
      <c r="Q398" s="112">
        <v>32671</v>
      </c>
      <c r="R398" s="125">
        <f t="shared" si="38"/>
        <v>12</v>
      </c>
      <c r="S398" s="125">
        <f t="shared" si="39"/>
        <v>6</v>
      </c>
      <c r="T398" s="125">
        <f t="shared" si="40"/>
        <v>1989</v>
      </c>
      <c r="U398" s="142">
        <f t="shared" ca="1" si="41"/>
        <v>37.358904109589041</v>
      </c>
      <c r="V398" s="128" t="s">
        <v>342</v>
      </c>
      <c r="W398" s="128" t="s">
        <v>5322</v>
      </c>
      <c r="X398" s="125" t="s">
        <v>454</v>
      </c>
      <c r="Y398" s="136" t="s">
        <v>391</v>
      </c>
      <c r="Z398" s="125"/>
      <c r="AA398" s="110" t="s">
        <v>2276</v>
      </c>
      <c r="AB398" s="125" t="s">
        <v>5085</v>
      </c>
      <c r="AC398" s="125" t="s">
        <v>313</v>
      </c>
      <c r="AD398" s="125" t="s">
        <v>314</v>
      </c>
      <c r="AE398" s="125">
        <v>90</v>
      </c>
      <c r="AF398" s="114" t="s">
        <v>292</v>
      </c>
      <c r="AG398" s="109" t="s">
        <v>290</v>
      </c>
      <c r="AH398" s="110" t="s">
        <v>5474</v>
      </c>
      <c r="AI398" s="109" t="s">
        <v>317</v>
      </c>
      <c r="AJ398" s="109" t="s">
        <v>318</v>
      </c>
      <c r="AK398" s="125" t="s">
        <v>5335</v>
      </c>
      <c r="AL398" s="95" t="s">
        <v>5338</v>
      </c>
      <c r="AM398" s="110" t="s">
        <v>5336</v>
      </c>
      <c r="AN398" s="110" t="s">
        <v>381</v>
      </c>
      <c r="AO398" s="110"/>
      <c r="AP398" s="110"/>
      <c r="AQ398" s="110" t="s">
        <v>5337</v>
      </c>
      <c r="AR398" s="125">
        <v>1212</v>
      </c>
      <c r="AS398" s="125" t="s">
        <v>581</v>
      </c>
      <c r="AT398" s="110" t="s">
        <v>133</v>
      </c>
      <c r="AU398" s="110" t="s">
        <v>912</v>
      </c>
      <c r="AV398" s="125">
        <v>64440</v>
      </c>
      <c r="AW398" s="109" t="s">
        <v>3416</v>
      </c>
      <c r="AX398" s="110" t="s">
        <v>329</v>
      </c>
      <c r="AY398" s="110" t="s">
        <v>329</v>
      </c>
      <c r="AZ398" s="110"/>
      <c r="BA398" s="110"/>
      <c r="BB398" s="110"/>
      <c r="BC398" s="110"/>
      <c r="BD398" s="110" t="s">
        <v>5336</v>
      </c>
      <c r="BE398" s="110" t="s">
        <v>381</v>
      </c>
      <c r="BF398" s="110">
        <v>8135906734</v>
      </c>
      <c r="BG398" s="125"/>
      <c r="BH398" s="110"/>
      <c r="BI398" s="110"/>
      <c r="BJ398" s="110"/>
      <c r="BK398" s="110"/>
      <c r="BL398" s="110"/>
      <c r="BM398" s="110"/>
      <c r="BN398" s="110"/>
      <c r="BO398" s="110"/>
      <c r="BP398" s="110"/>
      <c r="BQ398" s="110"/>
      <c r="BR398" s="110"/>
      <c r="BS398" s="110"/>
      <c r="BT398" s="110"/>
      <c r="BU398" s="110"/>
      <c r="BV398" s="110"/>
      <c r="BW398" s="110"/>
      <c r="BX398" s="110"/>
      <c r="BY398" s="110"/>
      <c r="BZ398" s="110"/>
      <c r="CA398" s="110"/>
      <c r="CB398" s="109"/>
      <c r="CC398" s="109"/>
      <c r="CD398" s="110"/>
    </row>
    <row r="399" spans="1:82" s="116" customFormat="1" ht="13.9" customHeight="1" x14ac:dyDescent="0.2">
      <c r="A399" s="125">
        <v>917</v>
      </c>
      <c r="B399" s="125" t="s">
        <v>5326</v>
      </c>
      <c r="C399" s="128" t="s">
        <v>363</v>
      </c>
      <c r="D399" s="109" t="s">
        <v>86</v>
      </c>
      <c r="E399" s="111" t="s">
        <v>6545</v>
      </c>
      <c r="F399" s="127">
        <v>45870</v>
      </c>
      <c r="G399" s="127">
        <v>45870</v>
      </c>
      <c r="H399" s="113">
        <f t="shared" si="36"/>
        <v>45960</v>
      </c>
      <c r="I399" s="113" t="s">
        <v>291</v>
      </c>
      <c r="J399" s="109" t="s">
        <v>4432</v>
      </c>
      <c r="K399" s="109" t="s">
        <v>4490</v>
      </c>
      <c r="L399" s="109" t="s">
        <v>1942</v>
      </c>
      <c r="M399" s="128" t="str">
        <f t="shared" si="37"/>
        <v>ARRIAGA PADRON ADOLFO</v>
      </c>
      <c r="N399" s="128" t="s">
        <v>6929</v>
      </c>
      <c r="O399" s="128" t="s">
        <v>4849</v>
      </c>
      <c r="P399" s="109" t="s">
        <v>1953</v>
      </c>
      <c r="Q399" s="112">
        <v>35468</v>
      </c>
      <c r="R399" s="125">
        <f t="shared" si="38"/>
        <v>7</v>
      </c>
      <c r="S399" s="125">
        <f t="shared" si="39"/>
        <v>2</v>
      </c>
      <c r="T399" s="125">
        <f t="shared" si="40"/>
        <v>1997</v>
      </c>
      <c r="U399" s="142">
        <f t="shared" ca="1" si="41"/>
        <v>29.695890410958903</v>
      </c>
      <c r="V399" s="128" t="s">
        <v>389</v>
      </c>
      <c r="W399" s="114" t="s">
        <v>2260</v>
      </c>
      <c r="X399" s="109" t="s">
        <v>1497</v>
      </c>
      <c r="Y399" s="120" t="s">
        <v>248</v>
      </c>
      <c r="Z399" s="109" t="s">
        <v>93</v>
      </c>
      <c r="AA399" s="109" t="s">
        <v>636</v>
      </c>
      <c r="AB399" s="109" t="s">
        <v>1428</v>
      </c>
      <c r="AC399" s="125" t="s">
        <v>313</v>
      </c>
      <c r="AD399" s="125" t="s">
        <v>314</v>
      </c>
      <c r="AE399" s="125">
        <v>90</v>
      </c>
      <c r="AF399" s="128" t="s">
        <v>375</v>
      </c>
      <c r="AG399" s="125" t="s">
        <v>290</v>
      </c>
      <c r="AH399" s="110" t="s">
        <v>473</v>
      </c>
      <c r="AI399" s="109" t="s">
        <v>317</v>
      </c>
      <c r="AJ399" s="109" t="s">
        <v>318</v>
      </c>
      <c r="AK399" s="109" t="s">
        <v>2858</v>
      </c>
      <c r="AL399" s="115" t="s">
        <v>3164</v>
      </c>
      <c r="AM399" s="109" t="s">
        <v>2621</v>
      </c>
      <c r="AN399" s="109" t="s">
        <v>325</v>
      </c>
      <c r="AO399" s="109" t="s">
        <v>398</v>
      </c>
      <c r="AP399" s="109"/>
      <c r="AQ399" s="109" t="s">
        <v>3341</v>
      </c>
      <c r="AR399" s="109">
        <v>104</v>
      </c>
      <c r="AS399" s="109" t="s">
        <v>328</v>
      </c>
      <c r="AT399" s="109" t="s">
        <v>483</v>
      </c>
      <c r="AU399" s="109" t="s">
        <v>483</v>
      </c>
      <c r="AV399" s="109">
        <v>78216</v>
      </c>
      <c r="AW399" s="109" t="s">
        <v>3416</v>
      </c>
      <c r="AX399" s="110" t="s">
        <v>329</v>
      </c>
      <c r="AY399" s="110" t="s">
        <v>329</v>
      </c>
      <c r="AZ399" s="109"/>
      <c r="BA399" s="109"/>
      <c r="BB399" s="109"/>
      <c r="BC399" s="109"/>
      <c r="BD399" s="109" t="s">
        <v>2621</v>
      </c>
      <c r="BE399" s="109" t="s">
        <v>325</v>
      </c>
      <c r="BF399" s="109" t="s">
        <v>3807</v>
      </c>
      <c r="BG399" s="109" t="s">
        <v>1406</v>
      </c>
      <c r="BH399" s="109" t="s">
        <v>334</v>
      </c>
      <c r="BI399" s="109"/>
      <c r="BJ399" s="109" t="s">
        <v>3888</v>
      </c>
      <c r="BK399" s="109" t="s">
        <v>3911</v>
      </c>
      <c r="BL399" s="111">
        <v>0</v>
      </c>
      <c r="BM399" s="109"/>
      <c r="BN399" s="109">
        <v>0</v>
      </c>
      <c r="BO399" s="111">
        <v>0</v>
      </c>
      <c r="BP399" s="109"/>
      <c r="BQ399" s="109">
        <v>0</v>
      </c>
      <c r="BR399" s="109">
        <v>0</v>
      </c>
      <c r="BS399" s="109"/>
      <c r="BT399" s="109">
        <v>0</v>
      </c>
      <c r="BU399" s="109">
        <v>0</v>
      </c>
      <c r="BV399" s="109"/>
      <c r="BW399" s="109">
        <v>0</v>
      </c>
      <c r="BX399" s="109">
        <v>0</v>
      </c>
      <c r="BY399" s="109"/>
      <c r="BZ399" s="109">
        <v>0</v>
      </c>
      <c r="CA399" s="109"/>
      <c r="CB399" s="109"/>
      <c r="CC399" s="109"/>
      <c r="CD399" s="110"/>
    </row>
    <row r="400" spans="1:82" ht="13.9" customHeight="1" x14ac:dyDescent="0.25">
      <c r="A400" s="77">
        <v>1119</v>
      </c>
      <c r="B400" s="77" t="s">
        <v>5380</v>
      </c>
      <c r="C400" s="78" t="s">
        <v>299</v>
      </c>
      <c r="D400" s="99" t="s">
        <v>80</v>
      </c>
      <c r="E400" s="99" t="s">
        <v>6799</v>
      </c>
      <c r="F400" s="79">
        <v>45873</v>
      </c>
      <c r="G400" s="79">
        <v>45873</v>
      </c>
      <c r="H400" s="101">
        <f t="shared" si="36"/>
        <v>45963</v>
      </c>
      <c r="I400" s="101" t="s">
        <v>291</v>
      </c>
      <c r="J400" s="77" t="s">
        <v>5369</v>
      </c>
      <c r="K400" s="77" t="s">
        <v>793</v>
      </c>
      <c r="L400" s="77" t="s">
        <v>5370</v>
      </c>
      <c r="M400" s="102" t="str">
        <f t="shared" si="37"/>
        <v>CASTILLO  LOPEZ MICHAEL EDUARDO</v>
      </c>
      <c r="N400" s="102" t="s">
        <v>7213</v>
      </c>
      <c r="O400" s="102" t="s">
        <v>5371</v>
      </c>
      <c r="P400" s="77" t="s">
        <v>1953</v>
      </c>
      <c r="Q400" s="100">
        <v>32581</v>
      </c>
      <c r="R400" s="77">
        <f t="shared" si="38"/>
        <v>14</v>
      </c>
      <c r="S400" s="77">
        <f t="shared" si="39"/>
        <v>3</v>
      </c>
      <c r="T400" s="77">
        <f t="shared" si="40"/>
        <v>1989</v>
      </c>
      <c r="U400" s="103">
        <f t="shared" ca="1" si="41"/>
        <v>37.605479452054794</v>
      </c>
      <c r="V400" s="102" t="s">
        <v>389</v>
      </c>
      <c r="W400" s="102" t="s">
        <v>5372</v>
      </c>
      <c r="X400" s="77" t="s">
        <v>5373</v>
      </c>
      <c r="Y400" s="77" t="s">
        <v>5374</v>
      </c>
      <c r="Z400" s="12" t="s">
        <v>174</v>
      </c>
      <c r="AA400" s="12" t="s">
        <v>2273</v>
      </c>
      <c r="AB400" s="12" t="s">
        <v>2301</v>
      </c>
      <c r="AC400" s="77" t="s">
        <v>313</v>
      </c>
      <c r="AD400" s="77" t="s">
        <v>314</v>
      </c>
      <c r="AE400" s="77">
        <v>90</v>
      </c>
      <c r="AF400" s="13" t="s">
        <v>315</v>
      </c>
      <c r="AG400" s="12" t="s">
        <v>291</v>
      </c>
      <c r="AH400" s="78" t="s">
        <v>316</v>
      </c>
      <c r="AI400" s="12" t="s">
        <v>317</v>
      </c>
      <c r="AJ400" s="12" t="s">
        <v>318</v>
      </c>
      <c r="AK400" s="78" t="s">
        <v>5375</v>
      </c>
      <c r="AL400" s="91" t="s">
        <v>5376</v>
      </c>
      <c r="AM400" s="78" t="s">
        <v>5377</v>
      </c>
      <c r="AN400" s="78" t="s">
        <v>325</v>
      </c>
      <c r="AO400" s="78" t="s">
        <v>327</v>
      </c>
      <c r="AP400" s="78" t="s">
        <v>398</v>
      </c>
      <c r="AQ400" s="78" t="s">
        <v>5378</v>
      </c>
      <c r="AR400" s="77">
        <v>512</v>
      </c>
      <c r="AS400" s="77" t="s">
        <v>581</v>
      </c>
      <c r="AT400" s="78" t="s">
        <v>483</v>
      </c>
      <c r="AU400" s="78" t="s">
        <v>483</v>
      </c>
      <c r="AV400" s="77">
        <v>78399</v>
      </c>
      <c r="AW400" s="12" t="s">
        <v>3417</v>
      </c>
      <c r="AX400" s="78" t="s">
        <v>329</v>
      </c>
      <c r="AY400" s="12" t="s">
        <v>3417</v>
      </c>
      <c r="AZ400" s="78"/>
      <c r="BA400" s="78"/>
      <c r="BB400" s="78"/>
      <c r="BC400" s="78"/>
      <c r="BD400" s="78" t="s">
        <v>5377</v>
      </c>
      <c r="BE400" s="78" t="s">
        <v>325</v>
      </c>
      <c r="BF400" s="78" t="s">
        <v>5379</v>
      </c>
      <c r="BG400" s="77" t="s">
        <v>333</v>
      </c>
      <c r="BH400" s="78" t="s">
        <v>334</v>
      </c>
      <c r="BI400" s="78">
        <v>1</v>
      </c>
      <c r="BJ400" s="78"/>
      <c r="BK400" s="12" t="s">
        <v>3911</v>
      </c>
      <c r="BL400" s="78">
        <v>6</v>
      </c>
      <c r="BM400" s="78"/>
      <c r="BN400" s="78"/>
      <c r="BO400" s="78"/>
      <c r="BP400" s="78"/>
      <c r="BQ400" s="78"/>
      <c r="BR400" s="78"/>
      <c r="BS400" s="78"/>
      <c r="BT400" s="78"/>
      <c r="BU400" s="78"/>
      <c r="BV400" s="78"/>
      <c r="BW400" s="78"/>
      <c r="BX400" s="78"/>
      <c r="BY400" s="78"/>
      <c r="BZ400" s="78"/>
      <c r="CA400" s="78"/>
      <c r="CB400" s="12"/>
      <c r="CC400" s="12"/>
      <c r="CD400" s="78"/>
    </row>
    <row r="401" spans="1:83" s="116" customFormat="1" ht="13.9" customHeight="1" x14ac:dyDescent="0.25">
      <c r="A401" s="125">
        <v>918</v>
      </c>
      <c r="B401" s="125" t="s">
        <v>5327</v>
      </c>
      <c r="C401" s="110" t="s">
        <v>363</v>
      </c>
      <c r="D401" s="125" t="s">
        <v>292</v>
      </c>
      <c r="E401" s="111" t="s">
        <v>6800</v>
      </c>
      <c r="F401" s="127">
        <v>45874</v>
      </c>
      <c r="G401" s="127">
        <v>45874</v>
      </c>
      <c r="H401" s="113">
        <f t="shared" si="36"/>
        <v>45964</v>
      </c>
      <c r="I401" s="113" t="s">
        <v>290</v>
      </c>
      <c r="J401" s="125" t="s">
        <v>5328</v>
      </c>
      <c r="K401" s="125" t="s">
        <v>5329</v>
      </c>
      <c r="L401" s="125" t="s">
        <v>1723</v>
      </c>
      <c r="M401" s="128" t="str">
        <f t="shared" si="37"/>
        <v>BADILLO  BELTRAN JOSE MARTIN</v>
      </c>
      <c r="N401" s="128" t="s">
        <v>7214</v>
      </c>
      <c r="O401" s="128" t="s">
        <v>5330</v>
      </c>
      <c r="P401" s="125" t="s">
        <v>1953</v>
      </c>
      <c r="Q401" s="112">
        <v>28308</v>
      </c>
      <c r="R401" s="125">
        <f t="shared" si="38"/>
        <v>2</v>
      </c>
      <c r="S401" s="125">
        <f t="shared" si="39"/>
        <v>7</v>
      </c>
      <c r="T401" s="125">
        <f t="shared" si="40"/>
        <v>1977</v>
      </c>
      <c r="U401" s="142">
        <f t="shared" ca="1" si="41"/>
        <v>49.31232876712329</v>
      </c>
      <c r="V401" s="128" t="s">
        <v>389</v>
      </c>
      <c r="W401" s="128" t="s">
        <v>5331</v>
      </c>
      <c r="X401" s="125" t="s">
        <v>454</v>
      </c>
      <c r="Y401" s="136" t="s">
        <v>391</v>
      </c>
      <c r="Z401" s="125"/>
      <c r="AA401" s="110" t="s">
        <v>2276</v>
      </c>
      <c r="AB401" s="125" t="s">
        <v>5085</v>
      </c>
      <c r="AC401" s="125" t="s">
        <v>313</v>
      </c>
      <c r="AD401" s="125" t="s">
        <v>314</v>
      </c>
      <c r="AE401" s="125">
        <v>90</v>
      </c>
      <c r="AF401" s="114" t="s">
        <v>292</v>
      </c>
      <c r="AG401" s="125" t="s">
        <v>290</v>
      </c>
      <c r="AH401" s="110" t="s">
        <v>5474</v>
      </c>
      <c r="AI401" s="109" t="s">
        <v>317</v>
      </c>
      <c r="AJ401" s="109" t="s">
        <v>318</v>
      </c>
      <c r="AK401" s="125" t="s">
        <v>5332</v>
      </c>
      <c r="AL401" s="95" t="s">
        <v>5323</v>
      </c>
      <c r="AM401" s="110" t="s">
        <v>5333</v>
      </c>
      <c r="AN401" s="110" t="s">
        <v>401</v>
      </c>
      <c r="AO401" s="110" t="s">
        <v>398</v>
      </c>
      <c r="AP401" s="110" t="s">
        <v>398</v>
      </c>
      <c r="AQ401" s="110" t="s">
        <v>5334</v>
      </c>
      <c r="AR401" s="125">
        <v>444</v>
      </c>
      <c r="AS401" s="125" t="s">
        <v>581</v>
      </c>
      <c r="AT401" s="110" t="s">
        <v>133</v>
      </c>
      <c r="AU401" s="110" t="s">
        <v>133</v>
      </c>
      <c r="AV401" s="125">
        <v>64000</v>
      </c>
      <c r="AW401" s="109" t="s">
        <v>3416</v>
      </c>
      <c r="AX401" s="110" t="s">
        <v>329</v>
      </c>
      <c r="AY401" s="110" t="s">
        <v>329</v>
      </c>
      <c r="AZ401" s="110"/>
      <c r="BA401" s="110"/>
      <c r="BB401" s="110"/>
      <c r="BC401" s="110"/>
      <c r="BD401" s="110" t="s">
        <v>5324</v>
      </c>
      <c r="BE401" s="110" t="s">
        <v>401</v>
      </c>
      <c r="BF401" s="110">
        <v>5535753034</v>
      </c>
      <c r="BG401" s="125" t="s">
        <v>333</v>
      </c>
      <c r="BH401" s="110"/>
      <c r="BI401" s="110"/>
      <c r="BJ401" s="110"/>
      <c r="BK401" s="109" t="s">
        <v>3911</v>
      </c>
      <c r="BL401" s="110">
        <v>16</v>
      </c>
      <c r="BM401" s="110"/>
      <c r="BN401" s="110"/>
      <c r="BO401" s="110"/>
      <c r="BP401" s="110"/>
      <c r="BQ401" s="110"/>
      <c r="BR401" s="110"/>
      <c r="BS401" s="110"/>
      <c r="BT401" s="110"/>
      <c r="BU401" s="110"/>
      <c r="BV401" s="110"/>
      <c r="BW401" s="110"/>
      <c r="BX401" s="110"/>
      <c r="BY401" s="110"/>
      <c r="BZ401" s="110"/>
      <c r="CA401" s="110"/>
      <c r="CB401" s="109"/>
      <c r="CC401" s="109"/>
      <c r="CD401" s="110"/>
    </row>
    <row r="402" spans="1:83" s="116" customFormat="1" ht="13.9" customHeight="1" x14ac:dyDescent="0.25">
      <c r="A402" s="125">
        <v>919</v>
      </c>
      <c r="B402" s="125" t="s">
        <v>5339</v>
      </c>
      <c r="C402" s="110" t="s">
        <v>363</v>
      </c>
      <c r="D402" s="109" t="s">
        <v>249</v>
      </c>
      <c r="E402" s="111" t="s">
        <v>6707</v>
      </c>
      <c r="F402" s="127">
        <v>45875</v>
      </c>
      <c r="G402" s="127">
        <v>45875</v>
      </c>
      <c r="H402" s="113">
        <f t="shared" si="36"/>
        <v>45965</v>
      </c>
      <c r="I402" s="113" t="s">
        <v>290</v>
      </c>
      <c r="J402" s="125" t="s">
        <v>704</v>
      </c>
      <c r="K402" s="125" t="s">
        <v>4344</v>
      </c>
      <c r="L402" s="125" t="s">
        <v>1722</v>
      </c>
      <c r="M402" s="128" t="str">
        <f t="shared" si="37"/>
        <v>GONZALEZ MURILLO SERGIO</v>
      </c>
      <c r="N402" s="128" t="s">
        <v>7113</v>
      </c>
      <c r="O402" s="128" t="s">
        <v>5347</v>
      </c>
      <c r="P402" s="125" t="s">
        <v>1953</v>
      </c>
      <c r="Q402" s="112">
        <v>30280</v>
      </c>
      <c r="R402" s="125">
        <f t="shared" si="38"/>
        <v>25</v>
      </c>
      <c r="S402" s="125">
        <f t="shared" si="39"/>
        <v>11</v>
      </c>
      <c r="T402" s="125">
        <f t="shared" si="40"/>
        <v>1982</v>
      </c>
      <c r="U402" s="142">
        <f t="shared" ca="1" si="41"/>
        <v>43.909589041095892</v>
      </c>
      <c r="V402" s="128" t="s">
        <v>342</v>
      </c>
      <c r="W402" s="128" t="s">
        <v>5350</v>
      </c>
      <c r="X402" s="125" t="s">
        <v>454</v>
      </c>
      <c r="Y402" s="125" t="s">
        <v>94</v>
      </c>
      <c r="Z402" s="109" t="s">
        <v>104</v>
      </c>
      <c r="AA402" s="109" t="s">
        <v>392</v>
      </c>
      <c r="AB402" s="109" t="s">
        <v>2285</v>
      </c>
      <c r="AC402" s="125" t="s">
        <v>313</v>
      </c>
      <c r="AD402" s="125" t="s">
        <v>314</v>
      </c>
      <c r="AE402" s="125">
        <v>90</v>
      </c>
      <c r="AF402" s="114" t="s">
        <v>375</v>
      </c>
      <c r="AG402" s="109" t="s">
        <v>290</v>
      </c>
      <c r="AH402" s="110" t="s">
        <v>473</v>
      </c>
      <c r="AI402" s="109" t="s">
        <v>317</v>
      </c>
      <c r="AJ402" s="109" t="s">
        <v>318</v>
      </c>
      <c r="AK402" s="110" t="s">
        <v>5351</v>
      </c>
      <c r="AL402" s="95" t="s">
        <v>5352</v>
      </c>
      <c r="AM402" s="110" t="s">
        <v>5353</v>
      </c>
      <c r="AN402" s="110" t="s">
        <v>381</v>
      </c>
      <c r="AO402" s="110" t="s">
        <v>398</v>
      </c>
      <c r="AP402" s="110" t="s">
        <v>398</v>
      </c>
      <c r="AQ402" s="110" t="s">
        <v>5354</v>
      </c>
      <c r="AR402" s="125">
        <v>67</v>
      </c>
      <c r="AS402" s="125">
        <v>67</v>
      </c>
      <c r="AT402" s="110" t="s">
        <v>1488</v>
      </c>
      <c r="AU402" s="110" t="s">
        <v>483</v>
      </c>
      <c r="AV402" s="125">
        <v>78983</v>
      </c>
      <c r="AW402" s="109" t="s">
        <v>3416</v>
      </c>
      <c r="AX402" s="110" t="s">
        <v>329</v>
      </c>
      <c r="AY402" s="110" t="s">
        <v>329</v>
      </c>
      <c r="AZ402" s="110"/>
      <c r="BA402" s="110"/>
      <c r="BB402" s="110"/>
      <c r="BC402" s="110"/>
      <c r="BD402" s="110" t="s">
        <v>5355</v>
      </c>
      <c r="BE402" s="110" t="s">
        <v>381</v>
      </c>
      <c r="BF402" s="110" t="s">
        <v>5356</v>
      </c>
      <c r="BG402" s="125" t="s">
        <v>1349</v>
      </c>
      <c r="BH402" s="110" t="s">
        <v>334</v>
      </c>
      <c r="BI402" s="110">
        <v>2</v>
      </c>
      <c r="BJ402" s="110"/>
      <c r="BK402" s="110" t="s">
        <v>571</v>
      </c>
      <c r="BL402" s="110">
        <v>6</v>
      </c>
      <c r="BM402" s="110"/>
      <c r="BN402" s="110" t="s">
        <v>571</v>
      </c>
      <c r="BO402" s="110">
        <v>13</v>
      </c>
      <c r="BP402" s="110"/>
      <c r="BQ402" s="110"/>
      <c r="BR402" s="110"/>
      <c r="BS402" s="110"/>
      <c r="BT402" s="110"/>
      <c r="BU402" s="110"/>
      <c r="BV402" s="110"/>
      <c r="BW402" s="110"/>
      <c r="BX402" s="110"/>
      <c r="BY402" s="110"/>
      <c r="BZ402" s="110"/>
      <c r="CA402" s="110"/>
      <c r="CB402" s="109"/>
      <c r="CC402" s="109"/>
      <c r="CD402" s="110"/>
    </row>
    <row r="403" spans="1:83" ht="13.9" customHeight="1" x14ac:dyDescent="0.25">
      <c r="A403" s="77">
        <v>920</v>
      </c>
      <c r="B403" s="77" t="s">
        <v>5340</v>
      </c>
      <c r="C403" s="78" t="s">
        <v>363</v>
      </c>
      <c r="D403" s="12" t="s">
        <v>249</v>
      </c>
      <c r="E403" s="99" t="s">
        <v>6801</v>
      </c>
      <c r="F403" s="79">
        <v>45875</v>
      </c>
      <c r="G403" s="79">
        <v>45875</v>
      </c>
      <c r="H403" s="101">
        <f t="shared" si="36"/>
        <v>45965</v>
      </c>
      <c r="I403" s="101" t="s">
        <v>290</v>
      </c>
      <c r="J403" s="77" t="s">
        <v>5342</v>
      </c>
      <c r="K403" s="77" t="s">
        <v>447</v>
      </c>
      <c r="L403" s="77" t="s">
        <v>5343</v>
      </c>
      <c r="M403" s="102" t="str">
        <f t="shared" si="37"/>
        <v>ALMAZAN  GARCIA LUIS LEONARDO</v>
      </c>
      <c r="N403" s="102" t="s">
        <v>7215</v>
      </c>
      <c r="O403" s="102" t="s">
        <v>5348</v>
      </c>
      <c r="P403" s="77" t="s">
        <v>1953</v>
      </c>
      <c r="Q403" s="100">
        <v>35306</v>
      </c>
      <c r="R403" s="77">
        <f t="shared" si="38"/>
        <v>29</v>
      </c>
      <c r="S403" s="77">
        <f t="shared" si="39"/>
        <v>8</v>
      </c>
      <c r="T403" s="77">
        <f t="shared" si="40"/>
        <v>1996</v>
      </c>
      <c r="U403" s="103">
        <f t="shared" ca="1" si="41"/>
        <v>30.139726027397259</v>
      </c>
      <c r="V403" s="102" t="s">
        <v>389</v>
      </c>
      <c r="W403" s="102" t="s">
        <v>5357</v>
      </c>
      <c r="X403" s="77" t="s">
        <v>530</v>
      </c>
      <c r="Y403" s="107" t="s">
        <v>87</v>
      </c>
      <c r="Z403" s="12" t="s">
        <v>103</v>
      </c>
      <c r="AA403" s="12" t="s">
        <v>392</v>
      </c>
      <c r="AB403" s="12" t="s">
        <v>2285</v>
      </c>
      <c r="AC403" s="77" t="s">
        <v>313</v>
      </c>
      <c r="AD403" s="77" t="s">
        <v>314</v>
      </c>
      <c r="AE403" s="77">
        <v>90</v>
      </c>
      <c r="AF403" s="13" t="s">
        <v>375</v>
      </c>
      <c r="AG403" s="12" t="s">
        <v>290</v>
      </c>
      <c r="AH403" s="78" t="s">
        <v>473</v>
      </c>
      <c r="AI403" s="12" t="s">
        <v>317</v>
      </c>
      <c r="AJ403" s="12" t="s">
        <v>318</v>
      </c>
      <c r="AK403" s="78" t="s">
        <v>5358</v>
      </c>
      <c r="AL403" s="91" t="s">
        <v>5367</v>
      </c>
      <c r="AM403" s="78" t="s">
        <v>5368</v>
      </c>
      <c r="AN403" s="78" t="s">
        <v>3175</v>
      </c>
      <c r="AO403" s="78"/>
      <c r="AP403" s="78"/>
      <c r="AQ403" s="78" t="s">
        <v>5359</v>
      </c>
      <c r="AR403" s="77">
        <v>525</v>
      </c>
      <c r="AS403" s="77" t="s">
        <v>581</v>
      </c>
      <c r="AT403" s="78" t="s">
        <v>5360</v>
      </c>
      <c r="AU403" s="78" t="s">
        <v>483</v>
      </c>
      <c r="AV403" s="77">
        <v>79460</v>
      </c>
      <c r="AW403" s="12" t="s">
        <v>3416</v>
      </c>
      <c r="AX403" s="78" t="s">
        <v>329</v>
      </c>
      <c r="AY403" s="78" t="s">
        <v>329</v>
      </c>
      <c r="AZ403" s="78"/>
      <c r="BA403" s="78"/>
      <c r="BB403" s="78"/>
      <c r="BC403" s="78"/>
      <c r="BD403" s="78" t="s">
        <v>5368</v>
      </c>
      <c r="BE403" s="12" t="s">
        <v>325</v>
      </c>
      <c r="BF403" s="78">
        <v>4875509597</v>
      </c>
      <c r="BG403" s="77"/>
      <c r="BH403" s="78"/>
      <c r="BI403" s="78"/>
      <c r="BJ403" s="78"/>
      <c r="BK403" s="78"/>
      <c r="BL403" s="78"/>
      <c r="BM403" s="78"/>
      <c r="BN403" s="78"/>
      <c r="BO403" s="78"/>
      <c r="BP403" s="78"/>
      <c r="BQ403" s="78"/>
      <c r="BR403" s="78"/>
      <c r="BS403" s="78"/>
      <c r="BT403" s="78"/>
      <c r="BU403" s="78"/>
      <c r="BV403" s="78"/>
      <c r="BW403" s="78"/>
      <c r="BX403" s="78"/>
      <c r="BY403" s="78"/>
      <c r="BZ403" s="78"/>
      <c r="CA403" s="78"/>
      <c r="CB403" s="12"/>
      <c r="CC403" s="12"/>
      <c r="CD403" s="78"/>
    </row>
    <row r="404" spans="1:83" s="116" customFormat="1" ht="13.9" customHeight="1" x14ac:dyDescent="0.25">
      <c r="A404" s="125">
        <v>921</v>
      </c>
      <c r="B404" s="125" t="s">
        <v>5341</v>
      </c>
      <c r="C404" s="110" t="s">
        <v>363</v>
      </c>
      <c r="D404" s="109" t="s">
        <v>249</v>
      </c>
      <c r="E404" s="111" t="s">
        <v>6802</v>
      </c>
      <c r="F404" s="127">
        <v>45875</v>
      </c>
      <c r="G404" s="127">
        <v>45875</v>
      </c>
      <c r="H404" s="113">
        <f t="shared" si="36"/>
        <v>45965</v>
      </c>
      <c r="I404" s="113" t="s">
        <v>290</v>
      </c>
      <c r="J404" s="125" t="s">
        <v>5344</v>
      </c>
      <c r="K404" s="125" t="s">
        <v>5345</v>
      </c>
      <c r="L404" s="125" t="s">
        <v>5346</v>
      </c>
      <c r="M404" s="128" t="str">
        <f t="shared" si="37"/>
        <v xml:space="preserve">ZAMARRIPA GUARDIOLA JORGE </v>
      </c>
      <c r="N404" s="128" t="s">
        <v>7216</v>
      </c>
      <c r="O404" s="128" t="s">
        <v>5349</v>
      </c>
      <c r="P404" s="125" t="s">
        <v>1953</v>
      </c>
      <c r="Q404" s="112">
        <v>35194</v>
      </c>
      <c r="R404" s="125">
        <f t="shared" si="38"/>
        <v>9</v>
      </c>
      <c r="S404" s="125">
        <f t="shared" si="39"/>
        <v>5</v>
      </c>
      <c r="T404" s="125">
        <f t="shared" si="40"/>
        <v>1996</v>
      </c>
      <c r="U404" s="142">
        <f t="shared" ca="1" si="41"/>
        <v>30.446575342465753</v>
      </c>
      <c r="V404" s="128" t="s">
        <v>342</v>
      </c>
      <c r="W404" s="128" t="s">
        <v>5361</v>
      </c>
      <c r="X404" s="125" t="s">
        <v>454</v>
      </c>
      <c r="Y404" s="109" t="s">
        <v>87</v>
      </c>
      <c r="Z404" s="109" t="s">
        <v>103</v>
      </c>
      <c r="AA404" s="109" t="s">
        <v>392</v>
      </c>
      <c r="AB404" s="109" t="s">
        <v>2285</v>
      </c>
      <c r="AC404" s="125" t="s">
        <v>313</v>
      </c>
      <c r="AD404" s="125" t="s">
        <v>314</v>
      </c>
      <c r="AE404" s="125">
        <v>90</v>
      </c>
      <c r="AF404" s="114" t="s">
        <v>375</v>
      </c>
      <c r="AG404" s="109" t="s">
        <v>290</v>
      </c>
      <c r="AH404" s="110" t="s">
        <v>473</v>
      </c>
      <c r="AI404" s="109" t="s">
        <v>317</v>
      </c>
      <c r="AJ404" s="109" t="s">
        <v>318</v>
      </c>
      <c r="AK404" s="110" t="s">
        <v>5362</v>
      </c>
      <c r="AL404" s="95" t="s">
        <v>5363</v>
      </c>
      <c r="AM404" s="110" t="s">
        <v>5364</v>
      </c>
      <c r="AN404" s="110" t="s">
        <v>381</v>
      </c>
      <c r="AO404" s="110" t="s">
        <v>398</v>
      </c>
      <c r="AP404" s="110" t="s">
        <v>398</v>
      </c>
      <c r="AQ404" s="110" t="s">
        <v>5365</v>
      </c>
      <c r="AR404" s="125">
        <v>147</v>
      </c>
      <c r="AS404" s="125">
        <v>147</v>
      </c>
      <c r="AT404" s="110" t="s">
        <v>105</v>
      </c>
      <c r="AU404" s="110" t="s">
        <v>105</v>
      </c>
      <c r="AV404" s="125">
        <v>20196</v>
      </c>
      <c r="AW404" s="109" t="s">
        <v>3416</v>
      </c>
      <c r="AX404" s="110" t="s">
        <v>329</v>
      </c>
      <c r="AY404" s="110" t="s">
        <v>329</v>
      </c>
      <c r="AZ404" s="110"/>
      <c r="BA404" s="110"/>
      <c r="BB404" s="110"/>
      <c r="BC404" s="110"/>
      <c r="BD404" s="110" t="s">
        <v>5364</v>
      </c>
      <c r="BE404" s="110" t="s">
        <v>381</v>
      </c>
      <c r="BF404" s="110" t="s">
        <v>5366</v>
      </c>
      <c r="BG404" s="125"/>
      <c r="BH404" s="110"/>
      <c r="BI404" s="110">
        <v>2</v>
      </c>
      <c r="BJ404" s="110"/>
      <c r="BK404" s="109" t="s">
        <v>3911</v>
      </c>
      <c r="BL404" s="110"/>
      <c r="BM404" s="110"/>
      <c r="BN404" s="110" t="s">
        <v>571</v>
      </c>
      <c r="BO404" s="110"/>
      <c r="BP404" s="110"/>
      <c r="BQ404" s="110"/>
      <c r="BR404" s="110"/>
      <c r="BS404" s="110"/>
      <c r="BT404" s="110"/>
      <c r="BU404" s="110"/>
      <c r="BV404" s="110"/>
      <c r="BW404" s="110"/>
      <c r="BX404" s="110"/>
      <c r="BY404" s="110"/>
      <c r="BZ404" s="110"/>
      <c r="CA404" s="110"/>
      <c r="CB404" s="109"/>
      <c r="CC404" s="109"/>
      <c r="CD404" s="110"/>
    </row>
    <row r="405" spans="1:83" s="116" customFormat="1" ht="13.9" customHeight="1" x14ac:dyDescent="0.25">
      <c r="A405" s="125">
        <v>922</v>
      </c>
      <c r="B405" s="125" t="s">
        <v>5397</v>
      </c>
      <c r="C405" s="110" t="s">
        <v>335</v>
      </c>
      <c r="D405" s="111" t="s">
        <v>116</v>
      </c>
      <c r="E405" s="111" t="s">
        <v>6708</v>
      </c>
      <c r="F405" s="127">
        <v>45880</v>
      </c>
      <c r="G405" s="127">
        <v>45880</v>
      </c>
      <c r="H405" s="113">
        <f t="shared" si="36"/>
        <v>45970</v>
      </c>
      <c r="I405" s="113" t="s">
        <v>290</v>
      </c>
      <c r="J405" s="125" t="s">
        <v>4440</v>
      </c>
      <c r="K405" s="125" t="s">
        <v>4413</v>
      </c>
      <c r="L405" s="125" t="s">
        <v>5382</v>
      </c>
      <c r="M405" s="128" t="str">
        <f t="shared" si="37"/>
        <v>GUTIERREZ ESPARZA PEDRO RAFAEL</v>
      </c>
      <c r="N405" s="128" t="s">
        <v>7114</v>
      </c>
      <c r="O405" s="128" t="s">
        <v>5383</v>
      </c>
      <c r="P405" s="125" t="s">
        <v>1953</v>
      </c>
      <c r="Q405" s="112">
        <v>30584</v>
      </c>
      <c r="R405" s="125">
        <f t="shared" si="38"/>
        <v>25</v>
      </c>
      <c r="S405" s="125">
        <f t="shared" si="39"/>
        <v>9</v>
      </c>
      <c r="T405" s="125">
        <f t="shared" si="40"/>
        <v>1983</v>
      </c>
      <c r="U405" s="142">
        <f t="shared" ca="1" si="41"/>
        <v>43.076712328767123</v>
      </c>
      <c r="V405" s="128" t="s">
        <v>452</v>
      </c>
      <c r="W405" s="128" t="s">
        <v>5384</v>
      </c>
      <c r="X405" s="125" t="s">
        <v>454</v>
      </c>
      <c r="Y405" s="125" t="s">
        <v>5385</v>
      </c>
      <c r="Z405" s="109" t="s">
        <v>118</v>
      </c>
      <c r="AA405" s="110" t="s">
        <v>347</v>
      </c>
      <c r="AB405" s="125" t="s">
        <v>5386</v>
      </c>
      <c r="AC405" s="125" t="s">
        <v>313</v>
      </c>
      <c r="AD405" s="125" t="s">
        <v>314</v>
      </c>
      <c r="AE405" s="125">
        <v>90</v>
      </c>
      <c r="AF405" s="128" t="s">
        <v>350</v>
      </c>
      <c r="AG405" s="125" t="s">
        <v>290</v>
      </c>
      <c r="AH405" s="110" t="s">
        <v>351</v>
      </c>
      <c r="AI405" s="125" t="s">
        <v>317</v>
      </c>
      <c r="AJ405" s="125" t="s">
        <v>318</v>
      </c>
      <c r="AK405" s="110" t="s">
        <v>5387</v>
      </c>
      <c r="AL405" s="95" t="s">
        <v>5388</v>
      </c>
      <c r="AM405" s="110" t="s">
        <v>5389</v>
      </c>
      <c r="AN405" s="110" t="s">
        <v>478</v>
      </c>
      <c r="AO405" s="110" t="s">
        <v>327</v>
      </c>
      <c r="AP405" s="110" t="s">
        <v>398</v>
      </c>
      <c r="AQ405" s="110" t="s">
        <v>5390</v>
      </c>
      <c r="AR405" s="125">
        <v>2000</v>
      </c>
      <c r="AS405" s="125" t="s">
        <v>699</v>
      </c>
      <c r="AT405" s="110" t="s">
        <v>1132</v>
      </c>
      <c r="AU405" s="110" t="s">
        <v>583</v>
      </c>
      <c r="AV405" s="125">
        <v>45019</v>
      </c>
      <c r="AW405" s="109" t="s">
        <v>3416</v>
      </c>
      <c r="AX405" s="110" t="s">
        <v>329</v>
      </c>
      <c r="AY405" s="110" t="s">
        <v>329</v>
      </c>
      <c r="AZ405" s="110"/>
      <c r="BA405" s="110"/>
      <c r="BB405" s="110"/>
      <c r="BC405" s="110"/>
      <c r="BD405" s="110" t="s">
        <v>5389</v>
      </c>
      <c r="BE405" s="110" t="s">
        <v>478</v>
      </c>
      <c r="BF405" s="110" t="s">
        <v>5391</v>
      </c>
      <c r="BG405" s="125" t="s">
        <v>333</v>
      </c>
      <c r="BH405" s="110" t="s">
        <v>334</v>
      </c>
      <c r="BI405" s="110">
        <v>2</v>
      </c>
      <c r="BJ405" s="110"/>
      <c r="BK405" s="109" t="s">
        <v>571</v>
      </c>
      <c r="BL405" s="110">
        <v>20</v>
      </c>
      <c r="BM405" s="110"/>
      <c r="BN405" s="109" t="s">
        <v>3911</v>
      </c>
      <c r="BO405" s="110">
        <v>15</v>
      </c>
      <c r="BP405" s="110"/>
      <c r="BQ405" s="110"/>
      <c r="BR405" s="110"/>
      <c r="BS405" s="110"/>
      <c r="BT405" s="110"/>
      <c r="BU405" s="110"/>
      <c r="BV405" s="110"/>
      <c r="BW405" s="110"/>
      <c r="BX405" s="110"/>
      <c r="BY405" s="110"/>
      <c r="BZ405" s="110"/>
      <c r="CA405" s="110"/>
      <c r="CB405" s="109"/>
      <c r="CC405" s="109"/>
      <c r="CD405" s="110"/>
    </row>
    <row r="406" spans="1:83" ht="13.9" customHeight="1" x14ac:dyDescent="0.25">
      <c r="A406" s="77">
        <v>923</v>
      </c>
      <c r="B406" s="77" t="s">
        <v>5398</v>
      </c>
      <c r="C406" s="78" t="s">
        <v>335</v>
      </c>
      <c r="D406" s="99" t="s">
        <v>86</v>
      </c>
      <c r="E406" s="99" t="s">
        <v>6709</v>
      </c>
      <c r="F406" s="79">
        <v>45880</v>
      </c>
      <c r="G406" s="79">
        <v>45880</v>
      </c>
      <c r="H406" s="101">
        <f t="shared" si="36"/>
        <v>45970</v>
      </c>
      <c r="I406" s="101" t="s">
        <v>290</v>
      </c>
      <c r="J406" s="77" t="s">
        <v>507</v>
      </c>
      <c r="K406" s="77" t="s">
        <v>1280</v>
      </c>
      <c r="L406" s="77" t="s">
        <v>5381</v>
      </c>
      <c r="M406" s="102" t="str">
        <f t="shared" si="37"/>
        <v>MARTINEZ RAMIREZ RAFAEL GUADALUPE</v>
      </c>
      <c r="N406" s="102" t="s">
        <v>7115</v>
      </c>
      <c r="O406" s="102" t="s">
        <v>5392</v>
      </c>
      <c r="P406" s="77" t="s">
        <v>1953</v>
      </c>
      <c r="Q406" s="100">
        <v>33535</v>
      </c>
      <c r="R406" s="77">
        <f t="shared" si="38"/>
        <v>24</v>
      </c>
      <c r="S406" s="77">
        <f t="shared" si="39"/>
        <v>10</v>
      </c>
      <c r="T406" s="77">
        <f t="shared" si="40"/>
        <v>1991</v>
      </c>
      <c r="U406" s="103">
        <f t="shared" ca="1" si="41"/>
        <v>34.991780821917807</v>
      </c>
      <c r="V406" s="102" t="s">
        <v>342</v>
      </c>
      <c r="W406" s="102" t="s">
        <v>5393</v>
      </c>
      <c r="X406" s="77" t="s">
        <v>693</v>
      </c>
      <c r="Y406" s="77" t="s">
        <v>160</v>
      </c>
      <c r="Z406" s="12" t="s">
        <v>152</v>
      </c>
      <c r="AA406" s="12" t="s">
        <v>2271</v>
      </c>
      <c r="AB406" s="12" t="s">
        <v>2310</v>
      </c>
      <c r="AC406" s="77" t="s">
        <v>313</v>
      </c>
      <c r="AD406" s="77" t="s">
        <v>314</v>
      </c>
      <c r="AE406" s="77">
        <v>90</v>
      </c>
      <c r="AF406" s="13" t="s">
        <v>315</v>
      </c>
      <c r="AG406" s="12" t="s">
        <v>290</v>
      </c>
      <c r="AH406" s="78" t="s">
        <v>2342</v>
      </c>
      <c r="AI406" s="12" t="s">
        <v>317</v>
      </c>
      <c r="AJ406" s="12" t="s">
        <v>318</v>
      </c>
      <c r="AK406" s="78" t="s">
        <v>5394</v>
      </c>
      <c r="AL406" s="91" t="s">
        <v>5395</v>
      </c>
      <c r="AM406" s="78"/>
      <c r="AN406" s="78"/>
      <c r="AO406" s="78"/>
      <c r="AP406" s="78"/>
      <c r="AQ406" s="78" t="s">
        <v>5396</v>
      </c>
      <c r="AR406" s="77">
        <v>129</v>
      </c>
      <c r="AS406" s="77" t="s">
        <v>581</v>
      </c>
      <c r="AT406" s="78" t="s">
        <v>483</v>
      </c>
      <c r="AU406" s="78" t="s">
        <v>483</v>
      </c>
      <c r="AV406" s="77">
        <v>78370</v>
      </c>
      <c r="AW406" s="12" t="s">
        <v>3416</v>
      </c>
      <c r="AX406" s="78" t="s">
        <v>329</v>
      </c>
      <c r="AY406" s="78" t="s">
        <v>329</v>
      </c>
      <c r="AZ406" s="78"/>
      <c r="BA406" s="78"/>
      <c r="BB406" s="78"/>
      <c r="BC406" s="78"/>
      <c r="BD406" s="78"/>
      <c r="BE406" s="78"/>
      <c r="BF406" s="78"/>
      <c r="BG406" s="77"/>
      <c r="BH406" s="78"/>
      <c r="BI406" s="78"/>
      <c r="BJ406" s="78"/>
      <c r="BK406" s="78"/>
      <c r="BL406" s="78"/>
      <c r="BM406" s="78"/>
      <c r="BN406" s="78"/>
      <c r="BO406" s="78"/>
      <c r="BP406" s="78"/>
      <c r="BQ406" s="78"/>
      <c r="BR406" s="78"/>
      <c r="BS406" s="78"/>
      <c r="BT406" s="78"/>
      <c r="BU406" s="78"/>
      <c r="BV406" s="78"/>
      <c r="BW406" s="78"/>
      <c r="BX406" s="78"/>
      <c r="BY406" s="78"/>
      <c r="BZ406" s="78"/>
      <c r="CA406" s="78"/>
      <c r="CB406" s="12"/>
      <c r="CC406" s="12"/>
      <c r="CD406" s="78"/>
    </row>
    <row r="407" spans="1:83" ht="13.9" customHeight="1" x14ac:dyDescent="0.2">
      <c r="A407" s="77">
        <v>924</v>
      </c>
      <c r="B407" s="77" t="s">
        <v>5399</v>
      </c>
      <c r="C407" s="78" t="s">
        <v>335</v>
      </c>
      <c r="D407" s="77" t="s">
        <v>232</v>
      </c>
      <c r="E407" s="99" t="s">
        <v>6710</v>
      </c>
      <c r="F407" s="79">
        <v>45881</v>
      </c>
      <c r="G407" s="79">
        <v>45881</v>
      </c>
      <c r="H407" s="101">
        <f t="shared" si="36"/>
        <v>45971</v>
      </c>
      <c r="I407" s="101" t="s">
        <v>290</v>
      </c>
      <c r="J407" s="77" t="s">
        <v>5400</v>
      </c>
      <c r="K407" s="77" t="s">
        <v>4500</v>
      </c>
      <c r="L407" s="77" t="s">
        <v>1081</v>
      </c>
      <c r="M407" s="102" t="str">
        <f t="shared" si="37"/>
        <v>REINA PIÑA EDUARDO</v>
      </c>
      <c r="N407" s="102" t="s">
        <v>7116</v>
      </c>
      <c r="O407" s="102" t="s">
        <v>5401</v>
      </c>
      <c r="P407" s="77" t="s">
        <v>1953</v>
      </c>
      <c r="Q407" s="100">
        <v>32302</v>
      </c>
      <c r="R407" s="77">
        <f t="shared" si="38"/>
        <v>8</v>
      </c>
      <c r="S407" s="77">
        <f t="shared" si="39"/>
        <v>6</v>
      </c>
      <c r="T407" s="77">
        <f t="shared" si="40"/>
        <v>1988</v>
      </c>
      <c r="U407" s="103">
        <f t="shared" ca="1" si="41"/>
        <v>38.369863013698627</v>
      </c>
      <c r="V407" s="102" t="s">
        <v>342</v>
      </c>
      <c r="W407" s="102" t="s">
        <v>5402</v>
      </c>
      <c r="X407" s="77" t="s">
        <v>454</v>
      </c>
      <c r="Y407" s="12" t="s">
        <v>156</v>
      </c>
      <c r="Z407" s="12" t="s">
        <v>153</v>
      </c>
      <c r="AA407" s="12" t="s">
        <v>347</v>
      </c>
      <c r="AB407" s="12" t="s">
        <v>842</v>
      </c>
      <c r="AC407" s="77" t="s">
        <v>313</v>
      </c>
      <c r="AD407" s="77" t="s">
        <v>314</v>
      </c>
      <c r="AE407" s="77">
        <v>90</v>
      </c>
      <c r="AF407" s="13" t="s">
        <v>315</v>
      </c>
      <c r="AG407" s="12" t="s">
        <v>290</v>
      </c>
      <c r="AH407" s="78" t="s">
        <v>2342</v>
      </c>
      <c r="AI407" s="12" t="s">
        <v>317</v>
      </c>
      <c r="AJ407" s="12" t="s">
        <v>318</v>
      </c>
      <c r="AK407" s="78" t="s">
        <v>5403</v>
      </c>
      <c r="AL407" s="78"/>
      <c r="AM407" s="78" t="s">
        <v>5404</v>
      </c>
      <c r="AN407" s="78" t="s">
        <v>381</v>
      </c>
      <c r="AO407" s="78" t="s">
        <v>398</v>
      </c>
      <c r="AP407" s="78" t="s">
        <v>398</v>
      </c>
      <c r="AQ407" s="78" t="s">
        <v>5405</v>
      </c>
      <c r="AR407" s="77">
        <v>302</v>
      </c>
      <c r="AS407" s="77" t="s">
        <v>581</v>
      </c>
      <c r="AT407" s="78" t="s">
        <v>5406</v>
      </c>
      <c r="AU407" s="78" t="s">
        <v>1184</v>
      </c>
      <c r="AV407" s="77">
        <v>37545</v>
      </c>
      <c r="AW407" s="12" t="s">
        <v>3416</v>
      </c>
      <c r="AX407" s="78" t="s">
        <v>329</v>
      </c>
      <c r="AY407" s="78" t="s">
        <v>329</v>
      </c>
      <c r="AZ407" s="78"/>
      <c r="BA407" s="78"/>
      <c r="BB407" s="78"/>
      <c r="BC407" s="78"/>
      <c r="BD407" s="78" t="s">
        <v>5404</v>
      </c>
      <c r="BE407" s="78" t="s">
        <v>381</v>
      </c>
      <c r="BF407" s="78" t="s">
        <v>5403</v>
      </c>
      <c r="BG407" s="77" t="s">
        <v>333</v>
      </c>
      <c r="BH407" s="78" t="s">
        <v>5407</v>
      </c>
      <c r="BI407" s="78">
        <v>1</v>
      </c>
      <c r="BJ407" s="78"/>
      <c r="BK407" s="78" t="s">
        <v>3911</v>
      </c>
      <c r="BL407" s="78">
        <v>17</v>
      </c>
      <c r="BM407" s="78"/>
      <c r="BN407" s="78"/>
      <c r="BO407" s="78"/>
      <c r="BP407" s="78"/>
      <c r="BQ407" s="78"/>
      <c r="BR407" s="78"/>
      <c r="BS407" s="78"/>
      <c r="BT407" s="78"/>
      <c r="BU407" s="78"/>
      <c r="BV407" s="78"/>
      <c r="BW407" s="78"/>
      <c r="BX407" s="78"/>
      <c r="BY407" s="78"/>
      <c r="BZ407" s="78"/>
      <c r="CA407" s="78"/>
      <c r="CB407" s="12"/>
      <c r="CC407" s="12"/>
      <c r="CD407" s="78"/>
    </row>
    <row r="408" spans="1:83" s="116" customFormat="1" ht="13.9" customHeight="1" x14ac:dyDescent="0.25">
      <c r="A408" s="125">
        <v>925</v>
      </c>
      <c r="B408" s="125" t="s">
        <v>5408</v>
      </c>
      <c r="C408" s="114" t="s">
        <v>564</v>
      </c>
      <c r="D408" s="109" t="s">
        <v>81</v>
      </c>
      <c r="E408" s="111" t="s">
        <v>6803</v>
      </c>
      <c r="F408" s="127">
        <v>45882</v>
      </c>
      <c r="G408" s="127">
        <v>45882</v>
      </c>
      <c r="H408" s="113">
        <f t="shared" si="36"/>
        <v>45972</v>
      </c>
      <c r="I408" s="113" t="s">
        <v>290</v>
      </c>
      <c r="J408" s="125" t="s">
        <v>5409</v>
      </c>
      <c r="K408" s="125" t="s">
        <v>5410</v>
      </c>
      <c r="L408" s="125" t="s">
        <v>5411</v>
      </c>
      <c r="M408" s="128" t="str">
        <f t="shared" si="37"/>
        <v>POZOS  GUILLEN ERICK YAHIR</v>
      </c>
      <c r="N408" s="128" t="s">
        <v>7217</v>
      </c>
      <c r="O408" s="128" t="s">
        <v>5412</v>
      </c>
      <c r="P408" s="125" t="s">
        <v>1953</v>
      </c>
      <c r="Q408" s="112">
        <v>37439</v>
      </c>
      <c r="R408" s="125">
        <f t="shared" si="38"/>
        <v>2</v>
      </c>
      <c r="S408" s="125">
        <f t="shared" si="39"/>
        <v>7</v>
      </c>
      <c r="T408" s="125">
        <f t="shared" si="40"/>
        <v>2002</v>
      </c>
      <c r="U408" s="142">
        <f t="shared" ca="1" si="41"/>
        <v>24.295890410958904</v>
      </c>
      <c r="V408" s="128" t="s">
        <v>452</v>
      </c>
      <c r="W408" s="128" t="s">
        <v>5413</v>
      </c>
      <c r="X408" s="125" t="s">
        <v>454</v>
      </c>
      <c r="Y408" s="125" t="s">
        <v>115</v>
      </c>
      <c r="Z408" s="109" t="s">
        <v>260</v>
      </c>
      <c r="AA408" s="125" t="s">
        <v>532</v>
      </c>
      <c r="AB408" s="109" t="s">
        <v>574</v>
      </c>
      <c r="AC408" s="125" t="s">
        <v>313</v>
      </c>
      <c r="AD408" s="125" t="s">
        <v>314</v>
      </c>
      <c r="AE408" s="125">
        <v>90</v>
      </c>
      <c r="AF408" s="114" t="s">
        <v>710</v>
      </c>
      <c r="AG408" s="125" t="s">
        <v>290</v>
      </c>
      <c r="AH408" s="110" t="s">
        <v>575</v>
      </c>
      <c r="AI408" s="125" t="s">
        <v>317</v>
      </c>
      <c r="AJ408" s="125" t="s">
        <v>318</v>
      </c>
      <c r="AK408" s="110" t="s">
        <v>5414</v>
      </c>
      <c r="AL408" s="95" t="s">
        <v>5415</v>
      </c>
      <c r="AM408" s="110" t="s">
        <v>5416</v>
      </c>
      <c r="AN408" s="110" t="s">
        <v>3175</v>
      </c>
      <c r="AO408" s="110" t="s">
        <v>327</v>
      </c>
      <c r="AP408" s="110" t="s">
        <v>398</v>
      </c>
      <c r="AQ408" s="110" t="s">
        <v>5417</v>
      </c>
      <c r="AR408" s="125">
        <v>532</v>
      </c>
      <c r="AS408" s="125" t="s">
        <v>581</v>
      </c>
      <c r="AT408" s="110" t="s">
        <v>116</v>
      </c>
      <c r="AU408" s="110" t="s">
        <v>583</v>
      </c>
      <c r="AV408" s="125">
        <v>44970</v>
      </c>
      <c r="AW408" s="109" t="s">
        <v>3416</v>
      </c>
      <c r="AX408" s="110" t="s">
        <v>329</v>
      </c>
      <c r="AY408" s="110" t="s">
        <v>329</v>
      </c>
      <c r="AZ408" s="110"/>
      <c r="BA408" s="110"/>
      <c r="BB408" s="110"/>
      <c r="BC408" s="110"/>
      <c r="BD408" s="110" t="s">
        <v>5416</v>
      </c>
      <c r="BE408" s="110" t="s">
        <v>3175</v>
      </c>
      <c r="BF408" s="110" t="s">
        <v>5418</v>
      </c>
      <c r="BG408" s="125"/>
      <c r="BH408" s="110" t="s">
        <v>334</v>
      </c>
      <c r="BI408" s="110"/>
      <c r="BJ408" s="110"/>
      <c r="BK408" s="110"/>
      <c r="BL408" s="110"/>
      <c r="BM408" s="110"/>
      <c r="BN408" s="110"/>
      <c r="BO408" s="110"/>
      <c r="BP408" s="110"/>
      <c r="BQ408" s="110"/>
      <c r="BR408" s="110"/>
      <c r="BS408" s="110"/>
      <c r="BT408" s="110"/>
      <c r="BU408" s="110"/>
      <c r="BV408" s="110"/>
      <c r="BW408" s="110"/>
      <c r="BX408" s="110"/>
      <c r="BY408" s="110"/>
      <c r="BZ408" s="110"/>
      <c r="CA408" s="110"/>
      <c r="CB408" s="109"/>
      <c r="CC408" s="109"/>
      <c r="CD408" s="110"/>
    </row>
    <row r="409" spans="1:83" s="110" customFormat="1" ht="13.9" customHeight="1" x14ac:dyDescent="0.25">
      <c r="A409" s="125">
        <v>926</v>
      </c>
      <c r="B409" s="125" t="s">
        <v>5419</v>
      </c>
      <c r="C409" s="114" t="s">
        <v>564</v>
      </c>
      <c r="D409" s="109" t="s">
        <v>81</v>
      </c>
      <c r="E409" s="111" t="s">
        <v>5420</v>
      </c>
      <c r="F409" s="127">
        <v>45882</v>
      </c>
      <c r="G409" s="127">
        <v>45882</v>
      </c>
      <c r="H409" s="113">
        <f t="shared" si="36"/>
        <v>45972</v>
      </c>
      <c r="I409" s="113" t="s">
        <v>290</v>
      </c>
      <c r="J409" s="125" t="s">
        <v>4358</v>
      </c>
      <c r="K409" s="125" t="s">
        <v>447</v>
      </c>
      <c r="L409" s="125" t="s">
        <v>6478</v>
      </c>
      <c r="M409" s="128" t="str">
        <f t="shared" si="37"/>
        <v>QUINTERO  GARCIA BRAYAN  GEOVANNI</v>
      </c>
      <c r="N409" s="128" t="s">
        <v>5421</v>
      </c>
      <c r="O409" s="128" t="s">
        <v>5422</v>
      </c>
      <c r="P409" s="125" t="s">
        <v>1953</v>
      </c>
      <c r="Q409" s="112">
        <v>33378</v>
      </c>
      <c r="R409" s="125">
        <f t="shared" si="38"/>
        <v>20</v>
      </c>
      <c r="S409" s="125">
        <f t="shared" si="39"/>
        <v>5</v>
      </c>
      <c r="T409" s="125">
        <f t="shared" si="40"/>
        <v>1991</v>
      </c>
      <c r="U409" s="142">
        <f t="shared" ca="1" si="41"/>
        <v>35.421917808219177</v>
      </c>
      <c r="V409" s="128" t="s">
        <v>342</v>
      </c>
      <c r="W409" s="128" t="s">
        <v>5423</v>
      </c>
      <c r="X409" s="125" t="s">
        <v>454</v>
      </c>
      <c r="Y409" s="125" t="s">
        <v>1498</v>
      </c>
      <c r="Z409" s="109" t="s">
        <v>84</v>
      </c>
      <c r="AA409" s="109" t="s">
        <v>532</v>
      </c>
      <c r="AB409" s="125" t="s">
        <v>574</v>
      </c>
      <c r="AC409" s="125" t="s">
        <v>313</v>
      </c>
      <c r="AD409" s="125" t="s">
        <v>314</v>
      </c>
      <c r="AE409" s="125">
        <v>90</v>
      </c>
      <c r="AF409" s="114" t="s">
        <v>710</v>
      </c>
      <c r="AG409" s="125" t="s">
        <v>290</v>
      </c>
      <c r="AH409" s="110" t="s">
        <v>575</v>
      </c>
      <c r="AI409" s="125" t="s">
        <v>317</v>
      </c>
      <c r="AJ409" s="125" t="s">
        <v>318</v>
      </c>
      <c r="AK409" s="110" t="s">
        <v>5424</v>
      </c>
      <c r="AL409" s="95" t="s">
        <v>5425</v>
      </c>
      <c r="AM409" s="110" t="s">
        <v>5426</v>
      </c>
      <c r="AN409" s="110" t="s">
        <v>401</v>
      </c>
      <c r="AO409" s="110" t="s">
        <v>327</v>
      </c>
      <c r="AP409" s="110" t="s">
        <v>327</v>
      </c>
      <c r="AQ409" s="110" t="s">
        <v>5427</v>
      </c>
      <c r="AR409" s="125">
        <v>8</v>
      </c>
      <c r="AS409" s="125" t="s">
        <v>3372</v>
      </c>
      <c r="AT409" s="110" t="s">
        <v>624</v>
      </c>
      <c r="AU409" s="110" t="s">
        <v>583</v>
      </c>
      <c r="AV409" s="125">
        <v>45685</v>
      </c>
      <c r="AW409" s="109" t="s">
        <v>3416</v>
      </c>
      <c r="AX409" s="110" t="s">
        <v>329</v>
      </c>
      <c r="AY409" s="110" t="s">
        <v>329</v>
      </c>
      <c r="BD409" s="110" t="s">
        <v>5426</v>
      </c>
      <c r="BE409" s="110" t="s">
        <v>401</v>
      </c>
      <c r="BF409" s="110" t="s">
        <v>5428</v>
      </c>
      <c r="BG409" s="125" t="s">
        <v>5429</v>
      </c>
      <c r="BH409" s="110" t="s">
        <v>5430</v>
      </c>
      <c r="BK409" s="110" t="s">
        <v>3911</v>
      </c>
      <c r="BL409" s="110">
        <v>6</v>
      </c>
      <c r="CB409" s="109"/>
      <c r="CC409" s="109"/>
      <c r="CE409" s="144"/>
    </row>
    <row r="410" spans="1:83" x14ac:dyDescent="0.2">
      <c r="A410" s="77">
        <v>209</v>
      </c>
      <c r="B410" s="77" t="s">
        <v>5526</v>
      </c>
      <c r="C410" s="78" t="s">
        <v>363</v>
      </c>
      <c r="D410" s="12" t="s">
        <v>249</v>
      </c>
      <c r="E410" s="99" t="s">
        <v>6711</v>
      </c>
      <c r="F410" s="79">
        <v>45887</v>
      </c>
      <c r="G410" s="79">
        <v>45887</v>
      </c>
      <c r="H410" s="101">
        <f t="shared" si="36"/>
        <v>45977</v>
      </c>
      <c r="I410" s="101" t="s">
        <v>291</v>
      </c>
      <c r="J410" s="77" t="s">
        <v>990</v>
      </c>
      <c r="K410" s="77" t="s">
        <v>960</v>
      </c>
      <c r="L410" s="77" t="s">
        <v>751</v>
      </c>
      <c r="M410" s="102" t="str">
        <f t="shared" si="37"/>
        <v>MUÑOZ TORRES GABRIEL</v>
      </c>
      <c r="N410" s="102" t="s">
        <v>7117</v>
      </c>
      <c r="O410" s="102" t="s">
        <v>7236</v>
      </c>
      <c r="P410" s="77" t="s">
        <v>1953</v>
      </c>
      <c r="Q410" s="100">
        <v>30416</v>
      </c>
      <c r="R410" s="77">
        <f t="shared" si="38"/>
        <v>10</v>
      </c>
      <c r="S410" s="77">
        <f t="shared" si="39"/>
        <v>4</v>
      </c>
      <c r="T410" s="77">
        <f t="shared" si="40"/>
        <v>1983</v>
      </c>
      <c r="U410" s="103">
        <f t="shared" ca="1" si="41"/>
        <v>43.536986301369865</v>
      </c>
      <c r="V410" s="102"/>
      <c r="W410" s="102" t="s">
        <v>5433</v>
      </c>
      <c r="X410" s="77"/>
      <c r="Y410" s="77" t="s">
        <v>5434</v>
      </c>
      <c r="Z410" s="77"/>
      <c r="AA410" s="78"/>
      <c r="AB410" s="77"/>
      <c r="AC410" s="77" t="s">
        <v>313</v>
      </c>
      <c r="AD410" s="77" t="s">
        <v>314</v>
      </c>
      <c r="AE410" s="77">
        <v>90</v>
      </c>
      <c r="AF410" s="13" t="s">
        <v>375</v>
      </c>
      <c r="AG410" s="77" t="s">
        <v>291</v>
      </c>
      <c r="AH410" s="78" t="s">
        <v>473</v>
      </c>
      <c r="AI410" s="12" t="s">
        <v>317</v>
      </c>
      <c r="AJ410" s="12" t="s">
        <v>318</v>
      </c>
      <c r="AK410" s="78"/>
      <c r="AL410" s="78"/>
      <c r="AM410" s="78"/>
      <c r="AN410" s="78"/>
      <c r="AO410" s="78"/>
      <c r="AP410" s="78"/>
      <c r="AQ410" s="78" t="s">
        <v>5435</v>
      </c>
      <c r="AR410" s="77">
        <v>132</v>
      </c>
      <c r="AS410" s="77" t="s">
        <v>642</v>
      </c>
      <c r="AT410" s="78" t="s">
        <v>5406</v>
      </c>
      <c r="AU410" s="78" t="s">
        <v>1184</v>
      </c>
      <c r="AV410" s="77">
        <v>37548</v>
      </c>
      <c r="AW410" s="12" t="s">
        <v>3416</v>
      </c>
      <c r="AX410" s="78" t="s">
        <v>329</v>
      </c>
      <c r="AY410" s="78" t="s">
        <v>329</v>
      </c>
      <c r="AZ410" s="78"/>
      <c r="BA410" s="78"/>
      <c r="BB410" s="137"/>
      <c r="BC410" s="78"/>
      <c r="BD410" s="78"/>
      <c r="BE410" s="78"/>
      <c r="BF410" s="78"/>
      <c r="BG410" s="77"/>
      <c r="BH410" s="78"/>
      <c r="BI410" s="78"/>
      <c r="BJ410" s="78"/>
      <c r="BK410" s="78"/>
      <c r="BL410" s="78"/>
      <c r="BM410" s="78"/>
      <c r="BN410" s="78"/>
      <c r="BO410" s="78"/>
      <c r="BP410" s="78"/>
      <c r="BQ410" s="78"/>
      <c r="BR410" s="78"/>
      <c r="BS410" s="78"/>
      <c r="BT410" s="78"/>
      <c r="BU410" s="78"/>
      <c r="BV410" s="78"/>
      <c r="BW410" s="78"/>
      <c r="BX410" s="78"/>
      <c r="BY410" s="78"/>
      <c r="BZ410" s="78"/>
      <c r="CA410" s="78"/>
      <c r="CB410" s="12"/>
      <c r="CC410" s="12"/>
      <c r="CD410" s="78"/>
    </row>
    <row r="411" spans="1:83" s="116" customFormat="1" ht="15" x14ac:dyDescent="0.25">
      <c r="A411" s="125">
        <v>927</v>
      </c>
      <c r="B411" s="125" t="s">
        <v>5432</v>
      </c>
      <c r="C411" s="110" t="s">
        <v>363</v>
      </c>
      <c r="D411" s="125" t="s">
        <v>292</v>
      </c>
      <c r="E411" s="111" t="s">
        <v>6712</v>
      </c>
      <c r="F411" s="127">
        <v>45887</v>
      </c>
      <c r="G411" s="127">
        <v>45887</v>
      </c>
      <c r="H411" s="113">
        <f t="shared" si="36"/>
        <v>45977</v>
      </c>
      <c r="I411" s="113" t="s">
        <v>290</v>
      </c>
      <c r="J411" s="125" t="s">
        <v>404</v>
      </c>
      <c r="K411" s="125" t="s">
        <v>5485</v>
      </c>
      <c r="L411" s="125" t="s">
        <v>5486</v>
      </c>
      <c r="M411" s="128" t="str">
        <f t="shared" si="37"/>
        <v>GOMEZ PACHECO JESUS SALOME</v>
      </c>
      <c r="N411" s="128" t="s">
        <v>7118</v>
      </c>
      <c r="O411" s="128" t="s">
        <v>5487</v>
      </c>
      <c r="P411" s="125" t="s">
        <v>1953</v>
      </c>
      <c r="Q411" s="112">
        <v>32915</v>
      </c>
      <c r="R411" s="125">
        <f t="shared" si="38"/>
        <v>11</v>
      </c>
      <c r="S411" s="125">
        <f t="shared" si="39"/>
        <v>2</v>
      </c>
      <c r="T411" s="125">
        <f t="shared" si="40"/>
        <v>1990</v>
      </c>
      <c r="U411" s="142">
        <f t="shared" ca="1" si="41"/>
        <v>36.69041095890411</v>
      </c>
      <c r="V411" s="128" t="s">
        <v>452</v>
      </c>
      <c r="W411" s="128" t="s">
        <v>5488</v>
      </c>
      <c r="X411" s="125" t="s">
        <v>454</v>
      </c>
      <c r="Y411" s="109" t="s">
        <v>91</v>
      </c>
      <c r="Z411" s="109"/>
      <c r="AA411" s="114" t="s">
        <v>2276</v>
      </c>
      <c r="AB411" s="109" t="s">
        <v>5085</v>
      </c>
      <c r="AC411" s="125" t="s">
        <v>313</v>
      </c>
      <c r="AD411" s="125" t="s">
        <v>314</v>
      </c>
      <c r="AE411" s="125">
        <v>90</v>
      </c>
      <c r="AF411" s="114" t="s">
        <v>292</v>
      </c>
      <c r="AG411" s="109" t="s">
        <v>290</v>
      </c>
      <c r="AH411" s="115" t="s">
        <v>5474</v>
      </c>
      <c r="AI411" s="109" t="s">
        <v>317</v>
      </c>
      <c r="AJ411" s="109" t="s">
        <v>318</v>
      </c>
      <c r="AK411" s="110" t="s">
        <v>5489</v>
      </c>
      <c r="AL411" s="97" t="s">
        <v>5567</v>
      </c>
      <c r="AM411" s="110" t="s">
        <v>5490</v>
      </c>
      <c r="AN411" s="110" t="s">
        <v>5038</v>
      </c>
      <c r="AO411" s="110" t="s">
        <v>398</v>
      </c>
      <c r="AP411" s="110" t="s">
        <v>398</v>
      </c>
      <c r="AQ411" s="110" t="s">
        <v>5491</v>
      </c>
      <c r="AR411" s="125">
        <v>203</v>
      </c>
      <c r="AS411" s="125" t="s">
        <v>5492</v>
      </c>
      <c r="AT411" s="110" t="s">
        <v>848</v>
      </c>
      <c r="AU411" s="110" t="s">
        <v>681</v>
      </c>
      <c r="AV411" s="125">
        <v>11570</v>
      </c>
      <c r="AW411" s="109" t="s">
        <v>3416</v>
      </c>
      <c r="AX411" s="110" t="s">
        <v>329</v>
      </c>
      <c r="AY411" s="110" t="s">
        <v>329</v>
      </c>
      <c r="AZ411" s="110"/>
      <c r="BA411" s="110"/>
      <c r="BB411" s="138"/>
      <c r="BC411" s="110"/>
      <c r="BD411" s="110" t="s">
        <v>5490</v>
      </c>
      <c r="BE411" s="110" t="s">
        <v>5493</v>
      </c>
      <c r="BF411" s="110" t="s">
        <v>5494</v>
      </c>
      <c r="BG411" s="125"/>
      <c r="BH411" s="110"/>
      <c r="BI411" s="110"/>
      <c r="BJ411" s="110"/>
      <c r="BK411" s="110"/>
      <c r="BL411" s="110"/>
      <c r="BM411" s="110"/>
      <c r="BN411" s="110"/>
      <c r="BO411" s="110"/>
      <c r="BP411" s="110"/>
      <c r="BQ411" s="110"/>
      <c r="BR411" s="110"/>
      <c r="BS411" s="110"/>
      <c r="BT411" s="110"/>
      <c r="BU411" s="110"/>
      <c r="BV411" s="110"/>
      <c r="BW411" s="110"/>
      <c r="BX411" s="110"/>
      <c r="BY411" s="110"/>
      <c r="BZ411" s="110"/>
      <c r="CA411" s="110"/>
      <c r="CB411" s="109"/>
      <c r="CC411" s="109"/>
      <c r="CD411" s="110"/>
    </row>
    <row r="412" spans="1:83" ht="15" x14ac:dyDescent="0.25">
      <c r="A412" s="77">
        <v>928</v>
      </c>
      <c r="B412" s="77" t="s">
        <v>5436</v>
      </c>
      <c r="C412" s="78" t="s">
        <v>363</v>
      </c>
      <c r="D412" s="12" t="s">
        <v>232</v>
      </c>
      <c r="E412" s="99" t="s">
        <v>6713</v>
      </c>
      <c r="F412" s="79">
        <v>45887</v>
      </c>
      <c r="G412" s="79">
        <v>45887</v>
      </c>
      <c r="H412" s="101">
        <f t="shared" si="36"/>
        <v>45977</v>
      </c>
      <c r="I412" s="101" t="s">
        <v>290</v>
      </c>
      <c r="J412" s="77" t="s">
        <v>721</v>
      </c>
      <c r="K412" s="77" t="s">
        <v>5437</v>
      </c>
      <c r="L412" s="77" t="s">
        <v>5438</v>
      </c>
      <c r="M412" s="102" t="str">
        <f t="shared" si="37"/>
        <v>MORA BARCENA ALMA ALONDRA</v>
      </c>
      <c r="N412" s="102" t="s">
        <v>7119</v>
      </c>
      <c r="O412" s="102" t="s">
        <v>5439</v>
      </c>
      <c r="P412" s="77" t="s">
        <v>1954</v>
      </c>
      <c r="Q412" s="100">
        <v>37945</v>
      </c>
      <c r="R412" s="77">
        <f t="shared" si="38"/>
        <v>20</v>
      </c>
      <c r="S412" s="77">
        <f t="shared" si="39"/>
        <v>11</v>
      </c>
      <c r="T412" s="77">
        <f t="shared" si="40"/>
        <v>2003</v>
      </c>
      <c r="U412" s="103">
        <f t="shared" ca="1" si="41"/>
        <v>22.909589041095892</v>
      </c>
      <c r="V412" s="102" t="s">
        <v>452</v>
      </c>
      <c r="W412" s="102" t="s">
        <v>5440</v>
      </c>
      <c r="X412" s="77" t="s">
        <v>290</v>
      </c>
      <c r="Y412" s="77" t="s">
        <v>391</v>
      </c>
      <c r="Z412" s="77" t="s">
        <v>88</v>
      </c>
      <c r="AA412" s="77" t="s">
        <v>392</v>
      </c>
      <c r="AB412" s="77" t="s">
        <v>374</v>
      </c>
      <c r="AC412" s="77" t="s">
        <v>313</v>
      </c>
      <c r="AD412" s="77" t="s">
        <v>314</v>
      </c>
      <c r="AE412" s="77">
        <v>90</v>
      </c>
      <c r="AF412" s="13" t="s">
        <v>375</v>
      </c>
      <c r="AG412" s="77" t="s">
        <v>290</v>
      </c>
      <c r="AH412" s="78" t="s">
        <v>473</v>
      </c>
      <c r="AI412" s="12" t="s">
        <v>317</v>
      </c>
      <c r="AJ412" s="12" t="s">
        <v>318</v>
      </c>
      <c r="AK412" s="78" t="s">
        <v>5441</v>
      </c>
      <c r="AL412" s="93" t="s">
        <v>5442</v>
      </c>
      <c r="AM412" s="78" t="s">
        <v>5443</v>
      </c>
      <c r="AN412" s="78" t="s">
        <v>5444</v>
      </c>
      <c r="AO412" s="78" t="s">
        <v>398</v>
      </c>
      <c r="AP412" s="78" t="s">
        <v>398</v>
      </c>
      <c r="AQ412" s="78" t="s">
        <v>3308</v>
      </c>
      <c r="AR412" s="77">
        <v>108</v>
      </c>
      <c r="AS412" s="77" t="s">
        <v>642</v>
      </c>
      <c r="AT412" s="78" t="s">
        <v>483</v>
      </c>
      <c r="AU412" s="78" t="s">
        <v>483</v>
      </c>
      <c r="AV412" s="77">
        <v>78138</v>
      </c>
      <c r="AW412" s="12" t="s">
        <v>3416</v>
      </c>
      <c r="AX412" s="78" t="s">
        <v>329</v>
      </c>
      <c r="AY412" s="78" t="s">
        <v>329</v>
      </c>
      <c r="AZ412" s="78"/>
      <c r="BA412" s="78"/>
      <c r="BB412" s="137"/>
      <c r="BC412" s="78"/>
      <c r="BD412" s="78" t="s">
        <v>5443</v>
      </c>
      <c r="BE412" s="78" t="s">
        <v>560</v>
      </c>
      <c r="BF412" s="78" t="s">
        <v>5445</v>
      </c>
      <c r="BG412" s="77" t="s">
        <v>333</v>
      </c>
      <c r="BH412" s="78" t="s">
        <v>327</v>
      </c>
      <c r="BI412" s="78"/>
      <c r="BJ412" s="78"/>
      <c r="BK412" s="78"/>
      <c r="BL412" s="78"/>
      <c r="BM412" s="78"/>
      <c r="BN412" s="78"/>
      <c r="BO412" s="78"/>
      <c r="BP412" s="78"/>
      <c r="BQ412" s="78"/>
      <c r="BR412" s="78"/>
      <c r="BS412" s="78"/>
      <c r="BT412" s="78"/>
      <c r="BU412" s="78"/>
      <c r="BV412" s="78"/>
      <c r="BW412" s="78"/>
      <c r="BX412" s="78"/>
      <c r="BY412" s="78"/>
      <c r="BZ412" s="78"/>
      <c r="CA412" s="78"/>
      <c r="CB412" s="12"/>
      <c r="CC412" s="12"/>
      <c r="CD412" s="78"/>
    </row>
    <row r="413" spans="1:83" s="116" customFormat="1" ht="15" x14ac:dyDescent="0.25">
      <c r="A413" s="125">
        <v>929</v>
      </c>
      <c r="B413" s="125" t="s">
        <v>5446</v>
      </c>
      <c r="C413" s="110" t="s">
        <v>363</v>
      </c>
      <c r="D413" s="125" t="s">
        <v>292</v>
      </c>
      <c r="E413" s="111" t="s">
        <v>6714</v>
      </c>
      <c r="F413" s="127">
        <v>45887</v>
      </c>
      <c r="G413" s="127">
        <v>45887</v>
      </c>
      <c r="H413" s="113">
        <f t="shared" si="36"/>
        <v>45977</v>
      </c>
      <c r="I413" s="113" t="s">
        <v>291</v>
      </c>
      <c r="J413" s="125" t="s">
        <v>4451</v>
      </c>
      <c r="K413" s="125" t="s">
        <v>5447</v>
      </c>
      <c r="L413" s="125" t="s">
        <v>5448</v>
      </c>
      <c r="M413" s="128" t="str">
        <f t="shared" si="37"/>
        <v>ENRIQUEZ PIMIENTA GERMAN</v>
      </c>
      <c r="N413" s="128" t="s">
        <v>7120</v>
      </c>
      <c r="O413" s="128" t="s">
        <v>5449</v>
      </c>
      <c r="P413" s="125" t="s">
        <v>1953</v>
      </c>
      <c r="Q413" s="112">
        <v>25080</v>
      </c>
      <c r="R413" s="125">
        <f t="shared" si="38"/>
        <v>30</v>
      </c>
      <c r="S413" s="125">
        <f t="shared" si="39"/>
        <v>8</v>
      </c>
      <c r="T413" s="125">
        <f t="shared" si="40"/>
        <v>1968</v>
      </c>
      <c r="U413" s="142">
        <f t="shared" ca="1" si="41"/>
        <v>58.156164383561645</v>
      </c>
      <c r="V413" s="128" t="s">
        <v>1959</v>
      </c>
      <c r="W413" s="128" t="s">
        <v>5450</v>
      </c>
      <c r="X413" s="125" t="s">
        <v>5451</v>
      </c>
      <c r="Y413" s="125" t="s">
        <v>252</v>
      </c>
      <c r="Z413" s="125"/>
      <c r="AA413" s="110" t="s">
        <v>2276</v>
      </c>
      <c r="AB413" s="125" t="s">
        <v>5085</v>
      </c>
      <c r="AC413" s="125" t="s">
        <v>313</v>
      </c>
      <c r="AD413" s="125" t="s">
        <v>314</v>
      </c>
      <c r="AE413" s="125">
        <v>90</v>
      </c>
      <c r="AF413" s="114" t="s">
        <v>292</v>
      </c>
      <c r="AG413" s="125" t="s">
        <v>291</v>
      </c>
      <c r="AH413" s="110" t="s">
        <v>5474</v>
      </c>
      <c r="AI413" s="109" t="s">
        <v>317</v>
      </c>
      <c r="AJ413" s="109" t="s">
        <v>318</v>
      </c>
      <c r="AK413" s="110" t="s">
        <v>5452</v>
      </c>
      <c r="AL413" s="97" t="s">
        <v>5453</v>
      </c>
      <c r="AM413" s="110" t="s">
        <v>5454</v>
      </c>
      <c r="AN413" s="110" t="s">
        <v>832</v>
      </c>
      <c r="AO413" s="110" t="s">
        <v>398</v>
      </c>
      <c r="AP413" s="110" t="s">
        <v>398</v>
      </c>
      <c r="AQ413" s="110" t="s">
        <v>5455</v>
      </c>
      <c r="AR413" s="125" t="s">
        <v>699</v>
      </c>
      <c r="AS413" s="125" t="s">
        <v>581</v>
      </c>
      <c r="AT413" s="110" t="s">
        <v>5456</v>
      </c>
      <c r="AU413" s="110" t="s">
        <v>3402</v>
      </c>
      <c r="AV413" s="125">
        <v>93995</v>
      </c>
      <c r="AW413" s="109" t="s">
        <v>3416</v>
      </c>
      <c r="AX413" s="110" t="s">
        <v>329</v>
      </c>
      <c r="AY413" s="110" t="s">
        <v>329</v>
      </c>
      <c r="AZ413" s="110"/>
      <c r="BA413" s="110"/>
      <c r="BB413" s="138"/>
      <c r="BC413" s="110"/>
      <c r="BD413" s="110" t="s">
        <v>5454</v>
      </c>
      <c r="BE413" s="110" t="s">
        <v>832</v>
      </c>
      <c r="BF413" s="110">
        <v>8123294787</v>
      </c>
      <c r="BG413" s="125" t="s">
        <v>1349</v>
      </c>
      <c r="BH413" s="110"/>
      <c r="BI413" s="110"/>
      <c r="BJ413" s="110"/>
      <c r="BK413" s="109" t="s">
        <v>3911</v>
      </c>
      <c r="BL413" s="110"/>
      <c r="BM413" s="110"/>
      <c r="BN413" s="109" t="s">
        <v>3911</v>
      </c>
      <c r="BO413" s="110"/>
      <c r="BP413" s="110" t="s">
        <v>571</v>
      </c>
      <c r="BQ413" s="110"/>
      <c r="BR413" s="110"/>
      <c r="BS413" s="110"/>
      <c r="BT413" s="110"/>
      <c r="BU413" s="110"/>
      <c r="BV413" s="110"/>
      <c r="BW413" s="110"/>
      <c r="BX413" s="110"/>
      <c r="BY413" s="110"/>
      <c r="BZ413" s="110"/>
      <c r="CA413" s="110"/>
      <c r="CB413" s="109"/>
      <c r="CC413" s="109"/>
      <c r="CD413" s="110"/>
    </row>
    <row r="414" spans="1:83" s="116" customFormat="1" ht="15" x14ac:dyDescent="0.25">
      <c r="A414" s="125">
        <v>930</v>
      </c>
      <c r="B414" s="125" t="s">
        <v>5457</v>
      </c>
      <c r="C414" s="110" t="s">
        <v>363</v>
      </c>
      <c r="D414" s="125" t="s">
        <v>292</v>
      </c>
      <c r="E414" s="111" t="s">
        <v>6715</v>
      </c>
      <c r="F414" s="127">
        <v>45887</v>
      </c>
      <c r="G414" s="127">
        <v>45887</v>
      </c>
      <c r="H414" s="113">
        <f t="shared" si="36"/>
        <v>45977</v>
      </c>
      <c r="I414" s="113" t="s">
        <v>290</v>
      </c>
      <c r="J414" s="125" t="s">
        <v>5632</v>
      </c>
      <c r="K414" s="125" t="s">
        <v>4346</v>
      </c>
      <c r="L414" s="125" t="s">
        <v>5458</v>
      </c>
      <c r="M414" s="128" t="str">
        <f t="shared" si="37"/>
        <v>ARCEO MORALES ANDRES EDUARDO</v>
      </c>
      <c r="N414" s="128" t="s">
        <v>5459</v>
      </c>
      <c r="O414" s="128" t="s">
        <v>5460</v>
      </c>
      <c r="P414" s="125" t="s">
        <v>1953</v>
      </c>
      <c r="Q414" s="112">
        <v>35982</v>
      </c>
      <c r="R414" s="125">
        <f t="shared" si="38"/>
        <v>6</v>
      </c>
      <c r="S414" s="125">
        <f t="shared" si="39"/>
        <v>7</v>
      </c>
      <c r="T414" s="125">
        <f t="shared" si="40"/>
        <v>1998</v>
      </c>
      <c r="U414" s="142">
        <f t="shared" ca="1" si="41"/>
        <v>28.287671232876711</v>
      </c>
      <c r="V414" s="128" t="s">
        <v>452</v>
      </c>
      <c r="W414" s="128" t="s">
        <v>5461</v>
      </c>
      <c r="X414" s="125" t="s">
        <v>454</v>
      </c>
      <c r="Y414" s="125" t="s">
        <v>89</v>
      </c>
      <c r="Z414" s="125"/>
      <c r="AA414" s="110" t="s">
        <v>2276</v>
      </c>
      <c r="AB414" s="125" t="s">
        <v>5085</v>
      </c>
      <c r="AC414" s="125" t="s">
        <v>313</v>
      </c>
      <c r="AD414" s="125" t="s">
        <v>314</v>
      </c>
      <c r="AE414" s="125">
        <v>90</v>
      </c>
      <c r="AF414" s="114" t="s">
        <v>292</v>
      </c>
      <c r="AG414" s="125" t="s">
        <v>290</v>
      </c>
      <c r="AH414" s="110" t="s">
        <v>5474</v>
      </c>
      <c r="AI414" s="109" t="s">
        <v>317</v>
      </c>
      <c r="AJ414" s="109" t="s">
        <v>318</v>
      </c>
      <c r="AK414" s="110" t="s">
        <v>5462</v>
      </c>
      <c r="AL414" s="97" t="s">
        <v>5463</v>
      </c>
      <c r="AM414" s="110" t="s">
        <v>5464</v>
      </c>
      <c r="AN414" s="110" t="s">
        <v>478</v>
      </c>
      <c r="AO414" s="110" t="s">
        <v>398</v>
      </c>
      <c r="AP414" s="110" t="s">
        <v>398</v>
      </c>
      <c r="AQ414" s="110" t="s">
        <v>5465</v>
      </c>
      <c r="AR414" s="125">
        <v>406</v>
      </c>
      <c r="AS414" s="125" t="s">
        <v>581</v>
      </c>
      <c r="AT414" s="110" t="s">
        <v>5466</v>
      </c>
      <c r="AU414" s="110" t="s">
        <v>5467</v>
      </c>
      <c r="AV414" s="125">
        <v>97159</v>
      </c>
      <c r="AW414" s="109" t="s">
        <v>3416</v>
      </c>
      <c r="AX414" s="110" t="s">
        <v>329</v>
      </c>
      <c r="AY414" s="110" t="s">
        <v>329</v>
      </c>
      <c r="AZ414" s="110"/>
      <c r="BA414" s="110"/>
      <c r="BB414" s="138"/>
      <c r="BC414" s="110"/>
      <c r="BD414" s="110" t="s">
        <v>5464</v>
      </c>
      <c r="BE414" s="110" t="s">
        <v>478</v>
      </c>
      <c r="BF414" s="110" t="s">
        <v>5462</v>
      </c>
      <c r="BG414" s="125" t="s">
        <v>488</v>
      </c>
      <c r="BH414" s="110"/>
      <c r="BI414" s="110"/>
      <c r="BJ414" s="110"/>
      <c r="BK414" s="110"/>
      <c r="BL414" s="110"/>
      <c r="BM414" s="110"/>
      <c r="BN414" s="110"/>
      <c r="BO414" s="110"/>
      <c r="BP414" s="110"/>
      <c r="BQ414" s="110"/>
      <c r="BR414" s="110"/>
      <c r="BS414" s="110"/>
      <c r="BT414" s="110"/>
      <c r="BU414" s="110"/>
      <c r="BV414" s="110"/>
      <c r="BW414" s="110"/>
      <c r="BX414" s="110"/>
      <c r="BY414" s="110"/>
      <c r="BZ414" s="110"/>
      <c r="CA414" s="110"/>
      <c r="CB414" s="109"/>
      <c r="CC414" s="109"/>
      <c r="CD414" s="110"/>
    </row>
    <row r="415" spans="1:83" s="116" customFormat="1" x14ac:dyDescent="0.2">
      <c r="A415" s="125">
        <v>931</v>
      </c>
      <c r="B415" s="125" t="s">
        <v>5468</v>
      </c>
      <c r="C415" s="110" t="s">
        <v>335</v>
      </c>
      <c r="D415" s="125" t="s">
        <v>133</v>
      </c>
      <c r="E415" s="111" t="s">
        <v>6804</v>
      </c>
      <c r="F415" s="127">
        <v>45887</v>
      </c>
      <c r="G415" s="127">
        <v>45887</v>
      </c>
      <c r="H415" s="113">
        <f t="shared" si="36"/>
        <v>45977</v>
      </c>
      <c r="I415" s="113" t="s">
        <v>290</v>
      </c>
      <c r="J415" s="125" t="s">
        <v>4383</v>
      </c>
      <c r="K415" s="125" t="s">
        <v>1212</v>
      </c>
      <c r="L415" s="125" t="s">
        <v>5469</v>
      </c>
      <c r="M415" s="128" t="str">
        <f t="shared" si="37"/>
        <v>MARTINEZ  ALVAREZ ANGEL ADRIAN</v>
      </c>
      <c r="N415" s="128" t="s">
        <v>7218</v>
      </c>
      <c r="O415" s="128" t="s">
        <v>5470</v>
      </c>
      <c r="P415" s="125" t="s">
        <v>1953</v>
      </c>
      <c r="Q415" s="112">
        <v>38369</v>
      </c>
      <c r="R415" s="125">
        <f t="shared" si="38"/>
        <v>17</v>
      </c>
      <c r="S415" s="125">
        <f t="shared" si="39"/>
        <v>1</v>
      </c>
      <c r="T415" s="125">
        <f t="shared" si="40"/>
        <v>2005</v>
      </c>
      <c r="U415" s="142">
        <f t="shared" ca="1" si="41"/>
        <v>21.747945205479454</v>
      </c>
      <c r="V415" s="128"/>
      <c r="W415" s="128" t="s">
        <v>5471</v>
      </c>
      <c r="X415" s="125" t="s">
        <v>472</v>
      </c>
      <c r="Y415" s="109" t="s">
        <v>135</v>
      </c>
      <c r="Z415" s="109" t="s">
        <v>136</v>
      </c>
      <c r="AA415" s="109" t="s">
        <v>347</v>
      </c>
      <c r="AB415" s="109" t="s">
        <v>670</v>
      </c>
      <c r="AC415" s="125" t="s">
        <v>313</v>
      </c>
      <c r="AD415" s="125" t="s">
        <v>314</v>
      </c>
      <c r="AE415" s="125">
        <v>90</v>
      </c>
      <c r="AF415" s="114" t="s">
        <v>671</v>
      </c>
      <c r="AG415" s="109" t="s">
        <v>290</v>
      </c>
      <c r="AH415" s="115" t="s">
        <v>672</v>
      </c>
      <c r="AI415" s="109" t="s">
        <v>317</v>
      </c>
      <c r="AJ415" s="109" t="s">
        <v>318</v>
      </c>
      <c r="AK415" s="110"/>
      <c r="AL415" s="110"/>
      <c r="AM415" s="110"/>
      <c r="AN415" s="110"/>
      <c r="AO415" s="110"/>
      <c r="AP415" s="110"/>
      <c r="AQ415" s="110" t="s">
        <v>5472</v>
      </c>
      <c r="AR415" s="125">
        <v>400</v>
      </c>
      <c r="AS415" s="125" t="s">
        <v>581</v>
      </c>
      <c r="AT415" s="110" t="s">
        <v>1590</v>
      </c>
      <c r="AU415" s="110" t="s">
        <v>5473</v>
      </c>
      <c r="AV415" s="125">
        <v>66056</v>
      </c>
      <c r="AW415" s="109" t="s">
        <v>3416</v>
      </c>
      <c r="AX415" s="110" t="s">
        <v>329</v>
      </c>
      <c r="AY415" s="110" t="s">
        <v>329</v>
      </c>
      <c r="AZ415" s="110"/>
      <c r="BA415" s="110"/>
      <c r="BB415" s="138"/>
      <c r="BC415" s="110"/>
      <c r="BD415" s="110"/>
      <c r="BE415" s="110"/>
      <c r="BF415" s="110"/>
      <c r="BG415" s="125"/>
      <c r="BH415" s="110"/>
      <c r="BI415" s="110"/>
      <c r="BJ415" s="110"/>
      <c r="BK415" s="110"/>
      <c r="BL415" s="110"/>
      <c r="BM415" s="110"/>
      <c r="BN415" s="110"/>
      <c r="BO415" s="110"/>
      <c r="BP415" s="110"/>
      <c r="BQ415" s="110"/>
      <c r="BR415" s="110"/>
      <c r="BS415" s="110"/>
      <c r="BT415" s="110"/>
      <c r="BU415" s="110"/>
      <c r="BV415" s="110"/>
      <c r="BW415" s="110"/>
      <c r="BX415" s="110"/>
      <c r="BY415" s="110"/>
      <c r="BZ415" s="110"/>
      <c r="CA415" s="110"/>
      <c r="CB415" s="109"/>
      <c r="CC415" s="109"/>
      <c r="CD415" s="110"/>
    </row>
    <row r="416" spans="1:83" s="116" customFormat="1" x14ac:dyDescent="0.2">
      <c r="A416" s="125">
        <v>932</v>
      </c>
      <c r="B416" s="125" t="s">
        <v>5475</v>
      </c>
      <c r="C416" s="110" t="s">
        <v>335</v>
      </c>
      <c r="D416" s="125" t="s">
        <v>86</v>
      </c>
      <c r="E416" s="111" t="s">
        <v>6716</v>
      </c>
      <c r="F416" s="127">
        <v>45887</v>
      </c>
      <c r="G416" s="127">
        <v>45887</v>
      </c>
      <c r="H416" s="113">
        <f t="shared" si="36"/>
        <v>45977</v>
      </c>
      <c r="I416" s="113" t="s">
        <v>290</v>
      </c>
      <c r="J416" s="125" t="s">
        <v>4490</v>
      </c>
      <c r="K416" s="125" t="s">
        <v>5476</v>
      </c>
      <c r="L416" s="125" t="s">
        <v>5477</v>
      </c>
      <c r="M416" s="128" t="str">
        <f t="shared" si="37"/>
        <v>PADRON RAMOZ JOSE HILARIO</v>
      </c>
      <c r="N416" s="128" t="s">
        <v>7121</v>
      </c>
      <c r="O416" s="128" t="s">
        <v>5478</v>
      </c>
      <c r="P416" s="125" t="s">
        <v>1953</v>
      </c>
      <c r="Q416" s="112">
        <v>33816</v>
      </c>
      <c r="R416" s="125">
        <f t="shared" si="38"/>
        <v>31</v>
      </c>
      <c r="S416" s="125">
        <f t="shared" si="39"/>
        <v>7</v>
      </c>
      <c r="T416" s="125">
        <f t="shared" si="40"/>
        <v>1992</v>
      </c>
      <c r="U416" s="142">
        <f t="shared" ca="1" si="41"/>
        <v>34.221917808219175</v>
      </c>
      <c r="V416" s="128" t="s">
        <v>452</v>
      </c>
      <c r="W416" s="128" t="s">
        <v>5479</v>
      </c>
      <c r="X416" s="125" t="s">
        <v>454</v>
      </c>
      <c r="Y416" s="109" t="s">
        <v>117</v>
      </c>
      <c r="Z416" s="109" t="s">
        <v>153</v>
      </c>
      <c r="AA416" s="109" t="s">
        <v>347</v>
      </c>
      <c r="AB416" s="109" t="s">
        <v>842</v>
      </c>
      <c r="AC416" s="125" t="s">
        <v>313</v>
      </c>
      <c r="AD416" s="125" t="s">
        <v>314</v>
      </c>
      <c r="AE416" s="125">
        <v>90</v>
      </c>
      <c r="AF416" s="114" t="s">
        <v>315</v>
      </c>
      <c r="AG416" s="109" t="s">
        <v>290</v>
      </c>
      <c r="AH416" s="115" t="s">
        <v>2342</v>
      </c>
      <c r="AI416" s="109" t="s">
        <v>317</v>
      </c>
      <c r="AJ416" s="109" t="s">
        <v>318</v>
      </c>
      <c r="AK416" s="110" t="s">
        <v>5480</v>
      </c>
      <c r="AL416" s="110" t="s">
        <v>5481</v>
      </c>
      <c r="AM416" s="110" t="s">
        <v>5482</v>
      </c>
      <c r="AN416" s="110" t="s">
        <v>560</v>
      </c>
      <c r="AO416" s="110" t="s">
        <v>398</v>
      </c>
      <c r="AP416" s="110" t="s">
        <v>398</v>
      </c>
      <c r="AQ416" s="110" t="s">
        <v>5483</v>
      </c>
      <c r="AR416" s="125">
        <v>114</v>
      </c>
      <c r="AS416" s="125" t="s">
        <v>581</v>
      </c>
      <c r="AT416" s="110" t="s">
        <v>482</v>
      </c>
      <c r="AU416" s="110" t="s">
        <v>483</v>
      </c>
      <c r="AV416" s="125">
        <v>78434</v>
      </c>
      <c r="AW416" s="109" t="s">
        <v>3416</v>
      </c>
      <c r="AX416" s="110" t="s">
        <v>329</v>
      </c>
      <c r="AY416" s="110" t="s">
        <v>329</v>
      </c>
      <c r="AZ416" s="110"/>
      <c r="BA416" s="110"/>
      <c r="BB416" s="138"/>
      <c r="BC416" s="110"/>
      <c r="BD416" s="110" t="s">
        <v>5482</v>
      </c>
      <c r="BE416" s="110" t="s">
        <v>560</v>
      </c>
      <c r="BF416" s="110" t="s">
        <v>5484</v>
      </c>
      <c r="BG416" s="125" t="s">
        <v>1349</v>
      </c>
      <c r="BH416" s="110" t="s">
        <v>334</v>
      </c>
      <c r="BI416" s="110">
        <v>1</v>
      </c>
      <c r="BJ416" s="110"/>
      <c r="BK416" s="110" t="s">
        <v>571</v>
      </c>
      <c r="BL416" s="110">
        <v>4</v>
      </c>
      <c r="BM416" s="110"/>
      <c r="BN416" s="110"/>
      <c r="BO416" s="110"/>
      <c r="BP416" s="110"/>
      <c r="BQ416" s="110"/>
      <c r="BR416" s="110"/>
      <c r="BS416" s="110"/>
      <c r="BT416" s="110"/>
      <c r="BU416" s="110"/>
      <c r="BV416" s="110"/>
      <c r="BW416" s="110"/>
      <c r="BX416" s="110"/>
      <c r="BY416" s="110"/>
      <c r="BZ416" s="110"/>
      <c r="CA416" s="110"/>
      <c r="CB416" s="109"/>
      <c r="CC416" s="109"/>
      <c r="CD416" s="110"/>
    </row>
    <row r="417" spans="1:82" ht="15" x14ac:dyDescent="0.25">
      <c r="A417" s="77">
        <v>933</v>
      </c>
      <c r="B417" s="77" t="s">
        <v>5495</v>
      </c>
      <c r="C417" s="78" t="s">
        <v>363</v>
      </c>
      <c r="D417" s="107" t="s">
        <v>98</v>
      </c>
      <c r="E417" s="99" t="s">
        <v>6717</v>
      </c>
      <c r="F417" s="79">
        <v>45887</v>
      </c>
      <c r="G417" s="79">
        <v>45887</v>
      </c>
      <c r="H417" s="101">
        <f t="shared" si="36"/>
        <v>45977</v>
      </c>
      <c r="I417" s="101" t="s">
        <v>291</v>
      </c>
      <c r="J417" s="77" t="s">
        <v>5496</v>
      </c>
      <c r="K417" s="77" t="s">
        <v>366</v>
      </c>
      <c r="L417" s="77" t="s">
        <v>5497</v>
      </c>
      <c r="M417" s="102" t="str">
        <f t="shared" si="37"/>
        <v>PADILLA HERNANDEZ LUIS ALBERTO</v>
      </c>
      <c r="N417" s="102" t="s">
        <v>7122</v>
      </c>
      <c r="O417" s="102" t="s">
        <v>5498</v>
      </c>
      <c r="P417" s="77" t="s">
        <v>1953</v>
      </c>
      <c r="Q417" s="100">
        <v>36056</v>
      </c>
      <c r="R417" s="77">
        <f t="shared" si="38"/>
        <v>18</v>
      </c>
      <c r="S417" s="77">
        <f t="shared" si="39"/>
        <v>9</v>
      </c>
      <c r="T417" s="77">
        <f t="shared" si="40"/>
        <v>1998</v>
      </c>
      <c r="U417" s="103">
        <f t="shared" ca="1" si="41"/>
        <v>28.084931506849315</v>
      </c>
      <c r="V417" s="102" t="s">
        <v>389</v>
      </c>
      <c r="W417" s="102" t="s">
        <v>5499</v>
      </c>
      <c r="X417" s="77" t="s">
        <v>5451</v>
      </c>
      <c r="Y417" s="77" t="s">
        <v>252</v>
      </c>
      <c r="Z417" s="12" t="s">
        <v>102</v>
      </c>
      <c r="AA417" s="12" t="s">
        <v>636</v>
      </c>
      <c r="AB417" s="12" t="s">
        <v>2284</v>
      </c>
      <c r="AC417" s="77" t="s">
        <v>313</v>
      </c>
      <c r="AD417" s="77" t="s">
        <v>314</v>
      </c>
      <c r="AE417" s="77">
        <v>90</v>
      </c>
      <c r="AF417" s="13" t="s">
        <v>597</v>
      </c>
      <c r="AG417" s="12" t="s">
        <v>290</v>
      </c>
      <c r="AH417" s="78" t="s">
        <v>598</v>
      </c>
      <c r="AI417" s="12" t="s">
        <v>317</v>
      </c>
      <c r="AJ417" s="12" t="s">
        <v>318</v>
      </c>
      <c r="AK417" s="78" t="s">
        <v>5500</v>
      </c>
      <c r="AL417" s="93" t="s">
        <v>5501</v>
      </c>
      <c r="AM417" s="78" t="s">
        <v>5502</v>
      </c>
      <c r="AN417" s="78" t="s">
        <v>5503</v>
      </c>
      <c r="AO417" s="78" t="s">
        <v>5504</v>
      </c>
      <c r="AP417" s="78" t="s">
        <v>5504</v>
      </c>
      <c r="AQ417" s="78" t="s">
        <v>5505</v>
      </c>
      <c r="AR417" s="77">
        <v>14</v>
      </c>
      <c r="AS417" s="77" t="s">
        <v>581</v>
      </c>
      <c r="AT417" s="78" t="s">
        <v>582</v>
      </c>
      <c r="AU417" s="78" t="s">
        <v>583</v>
      </c>
      <c r="AV417" s="77">
        <v>45655</v>
      </c>
      <c r="AW417" s="12" t="s">
        <v>3416</v>
      </c>
      <c r="AX417" s="78" t="s">
        <v>329</v>
      </c>
      <c r="AY417" s="78" t="s">
        <v>329</v>
      </c>
      <c r="AZ417" s="78"/>
      <c r="BA417" s="78"/>
      <c r="BB417" s="137"/>
      <c r="BC417" s="78"/>
      <c r="BD417" s="78" t="s">
        <v>5502</v>
      </c>
      <c r="BE417" s="78" t="s">
        <v>5503</v>
      </c>
      <c r="BF417" s="78" t="s">
        <v>5506</v>
      </c>
      <c r="BG417" s="77" t="s">
        <v>5507</v>
      </c>
      <c r="BH417" s="78"/>
      <c r="BI417" s="78">
        <v>1</v>
      </c>
      <c r="BJ417" s="78"/>
      <c r="BK417" s="12" t="s">
        <v>3911</v>
      </c>
      <c r="BL417" s="78">
        <v>4</v>
      </c>
      <c r="BM417" s="78"/>
      <c r="BN417" s="78"/>
      <c r="BO417" s="78"/>
      <c r="BP417" s="78"/>
      <c r="BQ417" s="78"/>
      <c r="BR417" s="78"/>
      <c r="BS417" s="78"/>
      <c r="BT417" s="78"/>
      <c r="BU417" s="78"/>
      <c r="BV417" s="78"/>
      <c r="BW417" s="78"/>
      <c r="BX417" s="78"/>
      <c r="BY417" s="78"/>
      <c r="BZ417" s="78"/>
      <c r="CA417" s="78"/>
      <c r="CB417" s="12"/>
      <c r="CC417" s="12"/>
      <c r="CD417" s="78"/>
    </row>
    <row r="418" spans="1:82" s="116" customFormat="1" ht="15" x14ac:dyDescent="0.25">
      <c r="A418" s="125">
        <v>935</v>
      </c>
      <c r="B418" s="125" t="s">
        <v>5518</v>
      </c>
      <c r="C418" s="110" t="s">
        <v>363</v>
      </c>
      <c r="D418" s="109" t="s">
        <v>7242</v>
      </c>
      <c r="E418" s="111" t="s">
        <v>6718</v>
      </c>
      <c r="F418" s="127">
        <v>45887</v>
      </c>
      <c r="G418" s="127">
        <v>45887</v>
      </c>
      <c r="H418" s="113">
        <f t="shared" si="36"/>
        <v>45977</v>
      </c>
      <c r="I418" s="113" t="s">
        <v>291</v>
      </c>
      <c r="J418" s="125" t="s">
        <v>384</v>
      </c>
      <c r="K418" s="125" t="s">
        <v>4487</v>
      </c>
      <c r="L418" s="125" t="s">
        <v>1830</v>
      </c>
      <c r="M418" s="128" t="str">
        <f t="shared" si="37"/>
        <v>SANCHEZ DOMINGUEZ JESUS</v>
      </c>
      <c r="N418" s="128" t="s">
        <v>7123</v>
      </c>
      <c r="O418" s="128" t="s">
        <v>5519</v>
      </c>
      <c r="P418" s="125" t="s">
        <v>1953</v>
      </c>
      <c r="Q418" s="112">
        <v>29214</v>
      </c>
      <c r="R418" s="125">
        <f t="shared" si="38"/>
        <v>25</v>
      </c>
      <c r="S418" s="125">
        <f t="shared" si="39"/>
        <v>12</v>
      </c>
      <c r="T418" s="125">
        <f t="shared" si="40"/>
        <v>1979</v>
      </c>
      <c r="U418" s="142">
        <f t="shared" ca="1" si="41"/>
        <v>46.830136986301369</v>
      </c>
      <c r="V418" s="128" t="s">
        <v>342</v>
      </c>
      <c r="W418" s="128" t="s">
        <v>5520</v>
      </c>
      <c r="X418" s="125" t="s">
        <v>693</v>
      </c>
      <c r="Y418" s="125" t="s">
        <v>252</v>
      </c>
      <c r="Z418" s="109" t="s">
        <v>251</v>
      </c>
      <c r="AA418" s="109"/>
      <c r="AB418" s="109" t="s">
        <v>2285</v>
      </c>
      <c r="AC418" s="125" t="s">
        <v>313</v>
      </c>
      <c r="AD418" s="125" t="s">
        <v>314</v>
      </c>
      <c r="AE418" s="125">
        <v>90</v>
      </c>
      <c r="AF418" s="114" t="s">
        <v>375</v>
      </c>
      <c r="AG418" s="125" t="s">
        <v>291</v>
      </c>
      <c r="AH418" s="110" t="s">
        <v>473</v>
      </c>
      <c r="AI418" s="109" t="s">
        <v>317</v>
      </c>
      <c r="AJ418" s="109" t="s">
        <v>318</v>
      </c>
      <c r="AK418" s="110" t="s">
        <v>5521</v>
      </c>
      <c r="AL418" s="97" t="s">
        <v>5522</v>
      </c>
      <c r="AM418" s="110" t="s">
        <v>5523</v>
      </c>
      <c r="AN418" s="110" t="s">
        <v>381</v>
      </c>
      <c r="AO418" s="110" t="s">
        <v>398</v>
      </c>
      <c r="AP418" s="110" t="s">
        <v>398</v>
      </c>
      <c r="AQ418" s="110" t="s">
        <v>5524</v>
      </c>
      <c r="AR418" s="125">
        <v>135</v>
      </c>
      <c r="AS418" s="125" t="s">
        <v>581</v>
      </c>
      <c r="AT418" s="110" t="s">
        <v>483</v>
      </c>
      <c r="AU418" s="110" t="s">
        <v>483</v>
      </c>
      <c r="AV418" s="125">
        <v>78394</v>
      </c>
      <c r="AW418" s="109" t="s">
        <v>3416</v>
      </c>
      <c r="AX418" s="110" t="s">
        <v>329</v>
      </c>
      <c r="AY418" s="110" t="s">
        <v>329</v>
      </c>
      <c r="AZ418" s="110"/>
      <c r="BA418" s="110"/>
      <c r="BB418" s="138"/>
      <c r="BC418" s="110"/>
      <c r="BD418" s="110" t="s">
        <v>5523</v>
      </c>
      <c r="BE418" s="110" t="s">
        <v>381</v>
      </c>
      <c r="BF418" s="110" t="s">
        <v>5525</v>
      </c>
      <c r="BG418" s="125"/>
      <c r="BH418" s="110"/>
      <c r="BI418" s="110"/>
      <c r="BJ418" s="110"/>
      <c r="BK418" s="110"/>
      <c r="BL418" s="110"/>
      <c r="BM418" s="110"/>
      <c r="BN418" s="110"/>
      <c r="BO418" s="110"/>
      <c r="BP418" s="110"/>
      <c r="BQ418" s="110"/>
      <c r="BR418" s="110"/>
      <c r="BS418" s="110"/>
      <c r="BT418" s="110"/>
      <c r="BU418" s="110"/>
      <c r="BV418" s="110"/>
      <c r="BW418" s="110"/>
      <c r="BX418" s="110"/>
      <c r="BY418" s="110"/>
      <c r="BZ418" s="110"/>
      <c r="CA418" s="110"/>
      <c r="CB418" s="109"/>
      <c r="CC418" s="109"/>
      <c r="CD418" s="110"/>
    </row>
    <row r="419" spans="1:82" ht="15" x14ac:dyDescent="0.25">
      <c r="A419" s="77">
        <v>934</v>
      </c>
      <c r="B419" s="77" t="s">
        <v>5508</v>
      </c>
      <c r="C419" s="78" t="s">
        <v>335</v>
      </c>
      <c r="D419" s="107" t="s">
        <v>228</v>
      </c>
      <c r="E419" s="99" t="s">
        <v>6719</v>
      </c>
      <c r="F419" s="79">
        <v>45889</v>
      </c>
      <c r="G419" s="79">
        <v>45889</v>
      </c>
      <c r="H419" s="101">
        <f t="shared" si="36"/>
        <v>45979</v>
      </c>
      <c r="I419" s="101" t="s">
        <v>290</v>
      </c>
      <c r="J419" s="77" t="s">
        <v>4510</v>
      </c>
      <c r="K419" s="77" t="s">
        <v>6442</v>
      </c>
      <c r="L419" s="77" t="s">
        <v>5509</v>
      </c>
      <c r="M419" s="102" t="str">
        <f t="shared" si="37"/>
        <v>OLIVARES SIFUENTES LUIS RUBEN</v>
      </c>
      <c r="N419" s="102" t="s">
        <v>5510</v>
      </c>
      <c r="O419" s="102" t="s">
        <v>5511</v>
      </c>
      <c r="P419" s="77" t="s">
        <v>1953</v>
      </c>
      <c r="Q419" s="100">
        <v>35799</v>
      </c>
      <c r="R419" s="77">
        <f t="shared" si="38"/>
        <v>4</v>
      </c>
      <c r="S419" s="77">
        <f t="shared" si="39"/>
        <v>1</v>
      </c>
      <c r="T419" s="77">
        <f t="shared" si="40"/>
        <v>1998</v>
      </c>
      <c r="U419" s="103">
        <f t="shared" ca="1" si="41"/>
        <v>28.789041095890411</v>
      </c>
      <c r="V419" s="102" t="s">
        <v>342</v>
      </c>
      <c r="W419" s="102" t="s">
        <v>5512</v>
      </c>
      <c r="X419" s="77" t="s">
        <v>530</v>
      </c>
      <c r="Y419" s="77" t="s">
        <v>117</v>
      </c>
      <c r="Z419" s="77" t="s">
        <v>149</v>
      </c>
      <c r="AA419" s="77" t="s">
        <v>347</v>
      </c>
      <c r="AB419" s="77" t="s">
        <v>2293</v>
      </c>
      <c r="AC419" s="77" t="s">
        <v>313</v>
      </c>
      <c r="AD419" s="77" t="s">
        <v>314</v>
      </c>
      <c r="AE419" s="77">
        <v>90</v>
      </c>
      <c r="AF419" s="102" t="s">
        <v>949</v>
      </c>
      <c r="AG419" s="77" t="s">
        <v>291</v>
      </c>
      <c r="AH419" s="78" t="s">
        <v>950</v>
      </c>
      <c r="AI419" s="77" t="s">
        <v>317</v>
      </c>
      <c r="AJ419" s="77" t="s">
        <v>318</v>
      </c>
      <c r="AK419" s="78" t="s">
        <v>5513</v>
      </c>
      <c r="AL419" s="93" t="s">
        <v>5514</v>
      </c>
      <c r="AM419" s="78" t="s">
        <v>5515</v>
      </c>
      <c r="AN419" s="78" t="s">
        <v>381</v>
      </c>
      <c r="AO419" s="78" t="s">
        <v>398</v>
      </c>
      <c r="AP419" s="78" t="s">
        <v>398</v>
      </c>
      <c r="AQ419" s="78" t="s">
        <v>5516</v>
      </c>
      <c r="AR419" s="77">
        <v>1010</v>
      </c>
      <c r="AS419" s="77" t="s">
        <v>581</v>
      </c>
      <c r="AT419" s="78" t="s">
        <v>1573</v>
      </c>
      <c r="AU419" s="78" t="s">
        <v>483</v>
      </c>
      <c r="AV419" s="77">
        <v>79650</v>
      </c>
      <c r="AW419" s="12" t="s">
        <v>3416</v>
      </c>
      <c r="AX419" s="78" t="s">
        <v>329</v>
      </c>
      <c r="AY419" s="78" t="s">
        <v>329</v>
      </c>
      <c r="AZ419" s="78"/>
      <c r="BA419" s="78"/>
      <c r="BB419" s="137"/>
      <c r="BC419" s="78"/>
      <c r="BD419" s="78" t="s">
        <v>5515</v>
      </c>
      <c r="BE419" s="78" t="s">
        <v>381</v>
      </c>
      <c r="BF419" s="78" t="s">
        <v>5517</v>
      </c>
      <c r="BG419" s="77" t="s">
        <v>333</v>
      </c>
      <c r="BH419" s="78"/>
      <c r="BI419" s="78"/>
      <c r="BJ419" s="78"/>
      <c r="BK419" s="78"/>
      <c r="BL419" s="78"/>
      <c r="BM419" s="78"/>
      <c r="BN419" s="78"/>
      <c r="BO419" s="78"/>
      <c r="BP419" s="78"/>
      <c r="BQ419" s="78"/>
      <c r="BR419" s="78"/>
      <c r="BS419" s="78"/>
      <c r="BT419" s="78"/>
      <c r="BU419" s="78"/>
      <c r="BV419" s="78"/>
      <c r="BW419" s="78"/>
      <c r="BX419" s="78"/>
      <c r="BY419" s="78"/>
      <c r="BZ419" s="78"/>
      <c r="CA419" s="78"/>
      <c r="CB419" s="12"/>
      <c r="CC419" s="12"/>
      <c r="CD419" s="78"/>
    </row>
    <row r="420" spans="1:82" s="116" customFormat="1" ht="15" x14ac:dyDescent="0.25">
      <c r="A420" s="125">
        <v>936</v>
      </c>
      <c r="B420" s="125" t="s">
        <v>5527</v>
      </c>
      <c r="C420" s="110" t="s">
        <v>335</v>
      </c>
      <c r="D420" s="125" t="s">
        <v>140</v>
      </c>
      <c r="E420" s="111" t="s">
        <v>6720</v>
      </c>
      <c r="F420" s="127">
        <v>45891</v>
      </c>
      <c r="G420" s="127">
        <v>45891</v>
      </c>
      <c r="H420" s="113">
        <f t="shared" si="36"/>
        <v>45981</v>
      </c>
      <c r="I420" s="113" t="s">
        <v>290</v>
      </c>
      <c r="J420" s="125" t="s">
        <v>5528</v>
      </c>
      <c r="K420" s="125" t="s">
        <v>5529</v>
      </c>
      <c r="L420" s="125" t="s">
        <v>1760</v>
      </c>
      <c r="M420" s="128" t="str">
        <f t="shared" si="37"/>
        <v>DIMAS UTRILLA MISAEL</v>
      </c>
      <c r="N420" s="128" t="s">
        <v>7124</v>
      </c>
      <c r="O420" s="128" t="s">
        <v>5530</v>
      </c>
      <c r="P420" s="125" t="s">
        <v>1953</v>
      </c>
      <c r="Q420" s="112">
        <v>33567</v>
      </c>
      <c r="R420" s="125">
        <f t="shared" si="38"/>
        <v>25</v>
      </c>
      <c r="S420" s="125">
        <f t="shared" si="39"/>
        <v>11</v>
      </c>
      <c r="T420" s="125">
        <f t="shared" si="40"/>
        <v>1991</v>
      </c>
      <c r="U420" s="142">
        <f t="shared" ca="1" si="41"/>
        <v>34.904109589041099</v>
      </c>
      <c r="V420" s="128"/>
      <c r="W420" s="128" t="s">
        <v>5531</v>
      </c>
      <c r="X420" s="125"/>
      <c r="Y420" s="125" t="s">
        <v>117</v>
      </c>
      <c r="Z420" s="109" t="s">
        <v>921</v>
      </c>
      <c r="AA420" s="109" t="s">
        <v>347</v>
      </c>
      <c r="AB420" s="109" t="s">
        <v>2292</v>
      </c>
      <c r="AC420" s="125" t="s">
        <v>313</v>
      </c>
      <c r="AD420" s="125" t="s">
        <v>314</v>
      </c>
      <c r="AE420" s="125">
        <v>90</v>
      </c>
      <c r="AF420" s="128" t="s">
        <v>554</v>
      </c>
      <c r="AG420" s="125" t="s">
        <v>290</v>
      </c>
      <c r="AH420" s="110" t="s">
        <v>555</v>
      </c>
      <c r="AI420" s="125" t="s">
        <v>317</v>
      </c>
      <c r="AJ420" s="125" t="s">
        <v>318</v>
      </c>
      <c r="AK420" s="110" t="s">
        <v>5532</v>
      </c>
      <c r="AL420" s="97" t="s">
        <v>5533</v>
      </c>
      <c r="AM420" s="110"/>
      <c r="AN420" s="110"/>
      <c r="AO420" s="110"/>
      <c r="AP420" s="110"/>
      <c r="AQ420" s="110" t="s">
        <v>5534</v>
      </c>
      <c r="AR420" s="125" t="s">
        <v>983</v>
      </c>
      <c r="AS420" s="125" t="s">
        <v>983</v>
      </c>
      <c r="AT420" s="110" t="s">
        <v>5535</v>
      </c>
      <c r="AU420" s="110" t="s">
        <v>5536</v>
      </c>
      <c r="AV420" s="125">
        <v>30680</v>
      </c>
      <c r="AW420" s="109" t="s">
        <v>3416</v>
      </c>
      <c r="AX420" s="110" t="s">
        <v>329</v>
      </c>
      <c r="AY420" s="110" t="s">
        <v>329</v>
      </c>
      <c r="AZ420" s="110"/>
      <c r="BA420" s="110"/>
      <c r="BB420" s="138"/>
      <c r="BC420" s="110"/>
      <c r="BD420" s="110"/>
      <c r="BE420" s="110"/>
      <c r="BF420" s="110"/>
      <c r="BG420" s="125"/>
      <c r="BH420" s="110"/>
      <c r="BI420" s="110"/>
      <c r="BJ420" s="110"/>
      <c r="BK420" s="110"/>
      <c r="BL420" s="110"/>
      <c r="BM420" s="110"/>
      <c r="BN420" s="110"/>
      <c r="BO420" s="110"/>
      <c r="BP420" s="110"/>
      <c r="BQ420" s="110"/>
      <c r="BR420" s="110"/>
      <c r="BS420" s="110"/>
      <c r="BT420" s="110"/>
      <c r="BU420" s="110"/>
      <c r="BV420" s="110"/>
      <c r="BW420" s="110"/>
      <c r="BX420" s="110"/>
      <c r="BY420" s="110"/>
      <c r="BZ420" s="110"/>
      <c r="CA420" s="110"/>
      <c r="CB420" s="109"/>
      <c r="CC420" s="109"/>
      <c r="CD420" s="110"/>
    </row>
    <row r="421" spans="1:82" s="116" customFormat="1" ht="15" x14ac:dyDescent="0.25">
      <c r="A421" s="125">
        <v>937</v>
      </c>
      <c r="B421" s="125" t="s">
        <v>5537</v>
      </c>
      <c r="C421" s="110" t="s">
        <v>363</v>
      </c>
      <c r="D421" s="125" t="s">
        <v>292</v>
      </c>
      <c r="E421" s="111" t="s">
        <v>6721</v>
      </c>
      <c r="F421" s="127">
        <v>45894</v>
      </c>
      <c r="G421" s="127">
        <v>45894</v>
      </c>
      <c r="H421" s="113">
        <f t="shared" si="36"/>
        <v>45984</v>
      </c>
      <c r="I421" s="113" t="s">
        <v>290</v>
      </c>
      <c r="J421" s="125" t="s">
        <v>5538</v>
      </c>
      <c r="K421" s="125" t="s">
        <v>5539</v>
      </c>
      <c r="L421" s="125" t="s">
        <v>1784</v>
      </c>
      <c r="M421" s="128" t="str">
        <f t="shared" si="37"/>
        <v>PILAS PALOMERA JUAN JOSE</v>
      </c>
      <c r="N421" s="128" t="s">
        <v>7125</v>
      </c>
      <c r="O421" s="128" t="s">
        <v>5540</v>
      </c>
      <c r="P421" s="125" t="s">
        <v>1953</v>
      </c>
      <c r="Q421" s="112">
        <v>23633</v>
      </c>
      <c r="R421" s="125">
        <f t="shared" si="38"/>
        <v>13</v>
      </c>
      <c r="S421" s="125">
        <f t="shared" si="39"/>
        <v>9</v>
      </c>
      <c r="T421" s="125">
        <f t="shared" si="40"/>
        <v>1964</v>
      </c>
      <c r="U421" s="142">
        <f t="shared" ca="1" si="41"/>
        <v>62.12054794520548</v>
      </c>
      <c r="V421" s="128" t="s">
        <v>389</v>
      </c>
      <c r="W421" s="128" t="s">
        <v>5541</v>
      </c>
      <c r="X421" s="125" t="s">
        <v>5542</v>
      </c>
      <c r="Y421" s="125" t="s">
        <v>5543</v>
      </c>
      <c r="Z421" s="125"/>
      <c r="AA421" s="114" t="s">
        <v>2276</v>
      </c>
      <c r="AB421" s="109" t="s">
        <v>5085</v>
      </c>
      <c r="AC421" s="125" t="s">
        <v>313</v>
      </c>
      <c r="AD421" s="125" t="s">
        <v>314</v>
      </c>
      <c r="AE421" s="125">
        <v>90</v>
      </c>
      <c r="AF421" s="128"/>
      <c r="AG421" s="125" t="s">
        <v>290</v>
      </c>
      <c r="AH421" s="115" t="s">
        <v>5474</v>
      </c>
      <c r="AI421" s="109" t="s">
        <v>317</v>
      </c>
      <c r="AJ421" s="109" t="s">
        <v>318</v>
      </c>
      <c r="AK421" s="110" t="s">
        <v>5544</v>
      </c>
      <c r="AL421" s="97" t="s">
        <v>5549</v>
      </c>
      <c r="AM421" s="110" t="s">
        <v>5545</v>
      </c>
      <c r="AN421" s="110" t="s">
        <v>1531</v>
      </c>
      <c r="AO421" s="110" t="s">
        <v>398</v>
      </c>
      <c r="AP421" s="110" t="s">
        <v>398</v>
      </c>
      <c r="AQ421" s="110" t="s">
        <v>5546</v>
      </c>
      <c r="AR421" s="125">
        <v>202</v>
      </c>
      <c r="AS421" s="125" t="s">
        <v>581</v>
      </c>
      <c r="AT421" s="110" t="s">
        <v>5547</v>
      </c>
      <c r="AU421" s="110" t="s">
        <v>583</v>
      </c>
      <c r="AV421" s="125">
        <v>48343</v>
      </c>
      <c r="AW421" s="109" t="s">
        <v>3416</v>
      </c>
      <c r="AX421" s="110" t="s">
        <v>329</v>
      </c>
      <c r="AY421" s="110" t="s">
        <v>329</v>
      </c>
      <c r="AZ421" s="110"/>
      <c r="BA421" s="110"/>
      <c r="BB421" s="138"/>
      <c r="BC421" s="110"/>
      <c r="BD421" s="110" t="s">
        <v>5545</v>
      </c>
      <c r="BE421" s="110" t="s">
        <v>1531</v>
      </c>
      <c r="BF421" s="110" t="s">
        <v>5548</v>
      </c>
      <c r="BG421" s="125" t="s">
        <v>333</v>
      </c>
      <c r="BH421" s="110"/>
      <c r="BI421" s="110"/>
      <c r="BJ421" s="110"/>
      <c r="BK421" s="110"/>
      <c r="BL421" s="110"/>
      <c r="BM421" s="110"/>
      <c r="BN421" s="110"/>
      <c r="BO421" s="110"/>
      <c r="BP421" s="110"/>
      <c r="BQ421" s="110"/>
      <c r="BR421" s="110"/>
      <c r="BS421" s="110"/>
      <c r="BT421" s="110"/>
      <c r="BU421" s="110"/>
      <c r="BV421" s="110"/>
      <c r="BW421" s="110"/>
      <c r="BX421" s="110"/>
      <c r="BY421" s="110"/>
      <c r="BZ421" s="110"/>
      <c r="CA421" s="110"/>
      <c r="CB421" s="109"/>
      <c r="CC421" s="109"/>
      <c r="CD421" s="110"/>
    </row>
    <row r="422" spans="1:82" s="116" customFormat="1" x14ac:dyDescent="0.2">
      <c r="A422" s="125">
        <v>938</v>
      </c>
      <c r="B422" s="125" t="s">
        <v>5550</v>
      </c>
      <c r="C422" s="110" t="s">
        <v>363</v>
      </c>
      <c r="D422" s="125" t="s">
        <v>292</v>
      </c>
      <c r="E422" s="111" t="s">
        <v>6722</v>
      </c>
      <c r="F422" s="127">
        <v>45894</v>
      </c>
      <c r="G422" s="127">
        <v>45894</v>
      </c>
      <c r="H422" s="113">
        <f t="shared" si="36"/>
        <v>45924</v>
      </c>
      <c r="I422" s="113" t="s">
        <v>290</v>
      </c>
      <c r="J422" s="125" t="s">
        <v>5551</v>
      </c>
      <c r="K422" s="125" t="s">
        <v>4522</v>
      </c>
      <c r="L422" s="125" t="s">
        <v>5552</v>
      </c>
      <c r="M422" s="128" t="str">
        <f t="shared" si="37"/>
        <v>MONTES PRIETO FREDY</v>
      </c>
      <c r="N422" s="128" t="s">
        <v>7126</v>
      </c>
      <c r="O422" s="128" t="s">
        <v>5553</v>
      </c>
      <c r="P422" s="125" t="s">
        <v>1953</v>
      </c>
      <c r="Q422" s="112">
        <v>36110</v>
      </c>
      <c r="R422" s="125">
        <f t="shared" si="38"/>
        <v>11</v>
      </c>
      <c r="S422" s="125">
        <f t="shared" si="39"/>
        <v>11</v>
      </c>
      <c r="T422" s="125">
        <f t="shared" si="40"/>
        <v>1998</v>
      </c>
      <c r="U422" s="142">
        <f t="shared" ca="1" si="41"/>
        <v>27.936986301369863</v>
      </c>
      <c r="V422" s="128" t="s">
        <v>389</v>
      </c>
      <c r="W422" s="128" t="s">
        <v>5554</v>
      </c>
      <c r="X422" s="125" t="s">
        <v>472</v>
      </c>
      <c r="Y422" s="125" t="s">
        <v>101</v>
      </c>
      <c r="Z422" s="125"/>
      <c r="AA422" s="114" t="s">
        <v>2276</v>
      </c>
      <c r="AB422" s="109" t="s">
        <v>5085</v>
      </c>
      <c r="AC422" s="125" t="s">
        <v>313</v>
      </c>
      <c r="AD422" s="125" t="s">
        <v>314</v>
      </c>
      <c r="AE422" s="125">
        <v>30</v>
      </c>
      <c r="AF422" s="114" t="s">
        <v>292</v>
      </c>
      <c r="AG422" s="109" t="s">
        <v>290</v>
      </c>
      <c r="AH422" s="115" t="s">
        <v>5474</v>
      </c>
      <c r="AI422" s="109" t="s">
        <v>317</v>
      </c>
      <c r="AJ422" s="109" t="s">
        <v>318</v>
      </c>
      <c r="AK422" s="110" t="s">
        <v>5555</v>
      </c>
      <c r="AL422" s="110"/>
      <c r="AM422" s="110" t="s">
        <v>5556</v>
      </c>
      <c r="AN422" s="110" t="s">
        <v>325</v>
      </c>
      <c r="AO422" s="110" t="s">
        <v>398</v>
      </c>
      <c r="AP422" s="110" t="s">
        <v>398</v>
      </c>
      <c r="AQ422" s="110" t="s">
        <v>5557</v>
      </c>
      <c r="AR422" s="125">
        <v>1276</v>
      </c>
      <c r="AS422" s="125" t="s">
        <v>581</v>
      </c>
      <c r="AT422" s="110" t="s">
        <v>5547</v>
      </c>
      <c r="AU422" s="110" t="s">
        <v>583</v>
      </c>
      <c r="AV422" s="125">
        <v>48290</v>
      </c>
      <c r="AW422" s="109" t="s">
        <v>3416</v>
      </c>
      <c r="AX422" s="110" t="s">
        <v>329</v>
      </c>
      <c r="AY422" s="110" t="s">
        <v>329</v>
      </c>
      <c r="AZ422" s="110"/>
      <c r="BA422" s="110"/>
      <c r="BB422" s="138"/>
      <c r="BC422" s="110"/>
      <c r="BD422" s="110" t="s">
        <v>5556</v>
      </c>
      <c r="BE422" s="110" t="s">
        <v>325</v>
      </c>
      <c r="BF422" s="110" t="s">
        <v>5558</v>
      </c>
      <c r="BG422" s="125" t="s">
        <v>444</v>
      </c>
      <c r="BH422" s="110"/>
      <c r="BI422" s="110"/>
      <c r="BJ422" s="110"/>
      <c r="BK422" s="110"/>
      <c r="BL422" s="110"/>
      <c r="BM422" s="110"/>
      <c r="BN422" s="110"/>
      <c r="BO422" s="110"/>
      <c r="BP422" s="110"/>
      <c r="BQ422" s="110"/>
      <c r="BR422" s="110"/>
      <c r="BS422" s="110"/>
      <c r="BT422" s="110"/>
      <c r="BU422" s="110"/>
      <c r="BV422" s="110"/>
      <c r="BW422" s="110"/>
      <c r="BX422" s="110"/>
      <c r="BY422" s="110"/>
      <c r="BZ422" s="110"/>
      <c r="CA422" s="110"/>
      <c r="CB422" s="109"/>
      <c r="CC422" s="109"/>
      <c r="CD422" s="110"/>
    </row>
    <row r="423" spans="1:82" s="116" customFormat="1" ht="15" x14ac:dyDescent="0.25">
      <c r="A423" s="125">
        <v>939</v>
      </c>
      <c r="B423" s="125" t="s">
        <v>7274</v>
      </c>
      <c r="C423" s="110" t="s">
        <v>363</v>
      </c>
      <c r="D423" s="125" t="s">
        <v>292</v>
      </c>
      <c r="E423" s="111" t="s">
        <v>6723</v>
      </c>
      <c r="F423" s="127">
        <v>45901</v>
      </c>
      <c r="G423" s="127">
        <v>45901</v>
      </c>
      <c r="H423" s="113">
        <f t="shared" si="36"/>
        <v>45991</v>
      </c>
      <c r="I423" s="113" t="s">
        <v>290</v>
      </c>
      <c r="J423" s="125" t="s">
        <v>5559</v>
      </c>
      <c r="K423" s="125" t="s">
        <v>5685</v>
      </c>
      <c r="L423" s="125" t="s">
        <v>1810</v>
      </c>
      <c r="M423" s="128" t="str">
        <f t="shared" si="37"/>
        <v>COLMENARES SALCEDO JOSE MANUEL</v>
      </c>
      <c r="N423" s="128" t="s">
        <v>7127</v>
      </c>
      <c r="O423" s="128" t="s">
        <v>5560</v>
      </c>
      <c r="P423" s="125" t="s">
        <v>1953</v>
      </c>
      <c r="Q423" s="112">
        <v>29740</v>
      </c>
      <c r="R423" s="125">
        <f t="shared" si="38"/>
        <v>3</v>
      </c>
      <c r="S423" s="125">
        <f t="shared" si="39"/>
        <v>6</v>
      </c>
      <c r="T423" s="125">
        <f t="shared" si="40"/>
        <v>1981</v>
      </c>
      <c r="U423" s="142">
        <f t="shared" ca="1" si="41"/>
        <v>45.389041095890413</v>
      </c>
      <c r="V423" s="128" t="s">
        <v>342</v>
      </c>
      <c r="W423" s="128" t="s">
        <v>5561</v>
      </c>
      <c r="X423" s="125" t="s">
        <v>454</v>
      </c>
      <c r="Y423" s="125" t="s">
        <v>101</v>
      </c>
      <c r="Z423" s="125"/>
      <c r="AA423" s="114" t="s">
        <v>2276</v>
      </c>
      <c r="AB423" s="109" t="s">
        <v>5085</v>
      </c>
      <c r="AC423" s="125" t="s">
        <v>313</v>
      </c>
      <c r="AD423" s="125" t="s">
        <v>314</v>
      </c>
      <c r="AE423" s="125">
        <v>90</v>
      </c>
      <c r="AF423" s="114" t="s">
        <v>292</v>
      </c>
      <c r="AG423" s="109" t="s">
        <v>290</v>
      </c>
      <c r="AH423" s="115" t="s">
        <v>5474</v>
      </c>
      <c r="AI423" s="109" t="s">
        <v>317</v>
      </c>
      <c r="AJ423" s="109" t="s">
        <v>318</v>
      </c>
      <c r="AK423" s="110"/>
      <c r="AL423" s="97" t="s">
        <v>5562</v>
      </c>
      <c r="AM423" s="110" t="s">
        <v>5563</v>
      </c>
      <c r="AN423" s="110" t="s">
        <v>478</v>
      </c>
      <c r="AO423" s="110" t="s">
        <v>398</v>
      </c>
      <c r="AP423" s="110" t="s">
        <v>398</v>
      </c>
      <c r="AQ423" s="110" t="s">
        <v>5564</v>
      </c>
      <c r="AR423" s="125">
        <v>345</v>
      </c>
      <c r="AS423" s="125" t="s">
        <v>5565</v>
      </c>
      <c r="AT423" s="110" t="s">
        <v>848</v>
      </c>
      <c r="AU423" s="110" t="s">
        <v>681</v>
      </c>
      <c r="AV423" s="125">
        <v>11560</v>
      </c>
      <c r="AW423" s="109" t="s">
        <v>3416</v>
      </c>
      <c r="AX423" s="110" t="s">
        <v>329</v>
      </c>
      <c r="AY423" s="110" t="s">
        <v>329</v>
      </c>
      <c r="AZ423" s="110"/>
      <c r="BA423" s="110"/>
      <c r="BB423" s="138"/>
      <c r="BC423" s="110"/>
      <c r="BD423" s="110" t="s">
        <v>5563</v>
      </c>
      <c r="BE423" s="110" t="s">
        <v>478</v>
      </c>
      <c r="BF423" s="110" t="s">
        <v>5566</v>
      </c>
      <c r="BG423" s="125" t="s">
        <v>333</v>
      </c>
      <c r="BH423" s="110"/>
      <c r="BI423" s="110"/>
      <c r="BJ423" s="110"/>
      <c r="BK423" s="109" t="s">
        <v>3911</v>
      </c>
      <c r="BL423" s="110"/>
      <c r="BM423" s="110"/>
      <c r="BN423" s="110" t="s">
        <v>571</v>
      </c>
      <c r="BO423" s="110"/>
      <c r="BP423" s="110"/>
      <c r="BQ423" s="110"/>
      <c r="BR423" s="110"/>
      <c r="BS423" s="110"/>
      <c r="BT423" s="110"/>
      <c r="BU423" s="110"/>
      <c r="BV423" s="110"/>
      <c r="BW423" s="110"/>
      <c r="BX423" s="110"/>
      <c r="BY423" s="110"/>
      <c r="BZ423" s="110"/>
      <c r="CA423" s="110"/>
      <c r="CB423" s="109"/>
      <c r="CC423" s="109"/>
      <c r="CD423" s="110"/>
    </row>
    <row r="424" spans="1:82" x14ac:dyDescent="0.2">
      <c r="A424" s="77">
        <v>940</v>
      </c>
      <c r="B424" s="77" t="s">
        <v>5568</v>
      </c>
      <c r="C424" s="13" t="s">
        <v>564</v>
      </c>
      <c r="D424" s="107" t="s">
        <v>81</v>
      </c>
      <c r="E424" s="99" t="s">
        <v>6805</v>
      </c>
      <c r="F424" s="79">
        <v>45901</v>
      </c>
      <c r="G424" s="79">
        <v>45901</v>
      </c>
      <c r="H424" s="101">
        <f t="shared" si="36"/>
        <v>45991</v>
      </c>
      <c r="I424" s="101" t="s">
        <v>290</v>
      </c>
      <c r="J424" s="77" t="s">
        <v>507</v>
      </c>
      <c r="K424" s="77" t="s">
        <v>5569</v>
      </c>
      <c r="L424" s="77" t="s">
        <v>5570</v>
      </c>
      <c r="M424" s="102" t="str">
        <f t="shared" si="37"/>
        <v>MARTINEZ HUERTA  CARLOS FABIAN</v>
      </c>
      <c r="N424" s="102" t="s">
        <v>7219</v>
      </c>
      <c r="O424" s="102" t="s">
        <v>5571</v>
      </c>
      <c r="P424" s="77" t="s">
        <v>1953</v>
      </c>
      <c r="Q424" s="100">
        <v>33227</v>
      </c>
      <c r="R424" s="77">
        <f t="shared" si="38"/>
        <v>20</v>
      </c>
      <c r="S424" s="77">
        <f t="shared" si="39"/>
        <v>12</v>
      </c>
      <c r="T424" s="77">
        <f t="shared" si="40"/>
        <v>1990</v>
      </c>
      <c r="U424" s="103">
        <f t="shared" ca="1" si="41"/>
        <v>35.835616438356162</v>
      </c>
      <c r="V424" s="102" t="s">
        <v>452</v>
      </c>
      <c r="W424" s="102" t="s">
        <v>5572</v>
      </c>
      <c r="X424" s="77" t="s">
        <v>693</v>
      </c>
      <c r="Y424" s="77" t="s">
        <v>115</v>
      </c>
      <c r="Z424" s="12" t="s">
        <v>84</v>
      </c>
      <c r="AA424" s="12" t="s">
        <v>532</v>
      </c>
      <c r="AB424" s="77" t="s">
        <v>574</v>
      </c>
      <c r="AC424" s="77" t="s">
        <v>313</v>
      </c>
      <c r="AD424" s="77" t="s">
        <v>314</v>
      </c>
      <c r="AE424" s="77">
        <v>90</v>
      </c>
      <c r="AF424" s="13" t="s">
        <v>710</v>
      </c>
      <c r="AG424" s="77" t="s">
        <v>290</v>
      </c>
      <c r="AH424" s="78" t="s">
        <v>575</v>
      </c>
      <c r="AI424" s="77" t="s">
        <v>317</v>
      </c>
      <c r="AJ424" s="77" t="s">
        <v>318</v>
      </c>
      <c r="AK424" s="78" t="s">
        <v>5573</v>
      </c>
      <c r="AL424" s="78"/>
      <c r="AM424" s="78" t="s">
        <v>5574</v>
      </c>
      <c r="AN424" s="78" t="s">
        <v>478</v>
      </c>
      <c r="AO424" s="78" t="s">
        <v>327</v>
      </c>
      <c r="AP424" s="78" t="s">
        <v>398</v>
      </c>
      <c r="AQ424" s="78" t="s">
        <v>5575</v>
      </c>
      <c r="AR424" s="77">
        <v>6503</v>
      </c>
      <c r="AS424" s="77" t="s">
        <v>5576</v>
      </c>
      <c r="AT424" s="78" t="s">
        <v>1132</v>
      </c>
      <c r="AU424" s="78" t="s">
        <v>583</v>
      </c>
      <c r="AV424" s="77">
        <v>45010</v>
      </c>
      <c r="AW424" s="12" t="s">
        <v>3416</v>
      </c>
      <c r="AX424" s="78" t="s">
        <v>329</v>
      </c>
      <c r="AY424" s="78" t="s">
        <v>329</v>
      </c>
      <c r="AZ424" s="78"/>
      <c r="BA424" s="78"/>
      <c r="BB424" s="137"/>
      <c r="BC424" s="78"/>
      <c r="BD424" s="78" t="s">
        <v>5577</v>
      </c>
      <c r="BE424" s="78" t="s">
        <v>5578</v>
      </c>
      <c r="BF424" s="78" t="s">
        <v>5573</v>
      </c>
      <c r="BG424" s="77" t="s">
        <v>444</v>
      </c>
      <c r="BH424" s="78" t="s">
        <v>334</v>
      </c>
      <c r="BI424" s="78"/>
      <c r="BJ424" s="78"/>
      <c r="BK424" s="78" t="s">
        <v>571</v>
      </c>
      <c r="BL424" s="78">
        <v>5</v>
      </c>
      <c r="BM424" s="78"/>
      <c r="BN424" s="12" t="s">
        <v>3911</v>
      </c>
      <c r="BO424" s="78">
        <v>4</v>
      </c>
      <c r="BP424" s="78"/>
      <c r="BQ424" s="78"/>
      <c r="BR424" s="78"/>
      <c r="BS424" s="78"/>
      <c r="BT424" s="78"/>
      <c r="BU424" s="78"/>
      <c r="BV424" s="78"/>
      <c r="BW424" s="78"/>
      <c r="BX424" s="78"/>
      <c r="BY424" s="78"/>
      <c r="BZ424" s="78"/>
      <c r="CA424" s="78"/>
      <c r="CB424" s="12"/>
      <c r="CC424" s="12"/>
      <c r="CD424" s="78"/>
    </row>
    <row r="425" spans="1:82" s="116" customFormat="1" ht="15" x14ac:dyDescent="0.25">
      <c r="A425" s="125">
        <v>1125</v>
      </c>
      <c r="B425" s="125" t="s">
        <v>5579</v>
      </c>
      <c r="C425" s="110" t="s">
        <v>299</v>
      </c>
      <c r="D425" s="111" t="s">
        <v>80</v>
      </c>
      <c r="E425" s="111" t="s">
        <v>6724</v>
      </c>
      <c r="F425" s="127">
        <v>45901</v>
      </c>
      <c r="G425" s="127">
        <v>45901</v>
      </c>
      <c r="H425" s="113">
        <f t="shared" si="36"/>
        <v>45991</v>
      </c>
      <c r="I425" s="113" t="s">
        <v>291</v>
      </c>
      <c r="J425" s="125" t="s">
        <v>5580</v>
      </c>
      <c r="K425" s="125" t="s">
        <v>4319</v>
      </c>
      <c r="L425" s="125" t="s">
        <v>5581</v>
      </c>
      <c r="M425" s="128" t="str">
        <f t="shared" si="37"/>
        <v>CHIPOL MEJIA LEONEL</v>
      </c>
      <c r="N425" s="128" t="s">
        <v>7128</v>
      </c>
      <c r="O425" s="128" t="s">
        <v>5582</v>
      </c>
      <c r="P425" s="125" t="s">
        <v>1953</v>
      </c>
      <c r="Q425" s="112">
        <v>31430</v>
      </c>
      <c r="R425" s="125">
        <f t="shared" si="38"/>
        <v>18</v>
      </c>
      <c r="S425" s="125">
        <f t="shared" si="39"/>
        <v>1</v>
      </c>
      <c r="T425" s="125">
        <f t="shared" si="40"/>
        <v>1986</v>
      </c>
      <c r="U425" s="142">
        <f t="shared" ca="1" si="41"/>
        <v>40.758904109589039</v>
      </c>
      <c r="V425" s="128" t="s">
        <v>342</v>
      </c>
      <c r="W425" s="128" t="s">
        <v>5583</v>
      </c>
      <c r="X425" s="125" t="s">
        <v>530</v>
      </c>
      <c r="Y425" s="125" t="s">
        <v>5584</v>
      </c>
      <c r="Z425" s="109" t="s">
        <v>196</v>
      </c>
      <c r="AA425" s="109" t="s">
        <v>2273</v>
      </c>
      <c r="AB425" s="109" t="s">
        <v>2288</v>
      </c>
      <c r="AC425" s="125" t="s">
        <v>313</v>
      </c>
      <c r="AD425" s="125" t="s">
        <v>314</v>
      </c>
      <c r="AE425" s="125">
        <v>90</v>
      </c>
      <c r="AF425" s="114" t="s">
        <v>315</v>
      </c>
      <c r="AG425" s="109" t="s">
        <v>291</v>
      </c>
      <c r="AH425" s="115" t="s">
        <v>1329</v>
      </c>
      <c r="AI425" s="109" t="s">
        <v>317</v>
      </c>
      <c r="AJ425" s="109" t="s">
        <v>318</v>
      </c>
      <c r="AK425" s="110" t="s">
        <v>5585</v>
      </c>
      <c r="AL425" s="97" t="s">
        <v>5586</v>
      </c>
      <c r="AM425" s="110" t="s">
        <v>5587</v>
      </c>
      <c r="AN425" s="110" t="s">
        <v>381</v>
      </c>
      <c r="AO425" s="110" t="s">
        <v>398</v>
      </c>
      <c r="AP425" s="110" t="s">
        <v>327</v>
      </c>
      <c r="AQ425" s="110" t="s">
        <v>5588</v>
      </c>
      <c r="AR425" s="125">
        <v>127</v>
      </c>
      <c r="AS425" s="125" t="s">
        <v>581</v>
      </c>
      <c r="AT425" s="110" t="s">
        <v>482</v>
      </c>
      <c r="AU425" s="110" t="s">
        <v>483</v>
      </c>
      <c r="AV425" s="125">
        <v>78437</v>
      </c>
      <c r="AW425" s="109" t="s">
        <v>3417</v>
      </c>
      <c r="AX425" s="110" t="s">
        <v>329</v>
      </c>
      <c r="AY425" s="109" t="s">
        <v>3417</v>
      </c>
      <c r="AZ425" s="110"/>
      <c r="BA425" s="110"/>
      <c r="BB425" s="138"/>
      <c r="BC425" s="110"/>
      <c r="BD425" s="110" t="s">
        <v>5587</v>
      </c>
      <c r="BE425" s="110" t="s">
        <v>381</v>
      </c>
      <c r="BF425" s="110" t="s">
        <v>5589</v>
      </c>
      <c r="BG425" s="125" t="s">
        <v>1349</v>
      </c>
      <c r="BH425" s="110" t="s">
        <v>3815</v>
      </c>
      <c r="BI425" s="110">
        <v>2</v>
      </c>
      <c r="BJ425" s="110"/>
      <c r="BK425" s="109" t="s">
        <v>3911</v>
      </c>
      <c r="BL425" s="110" t="s">
        <v>3930</v>
      </c>
      <c r="BM425" s="110"/>
      <c r="BN425" s="109" t="s">
        <v>571</v>
      </c>
      <c r="BO425" s="110" t="s">
        <v>3921</v>
      </c>
      <c r="BP425" s="110"/>
      <c r="BQ425" s="110"/>
      <c r="BR425" s="110"/>
      <c r="BS425" s="110"/>
      <c r="BT425" s="110"/>
      <c r="BU425" s="110"/>
      <c r="BV425" s="110"/>
      <c r="BW425" s="110"/>
      <c r="BX425" s="110"/>
      <c r="BY425" s="110"/>
      <c r="BZ425" s="110"/>
      <c r="CA425" s="110"/>
      <c r="CB425" s="109"/>
      <c r="CC425" s="109"/>
      <c r="CD425" s="110"/>
    </row>
    <row r="426" spans="1:82" ht="15" x14ac:dyDescent="0.25">
      <c r="A426" s="77">
        <v>943</v>
      </c>
      <c r="B426" s="77" t="s">
        <v>5610</v>
      </c>
      <c r="C426" s="13" t="s">
        <v>564</v>
      </c>
      <c r="D426" s="107" t="s">
        <v>81</v>
      </c>
      <c r="E426" s="99" t="s">
        <v>6725</v>
      </c>
      <c r="F426" s="79">
        <v>45902</v>
      </c>
      <c r="G426" s="79">
        <v>45902</v>
      </c>
      <c r="H426" s="101">
        <f t="shared" si="36"/>
        <v>45992</v>
      </c>
      <c r="I426" s="101" t="s">
        <v>290</v>
      </c>
      <c r="J426" s="77" t="s">
        <v>447</v>
      </c>
      <c r="K426" s="77" t="s">
        <v>4347</v>
      </c>
      <c r="L426" s="77" t="s">
        <v>5611</v>
      </c>
      <c r="M426" s="102" t="str">
        <f t="shared" si="37"/>
        <v>GARCIA PAREDES IVAN SALVADOR</v>
      </c>
      <c r="N426" s="102" t="s">
        <v>7129</v>
      </c>
      <c r="O426" s="102" t="s">
        <v>5612</v>
      </c>
      <c r="P426" s="77" t="s">
        <v>1953</v>
      </c>
      <c r="Q426" s="100">
        <v>30443</v>
      </c>
      <c r="R426" s="77">
        <f t="shared" si="38"/>
        <v>7</v>
      </c>
      <c r="S426" s="77">
        <f t="shared" si="39"/>
        <v>5</v>
      </c>
      <c r="T426" s="77">
        <f t="shared" si="40"/>
        <v>1983</v>
      </c>
      <c r="U426" s="103">
        <f t="shared" ca="1" si="41"/>
        <v>43.463013698630135</v>
      </c>
      <c r="V426" s="102" t="s">
        <v>452</v>
      </c>
      <c r="W426" s="102" t="s">
        <v>5613</v>
      </c>
      <c r="X426" s="77" t="s">
        <v>454</v>
      </c>
      <c r="Y426" s="77" t="s">
        <v>115</v>
      </c>
      <c r="Z426" s="12" t="s">
        <v>84</v>
      </c>
      <c r="AA426" s="12" t="s">
        <v>532</v>
      </c>
      <c r="AB426" s="77" t="s">
        <v>574</v>
      </c>
      <c r="AC426" s="77" t="s">
        <v>313</v>
      </c>
      <c r="AD426" s="77" t="s">
        <v>314</v>
      </c>
      <c r="AE426" s="77">
        <v>90</v>
      </c>
      <c r="AF426" s="13" t="s">
        <v>710</v>
      </c>
      <c r="AG426" s="77" t="s">
        <v>290</v>
      </c>
      <c r="AH426" s="78" t="s">
        <v>575</v>
      </c>
      <c r="AI426" s="77" t="s">
        <v>317</v>
      </c>
      <c r="AJ426" s="77" t="s">
        <v>318</v>
      </c>
      <c r="AK426" s="78" t="s">
        <v>5614</v>
      </c>
      <c r="AL426" s="93" t="s">
        <v>5615</v>
      </c>
      <c r="AM426" s="78" t="s">
        <v>5616</v>
      </c>
      <c r="AN426" s="78" t="s">
        <v>3575</v>
      </c>
      <c r="AO426" s="78" t="s">
        <v>327</v>
      </c>
      <c r="AP426" s="78" t="s">
        <v>398</v>
      </c>
      <c r="AQ426" s="78" t="s">
        <v>5617</v>
      </c>
      <c r="AR426" s="77">
        <v>2011</v>
      </c>
      <c r="AS426" s="77" t="s">
        <v>581</v>
      </c>
      <c r="AT426" s="78" t="s">
        <v>5406</v>
      </c>
      <c r="AU426" s="78" t="s">
        <v>1184</v>
      </c>
      <c r="AV426" s="77">
        <v>37270</v>
      </c>
      <c r="AW426" s="12" t="s">
        <v>3416</v>
      </c>
      <c r="AX426" s="78" t="s">
        <v>329</v>
      </c>
      <c r="AY426" s="78" t="s">
        <v>329</v>
      </c>
      <c r="AZ426" s="78"/>
      <c r="BA426" s="78"/>
      <c r="BB426" s="137"/>
      <c r="BC426" s="78"/>
      <c r="BD426" s="78" t="s">
        <v>5616</v>
      </c>
      <c r="BE426" s="78" t="s">
        <v>478</v>
      </c>
      <c r="BF426" s="78" t="s">
        <v>5618</v>
      </c>
      <c r="BG426" s="77" t="s">
        <v>333</v>
      </c>
      <c r="BH426" s="78" t="s">
        <v>334</v>
      </c>
      <c r="BI426" s="78">
        <v>1</v>
      </c>
      <c r="BJ426" s="78"/>
      <c r="BK426" s="78" t="s">
        <v>571</v>
      </c>
      <c r="BL426" s="78">
        <v>12</v>
      </c>
      <c r="BM426" s="78"/>
      <c r="BN426" s="78"/>
      <c r="BO426" s="78"/>
      <c r="BP426" s="78"/>
      <c r="BQ426" s="78"/>
      <c r="BR426" s="78"/>
      <c r="BS426" s="78"/>
      <c r="BT426" s="78"/>
      <c r="BU426" s="78"/>
      <c r="BV426" s="78"/>
      <c r="BW426" s="78"/>
      <c r="BX426" s="78"/>
      <c r="BY426" s="78"/>
      <c r="BZ426" s="78"/>
      <c r="CA426" s="78"/>
      <c r="CB426" s="12"/>
      <c r="CC426" s="12"/>
      <c r="CD426" s="78"/>
    </row>
    <row r="427" spans="1:82" ht="15" x14ac:dyDescent="0.25">
      <c r="A427" s="77">
        <v>941</v>
      </c>
      <c r="B427" s="77" t="s">
        <v>5590</v>
      </c>
      <c r="C427" s="78" t="s">
        <v>363</v>
      </c>
      <c r="D427" s="107" t="s">
        <v>86</v>
      </c>
      <c r="E427" s="99" t="s">
        <v>6726</v>
      </c>
      <c r="F427" s="79">
        <v>45903</v>
      </c>
      <c r="G427" s="79">
        <v>45903</v>
      </c>
      <c r="H427" s="101">
        <f t="shared" si="36"/>
        <v>45993</v>
      </c>
      <c r="I427" s="101" t="s">
        <v>290</v>
      </c>
      <c r="J427" s="77" t="s">
        <v>5591</v>
      </c>
      <c r="K427" s="77" t="s">
        <v>366</v>
      </c>
      <c r="L427" s="77" t="s">
        <v>781</v>
      </c>
      <c r="M427" s="102" t="str">
        <f t="shared" si="37"/>
        <v>CEDILLO HERNANDEZ JOSE EDUARDO</v>
      </c>
      <c r="N427" s="102" t="s">
        <v>5592</v>
      </c>
      <c r="O427" s="102" t="s">
        <v>5593</v>
      </c>
      <c r="P427" s="77" t="s">
        <v>1953</v>
      </c>
      <c r="Q427" s="100">
        <v>32218</v>
      </c>
      <c r="R427" s="77">
        <f t="shared" si="38"/>
        <v>16</v>
      </c>
      <c r="S427" s="77">
        <f t="shared" si="39"/>
        <v>3</v>
      </c>
      <c r="T427" s="77">
        <f t="shared" si="40"/>
        <v>1988</v>
      </c>
      <c r="U427" s="103">
        <f t="shared" ca="1" si="41"/>
        <v>38.6</v>
      </c>
      <c r="V427" s="102" t="s">
        <v>452</v>
      </c>
      <c r="W427" s="102" t="s">
        <v>5594</v>
      </c>
      <c r="X427" s="77" t="s">
        <v>530</v>
      </c>
      <c r="Y427" s="77" t="s">
        <v>5595</v>
      </c>
      <c r="Z427" s="12" t="s">
        <v>93</v>
      </c>
      <c r="AA427" s="12" t="s">
        <v>636</v>
      </c>
      <c r="AB427" s="12" t="s">
        <v>1428</v>
      </c>
      <c r="AC427" s="77" t="s">
        <v>313</v>
      </c>
      <c r="AD427" s="77" t="s">
        <v>314</v>
      </c>
      <c r="AE427" s="77">
        <v>90</v>
      </c>
      <c r="AF427" s="102" t="s">
        <v>375</v>
      </c>
      <c r="AG427" s="77" t="s">
        <v>290</v>
      </c>
      <c r="AH427" s="78" t="s">
        <v>473</v>
      </c>
      <c r="AI427" s="12" t="s">
        <v>317</v>
      </c>
      <c r="AJ427" s="12" t="s">
        <v>318</v>
      </c>
      <c r="AK427" s="78" t="s">
        <v>5596</v>
      </c>
      <c r="AL427" s="93" t="s">
        <v>5597</v>
      </c>
      <c r="AM427" s="78" t="s">
        <v>5598</v>
      </c>
      <c r="AN427" s="78" t="s">
        <v>478</v>
      </c>
      <c r="AO427" s="78" t="s">
        <v>398</v>
      </c>
      <c r="AP427" s="78" t="s">
        <v>398</v>
      </c>
      <c r="AQ427" s="78" t="s">
        <v>5599</v>
      </c>
      <c r="AR427" s="77">
        <v>1003</v>
      </c>
      <c r="AS427" s="77" t="s">
        <v>581</v>
      </c>
      <c r="AT427" s="78" t="s">
        <v>482</v>
      </c>
      <c r="AU427" s="78" t="s">
        <v>483</v>
      </c>
      <c r="AV427" s="77">
        <v>78438</v>
      </c>
      <c r="AW427" s="12" t="s">
        <v>3416</v>
      </c>
      <c r="AX427" s="78" t="s">
        <v>329</v>
      </c>
      <c r="AY427" s="78" t="s">
        <v>329</v>
      </c>
      <c r="AZ427" s="78"/>
      <c r="BA427" s="78"/>
      <c r="BB427" s="137"/>
      <c r="BC427" s="78"/>
      <c r="BD427" s="78" t="s">
        <v>5598</v>
      </c>
      <c r="BE427" s="78" t="s">
        <v>478</v>
      </c>
      <c r="BF427" s="78" t="s">
        <v>5600</v>
      </c>
      <c r="BG427" s="77" t="s">
        <v>1349</v>
      </c>
      <c r="BH427" s="78" t="s">
        <v>334</v>
      </c>
      <c r="BI427" s="78">
        <v>2</v>
      </c>
      <c r="BJ427" s="78"/>
      <c r="BK427" s="78" t="s">
        <v>571</v>
      </c>
      <c r="BL427" s="78">
        <v>17</v>
      </c>
      <c r="BM427" s="78"/>
      <c r="BN427" s="12" t="s">
        <v>3911</v>
      </c>
      <c r="BO427" s="78">
        <v>13</v>
      </c>
      <c r="BP427" s="78"/>
      <c r="BQ427" s="78"/>
      <c r="BR427" s="78"/>
      <c r="BS427" s="78"/>
      <c r="BT427" s="78"/>
      <c r="BU427" s="78"/>
      <c r="BV427" s="78"/>
      <c r="BW427" s="78"/>
      <c r="BX427" s="78"/>
      <c r="BY427" s="78"/>
      <c r="BZ427" s="78"/>
      <c r="CA427" s="78"/>
      <c r="CB427" s="12"/>
      <c r="CC427" s="12"/>
      <c r="CD427" s="78"/>
    </row>
    <row r="428" spans="1:82" s="116" customFormat="1" ht="15" x14ac:dyDescent="0.25">
      <c r="A428" s="125">
        <v>942</v>
      </c>
      <c r="B428" s="125" t="s">
        <v>5601</v>
      </c>
      <c r="C428" s="110" t="s">
        <v>335</v>
      </c>
      <c r="D428" s="125" t="s">
        <v>127</v>
      </c>
      <c r="E428" s="111" t="s">
        <v>6727</v>
      </c>
      <c r="F428" s="127">
        <v>45903</v>
      </c>
      <c r="G428" s="127">
        <v>45903</v>
      </c>
      <c r="H428" s="113">
        <f t="shared" si="36"/>
        <v>45993</v>
      </c>
      <c r="I428" s="113" t="s">
        <v>290</v>
      </c>
      <c r="J428" s="125" t="s">
        <v>4327</v>
      </c>
      <c r="K428" s="125" t="s">
        <v>4503</v>
      </c>
      <c r="L428" s="125" t="s">
        <v>5602</v>
      </c>
      <c r="M428" s="128" t="str">
        <f t="shared" si="37"/>
        <v>VARGAS ESTRADA ALEXIS</v>
      </c>
      <c r="N428" s="128" t="s">
        <v>7130</v>
      </c>
      <c r="O428" s="128" t="s">
        <v>5603</v>
      </c>
      <c r="P428" s="125" t="s">
        <v>1953</v>
      </c>
      <c r="Q428" s="112">
        <v>36673</v>
      </c>
      <c r="R428" s="125">
        <f t="shared" si="38"/>
        <v>27</v>
      </c>
      <c r="S428" s="125">
        <f t="shared" si="39"/>
        <v>5</v>
      </c>
      <c r="T428" s="125">
        <f t="shared" si="40"/>
        <v>2000</v>
      </c>
      <c r="U428" s="142">
        <f t="shared" ca="1" si="41"/>
        <v>26.394520547945206</v>
      </c>
      <c r="V428" s="128" t="s">
        <v>452</v>
      </c>
      <c r="W428" s="128" t="s">
        <v>5604</v>
      </c>
      <c r="X428" s="125" t="s">
        <v>454</v>
      </c>
      <c r="Y428" s="109" t="s">
        <v>114</v>
      </c>
      <c r="Z428" s="109" t="s">
        <v>130</v>
      </c>
      <c r="AA428" s="109" t="s">
        <v>347</v>
      </c>
      <c r="AB428" s="109" t="s">
        <v>2290</v>
      </c>
      <c r="AC428" s="125" t="s">
        <v>313</v>
      </c>
      <c r="AD428" s="125" t="s">
        <v>314</v>
      </c>
      <c r="AE428" s="125">
        <v>90</v>
      </c>
      <c r="AF428" s="114" t="s">
        <v>413</v>
      </c>
      <c r="AG428" s="109" t="s">
        <v>291</v>
      </c>
      <c r="AH428" s="115" t="s">
        <v>2339</v>
      </c>
      <c r="AI428" s="109" t="s">
        <v>317</v>
      </c>
      <c r="AJ428" s="109" t="s">
        <v>318</v>
      </c>
      <c r="AK428" s="110" t="s">
        <v>5605</v>
      </c>
      <c r="AL428" s="97" t="s">
        <v>5606</v>
      </c>
      <c r="AM428" s="110" t="s">
        <v>5607</v>
      </c>
      <c r="AN428" s="110" t="s">
        <v>478</v>
      </c>
      <c r="AO428" s="110" t="s">
        <v>398</v>
      </c>
      <c r="AP428" s="110" t="s">
        <v>398</v>
      </c>
      <c r="AQ428" s="110" t="s">
        <v>5608</v>
      </c>
      <c r="AR428" s="125" t="s">
        <v>983</v>
      </c>
      <c r="AS428" s="125" t="s">
        <v>581</v>
      </c>
      <c r="AT428" s="110" t="s">
        <v>127</v>
      </c>
      <c r="AU428" s="110" t="s">
        <v>483</v>
      </c>
      <c r="AV428" s="125">
        <v>78800</v>
      </c>
      <c r="AW428" s="109" t="s">
        <v>3416</v>
      </c>
      <c r="AX428" s="110" t="s">
        <v>329</v>
      </c>
      <c r="AY428" s="110" t="s">
        <v>329</v>
      </c>
      <c r="AZ428" s="110"/>
      <c r="BA428" s="110"/>
      <c r="BB428" s="138"/>
      <c r="BC428" s="110"/>
      <c r="BD428" s="110" t="s">
        <v>5607</v>
      </c>
      <c r="BE428" s="110" t="s">
        <v>478</v>
      </c>
      <c r="BF428" s="110" t="s">
        <v>5605</v>
      </c>
      <c r="BG428" s="125" t="s">
        <v>333</v>
      </c>
      <c r="BH428" s="110" t="s">
        <v>5609</v>
      </c>
      <c r="BI428" s="110">
        <v>2</v>
      </c>
      <c r="BJ428" s="110"/>
      <c r="BK428" s="109" t="s">
        <v>571</v>
      </c>
      <c r="BL428" s="110">
        <v>6</v>
      </c>
      <c r="BM428" s="110"/>
      <c r="BN428" s="109" t="s">
        <v>571</v>
      </c>
      <c r="BO428" s="110">
        <v>1</v>
      </c>
      <c r="BP428" s="110"/>
      <c r="BQ428" s="110"/>
      <c r="BR428" s="110"/>
      <c r="BS428" s="110"/>
      <c r="BT428" s="110"/>
      <c r="BU428" s="110"/>
      <c r="BV428" s="110"/>
      <c r="BW428" s="110"/>
      <c r="BX428" s="110"/>
      <c r="BY428" s="110"/>
      <c r="BZ428" s="110"/>
      <c r="CA428" s="110"/>
      <c r="CB428" s="109"/>
      <c r="CC428" s="109"/>
      <c r="CD428" s="110"/>
    </row>
    <row r="429" spans="1:82" s="116" customFormat="1" ht="15" x14ac:dyDescent="0.25">
      <c r="A429" s="125">
        <v>944</v>
      </c>
      <c r="B429" s="125" t="s">
        <v>5619</v>
      </c>
      <c r="C429" s="110" t="s">
        <v>363</v>
      </c>
      <c r="D429" s="109" t="s">
        <v>86</v>
      </c>
      <c r="E429" s="111" t="s">
        <v>6728</v>
      </c>
      <c r="F429" s="127">
        <v>45904</v>
      </c>
      <c r="G429" s="127">
        <v>45904</v>
      </c>
      <c r="H429" s="113">
        <f t="shared" si="36"/>
        <v>45994</v>
      </c>
      <c r="I429" s="113" t="s">
        <v>291</v>
      </c>
      <c r="J429" s="125" t="s">
        <v>5620</v>
      </c>
      <c r="K429" s="125" t="s">
        <v>383</v>
      </c>
      <c r="L429" s="125" t="s">
        <v>5621</v>
      </c>
      <c r="M429" s="128" t="str">
        <f t="shared" si="37"/>
        <v>RAMIRO ORTIZ RAUL EFRAIN</v>
      </c>
      <c r="N429" s="128" t="s">
        <v>7131</v>
      </c>
      <c r="O429" s="128" t="s">
        <v>5622</v>
      </c>
      <c r="P429" s="125" t="s">
        <v>1953</v>
      </c>
      <c r="Q429" s="112">
        <v>33198</v>
      </c>
      <c r="R429" s="125">
        <f t="shared" si="38"/>
        <v>21</v>
      </c>
      <c r="S429" s="125">
        <f t="shared" si="39"/>
        <v>11</v>
      </c>
      <c r="T429" s="125">
        <f t="shared" si="40"/>
        <v>1990</v>
      </c>
      <c r="U429" s="142">
        <f t="shared" ca="1" si="41"/>
        <v>35.915068493150685</v>
      </c>
      <c r="V429" s="128" t="s">
        <v>389</v>
      </c>
      <c r="W429" s="128" t="s">
        <v>5623</v>
      </c>
      <c r="X429" s="125" t="s">
        <v>5451</v>
      </c>
      <c r="Y429" s="125" t="s">
        <v>252</v>
      </c>
      <c r="Z429" s="109" t="s">
        <v>93</v>
      </c>
      <c r="AA429" s="109" t="s">
        <v>636</v>
      </c>
      <c r="AB429" s="109" t="s">
        <v>1428</v>
      </c>
      <c r="AC429" s="125" t="s">
        <v>313</v>
      </c>
      <c r="AD429" s="125" t="s">
        <v>314</v>
      </c>
      <c r="AE429" s="125">
        <v>90</v>
      </c>
      <c r="AF429" s="128" t="s">
        <v>375</v>
      </c>
      <c r="AG429" s="109" t="s">
        <v>291</v>
      </c>
      <c r="AH429" s="110" t="s">
        <v>473</v>
      </c>
      <c r="AI429" s="125" t="s">
        <v>317</v>
      </c>
      <c r="AJ429" s="125" t="s">
        <v>318</v>
      </c>
      <c r="AK429" s="110" t="s">
        <v>5624</v>
      </c>
      <c r="AL429" s="97" t="s">
        <v>5625</v>
      </c>
      <c r="AM429" s="110" t="s">
        <v>5626</v>
      </c>
      <c r="AN429" s="110" t="s">
        <v>5627</v>
      </c>
      <c r="AO429" s="110" t="s">
        <v>398</v>
      </c>
      <c r="AP429" s="110" t="s">
        <v>398</v>
      </c>
      <c r="AQ429" s="110" t="s">
        <v>5628</v>
      </c>
      <c r="AR429" s="125">
        <v>103</v>
      </c>
      <c r="AS429" s="125" t="s">
        <v>581</v>
      </c>
      <c r="AT429" s="110" t="s">
        <v>228</v>
      </c>
      <c r="AU429" s="110" t="s">
        <v>483</v>
      </c>
      <c r="AV429" s="125">
        <v>79610</v>
      </c>
      <c r="AW429" s="125" t="s">
        <v>3416</v>
      </c>
      <c r="AX429" s="110" t="s">
        <v>329</v>
      </c>
      <c r="AY429" s="110" t="s">
        <v>329</v>
      </c>
      <c r="AZ429" s="110"/>
      <c r="BA429" s="110"/>
      <c r="BB429" s="138"/>
      <c r="BC429" s="110"/>
      <c r="BD429" s="110" t="s">
        <v>5626</v>
      </c>
      <c r="BE429" s="110" t="s">
        <v>5627</v>
      </c>
      <c r="BF429" s="110" t="s">
        <v>5629</v>
      </c>
      <c r="BG429" s="125" t="s">
        <v>333</v>
      </c>
      <c r="BH429" s="110" t="s">
        <v>334</v>
      </c>
      <c r="BI429" s="110">
        <v>0</v>
      </c>
      <c r="BJ429" s="110"/>
      <c r="BK429" s="110"/>
      <c r="BL429" s="110"/>
      <c r="BM429" s="110"/>
      <c r="BN429" s="110"/>
      <c r="BO429" s="110"/>
      <c r="BP429" s="110"/>
      <c r="BQ429" s="110"/>
      <c r="BR429" s="110"/>
      <c r="BS429" s="110"/>
      <c r="BT429" s="110"/>
      <c r="BU429" s="110"/>
      <c r="BV429" s="110"/>
      <c r="BW429" s="110"/>
      <c r="BX429" s="110"/>
      <c r="BY429" s="110"/>
      <c r="BZ429" s="110"/>
      <c r="CA429" s="110"/>
      <c r="CB429" s="109"/>
      <c r="CC429" s="109"/>
      <c r="CD429" s="110"/>
    </row>
    <row r="430" spans="1:82" s="116" customFormat="1" ht="15" x14ac:dyDescent="0.25">
      <c r="A430" s="125">
        <v>945</v>
      </c>
      <c r="B430" s="125" t="s">
        <v>5630</v>
      </c>
      <c r="C430" s="110" t="s">
        <v>363</v>
      </c>
      <c r="D430" s="125" t="s">
        <v>292</v>
      </c>
      <c r="E430" s="111" t="s">
        <v>6729</v>
      </c>
      <c r="F430" s="127">
        <v>45908</v>
      </c>
      <c r="G430" s="127">
        <v>45908</v>
      </c>
      <c r="H430" s="113">
        <f t="shared" si="36"/>
        <v>45998</v>
      </c>
      <c r="I430" s="113" t="s">
        <v>290</v>
      </c>
      <c r="J430" s="125" t="s">
        <v>5632</v>
      </c>
      <c r="K430" s="125" t="s">
        <v>337</v>
      </c>
      <c r="L430" s="125" t="s">
        <v>5633</v>
      </c>
      <c r="M430" s="128" t="str">
        <f t="shared" si="37"/>
        <v>ARCEO FLORES MARTIN EDUARDO</v>
      </c>
      <c r="N430" s="128" t="s">
        <v>7132</v>
      </c>
      <c r="O430" s="128" t="s">
        <v>5634</v>
      </c>
      <c r="P430" s="125" t="s">
        <v>1953</v>
      </c>
      <c r="Q430" s="112">
        <v>28400</v>
      </c>
      <c r="R430" s="125">
        <f t="shared" si="38"/>
        <v>2</v>
      </c>
      <c r="S430" s="125">
        <f t="shared" si="39"/>
        <v>10</v>
      </c>
      <c r="T430" s="125">
        <f t="shared" si="40"/>
        <v>1977</v>
      </c>
      <c r="U430" s="142">
        <f t="shared" ca="1" si="41"/>
        <v>49.060273972602737</v>
      </c>
      <c r="V430" s="128" t="s">
        <v>814</v>
      </c>
      <c r="W430" s="128" t="s">
        <v>5635</v>
      </c>
      <c r="X430" s="125" t="s">
        <v>454</v>
      </c>
      <c r="Y430" s="125" t="s">
        <v>101</v>
      </c>
      <c r="Z430" s="125"/>
      <c r="AA430" s="114" t="s">
        <v>2276</v>
      </c>
      <c r="AB430" s="109" t="s">
        <v>5085</v>
      </c>
      <c r="AC430" s="125" t="s">
        <v>313</v>
      </c>
      <c r="AD430" s="125" t="s">
        <v>314</v>
      </c>
      <c r="AE430" s="125">
        <v>90</v>
      </c>
      <c r="AF430" s="114" t="s">
        <v>292</v>
      </c>
      <c r="AG430" s="109" t="s">
        <v>290</v>
      </c>
      <c r="AH430" s="115" t="s">
        <v>5474</v>
      </c>
      <c r="AI430" s="109" t="s">
        <v>317</v>
      </c>
      <c r="AJ430" s="109" t="s">
        <v>318</v>
      </c>
      <c r="AK430" s="110" t="s">
        <v>5636</v>
      </c>
      <c r="AL430" s="97" t="s">
        <v>5637</v>
      </c>
      <c r="AM430" s="110" t="s">
        <v>5638</v>
      </c>
      <c r="AN430" s="110" t="s">
        <v>325</v>
      </c>
      <c r="AO430" s="110" t="s">
        <v>398</v>
      </c>
      <c r="AP430" s="110" t="s">
        <v>398</v>
      </c>
      <c r="AQ430" s="110" t="s">
        <v>5639</v>
      </c>
      <c r="AR430" s="125">
        <v>331</v>
      </c>
      <c r="AS430" s="125" t="s">
        <v>581</v>
      </c>
      <c r="AT430" s="110" t="s">
        <v>5466</v>
      </c>
      <c r="AU430" s="110" t="s">
        <v>5467</v>
      </c>
      <c r="AV430" s="125">
        <v>97173</v>
      </c>
      <c r="AW430" s="125" t="s">
        <v>3416</v>
      </c>
      <c r="AX430" s="110" t="s">
        <v>329</v>
      </c>
      <c r="AY430" s="110" t="s">
        <v>329</v>
      </c>
      <c r="AZ430" s="110"/>
      <c r="BA430" s="110"/>
      <c r="BB430" s="138"/>
      <c r="BC430" s="110"/>
      <c r="BD430" s="110" t="s">
        <v>5640</v>
      </c>
      <c r="BE430" s="110" t="s">
        <v>325</v>
      </c>
      <c r="BF430" s="110" t="s">
        <v>5641</v>
      </c>
      <c r="BG430" s="125" t="s">
        <v>488</v>
      </c>
      <c r="BH430" s="110"/>
      <c r="BI430" s="110"/>
      <c r="BJ430" s="110"/>
      <c r="BK430" s="110"/>
      <c r="BL430" s="110"/>
      <c r="BM430" s="110"/>
      <c r="BN430" s="110"/>
      <c r="BO430" s="110"/>
      <c r="BP430" s="110"/>
      <c r="BQ430" s="110"/>
      <c r="BR430" s="110"/>
      <c r="BS430" s="110"/>
      <c r="BT430" s="110"/>
      <c r="BU430" s="110"/>
      <c r="BV430" s="110"/>
      <c r="BW430" s="110"/>
      <c r="BX430" s="110"/>
      <c r="BY430" s="110"/>
      <c r="BZ430" s="110"/>
      <c r="CA430" s="110"/>
      <c r="CB430" s="109"/>
      <c r="CC430" s="109"/>
      <c r="CD430" s="110"/>
    </row>
    <row r="431" spans="1:82" s="116" customFormat="1" ht="15" x14ac:dyDescent="0.25">
      <c r="A431" s="125">
        <v>946</v>
      </c>
      <c r="B431" s="125" t="s">
        <v>5631</v>
      </c>
      <c r="C431" s="110" t="s">
        <v>363</v>
      </c>
      <c r="D431" s="125" t="s">
        <v>292</v>
      </c>
      <c r="E431" s="111" t="s">
        <v>6730</v>
      </c>
      <c r="F431" s="127">
        <v>45908</v>
      </c>
      <c r="G431" s="127">
        <v>45908</v>
      </c>
      <c r="H431" s="113">
        <f t="shared" si="36"/>
        <v>45998</v>
      </c>
      <c r="I431" s="113" t="s">
        <v>290</v>
      </c>
      <c r="J431" s="125" t="s">
        <v>793</v>
      </c>
      <c r="K431" s="125" t="s">
        <v>5642</v>
      </c>
      <c r="L431" s="125" t="s">
        <v>5643</v>
      </c>
      <c r="M431" s="128" t="str">
        <f t="shared" si="37"/>
        <v>LOPEZ TELLO FREDDY ESTEBAN</v>
      </c>
      <c r="N431" s="128" t="s">
        <v>7133</v>
      </c>
      <c r="O431" s="128" t="s">
        <v>5644</v>
      </c>
      <c r="P431" s="125" t="s">
        <v>1953</v>
      </c>
      <c r="Q431" s="112">
        <v>27369</v>
      </c>
      <c r="R431" s="125">
        <f t="shared" si="38"/>
        <v>6</v>
      </c>
      <c r="S431" s="125">
        <f t="shared" si="39"/>
        <v>12</v>
      </c>
      <c r="T431" s="125">
        <f t="shared" si="40"/>
        <v>1974</v>
      </c>
      <c r="U431" s="142">
        <f t="shared" ca="1" si="41"/>
        <v>51.884931506849313</v>
      </c>
      <c r="V431" s="128" t="s">
        <v>452</v>
      </c>
      <c r="W431" s="128" t="s">
        <v>5645</v>
      </c>
      <c r="X431" s="125" t="s">
        <v>472</v>
      </c>
      <c r="Y431" s="125" t="s">
        <v>101</v>
      </c>
      <c r="Z431" s="125"/>
      <c r="AA431" s="114" t="s">
        <v>2276</v>
      </c>
      <c r="AB431" s="109" t="s">
        <v>5085</v>
      </c>
      <c r="AC431" s="125" t="s">
        <v>313</v>
      </c>
      <c r="AD431" s="125" t="s">
        <v>314</v>
      </c>
      <c r="AE431" s="125">
        <v>90</v>
      </c>
      <c r="AF431" s="114" t="s">
        <v>292</v>
      </c>
      <c r="AG431" s="109" t="s">
        <v>290</v>
      </c>
      <c r="AH431" s="115" t="s">
        <v>5474</v>
      </c>
      <c r="AI431" s="109" t="s">
        <v>317</v>
      </c>
      <c r="AJ431" s="109" t="s">
        <v>318</v>
      </c>
      <c r="AK431" s="110" t="s">
        <v>5646</v>
      </c>
      <c r="AL431" s="97" t="s">
        <v>5647</v>
      </c>
      <c r="AM431" s="110" t="s">
        <v>5648</v>
      </c>
      <c r="AN431" s="110" t="s">
        <v>478</v>
      </c>
      <c r="AO431" s="110" t="s">
        <v>398</v>
      </c>
      <c r="AP431" s="110" t="s">
        <v>398</v>
      </c>
      <c r="AQ431" s="110" t="s">
        <v>5649</v>
      </c>
      <c r="AR431" s="125" t="s">
        <v>642</v>
      </c>
      <c r="AS431" s="125" t="s">
        <v>581</v>
      </c>
      <c r="AT431" s="110" t="s">
        <v>5650</v>
      </c>
      <c r="AU431" s="110" t="s">
        <v>5651</v>
      </c>
      <c r="AV431" s="125">
        <v>63735</v>
      </c>
      <c r="AW431" s="125" t="s">
        <v>3416</v>
      </c>
      <c r="AX431" s="110" t="s">
        <v>329</v>
      </c>
      <c r="AY431" s="110" t="s">
        <v>329</v>
      </c>
      <c r="AZ431" s="110"/>
      <c r="BA431" s="110"/>
      <c r="BB431" s="138"/>
      <c r="BC431" s="110"/>
      <c r="BD431" s="110" t="s">
        <v>5652</v>
      </c>
      <c r="BE431" s="110" t="s">
        <v>478</v>
      </c>
      <c r="BF431" s="110" t="s">
        <v>5653</v>
      </c>
      <c r="BG431" s="125" t="s">
        <v>333</v>
      </c>
      <c r="BH431" s="110"/>
      <c r="BI431" s="110"/>
      <c r="BJ431" s="110"/>
      <c r="BK431" s="110"/>
      <c r="BL431" s="110"/>
      <c r="BM431" s="110"/>
      <c r="BN431" s="110"/>
      <c r="BO431" s="110"/>
      <c r="BP431" s="110"/>
      <c r="BQ431" s="110"/>
      <c r="BR431" s="110"/>
      <c r="BS431" s="110"/>
      <c r="BT431" s="110"/>
      <c r="BU431" s="110"/>
      <c r="BV431" s="110"/>
      <c r="BW431" s="110"/>
      <c r="BX431" s="110"/>
      <c r="BY431" s="110"/>
      <c r="BZ431" s="110"/>
      <c r="CA431" s="110"/>
      <c r="CB431" s="109"/>
      <c r="CC431" s="109"/>
      <c r="CD431" s="110"/>
    </row>
    <row r="432" spans="1:82" s="116" customFormat="1" ht="15" x14ac:dyDescent="0.25">
      <c r="A432" s="125">
        <v>947</v>
      </c>
      <c r="B432" s="125" t="s">
        <v>5654</v>
      </c>
      <c r="C432" s="110" t="s">
        <v>335</v>
      </c>
      <c r="D432" s="125" t="s">
        <v>116</v>
      </c>
      <c r="E432" s="111" t="s">
        <v>6731</v>
      </c>
      <c r="F432" s="127">
        <v>45909</v>
      </c>
      <c r="G432" s="127">
        <v>45909</v>
      </c>
      <c r="H432" s="113">
        <f t="shared" si="36"/>
        <v>45999</v>
      </c>
      <c r="I432" s="113" t="s">
        <v>290</v>
      </c>
      <c r="J432" s="125" t="s">
        <v>793</v>
      </c>
      <c r="K432" s="125" t="s">
        <v>5656</v>
      </c>
      <c r="L432" s="125" t="s">
        <v>1148</v>
      </c>
      <c r="M432" s="128" t="str">
        <f t="shared" si="37"/>
        <v>LOPEZ JAUREGUI GUSTAVO</v>
      </c>
      <c r="N432" s="128" t="s">
        <v>7134</v>
      </c>
      <c r="O432" s="128" t="s">
        <v>7237</v>
      </c>
      <c r="P432" s="125" t="s">
        <v>1953</v>
      </c>
      <c r="Q432" s="112">
        <v>37021</v>
      </c>
      <c r="R432" s="125">
        <f t="shared" si="38"/>
        <v>10</v>
      </c>
      <c r="S432" s="125">
        <f t="shared" si="39"/>
        <v>5</v>
      </c>
      <c r="T432" s="125">
        <f t="shared" si="40"/>
        <v>2001</v>
      </c>
      <c r="U432" s="142">
        <f t="shared" ca="1" si="41"/>
        <v>25.44109589041096</v>
      </c>
      <c r="V432" s="128" t="s">
        <v>389</v>
      </c>
      <c r="W432" s="128" t="s">
        <v>5657</v>
      </c>
      <c r="X432" s="125" t="s">
        <v>454</v>
      </c>
      <c r="Y432" s="125" t="s">
        <v>617</v>
      </c>
      <c r="Z432" s="109" t="s">
        <v>118</v>
      </c>
      <c r="AA432" s="109" t="s">
        <v>2276</v>
      </c>
      <c r="AB432" s="109" t="s">
        <v>348</v>
      </c>
      <c r="AC432" s="109" t="s">
        <v>313</v>
      </c>
      <c r="AD432" s="109" t="s">
        <v>314</v>
      </c>
      <c r="AE432" s="109">
        <v>90</v>
      </c>
      <c r="AF432" s="114" t="s">
        <v>350</v>
      </c>
      <c r="AG432" s="125" t="s">
        <v>290</v>
      </c>
      <c r="AH432" s="110" t="s">
        <v>351</v>
      </c>
      <c r="AI432" s="125" t="s">
        <v>317</v>
      </c>
      <c r="AJ432" s="125" t="s">
        <v>318</v>
      </c>
      <c r="AK432" s="110" t="s">
        <v>5667</v>
      </c>
      <c r="AL432" s="95" t="s">
        <v>5658</v>
      </c>
      <c r="AM432" s="110" t="s">
        <v>5659</v>
      </c>
      <c r="AN432" s="110" t="s">
        <v>325</v>
      </c>
      <c r="AO432" s="110" t="s">
        <v>398</v>
      </c>
      <c r="AP432" s="110" t="s">
        <v>398</v>
      </c>
      <c r="AQ432" s="125">
        <v>0</v>
      </c>
      <c r="AR432" s="125">
        <v>0</v>
      </c>
      <c r="AS432" s="125">
        <v>0</v>
      </c>
      <c r="AT432" s="110" t="s">
        <v>5660</v>
      </c>
      <c r="AU432" s="110" t="s">
        <v>583</v>
      </c>
      <c r="AV432" s="125">
        <v>45300</v>
      </c>
      <c r="AW432" s="109" t="s">
        <v>3417</v>
      </c>
      <c r="AX432" s="110" t="s">
        <v>329</v>
      </c>
      <c r="AY432" s="109" t="s">
        <v>3417</v>
      </c>
      <c r="AZ432" s="110"/>
      <c r="BA432" s="110"/>
      <c r="BB432" s="110"/>
      <c r="BC432" s="110"/>
      <c r="BD432" s="110" t="s">
        <v>5659</v>
      </c>
      <c r="BE432" s="110" t="s">
        <v>325</v>
      </c>
      <c r="BF432" s="110" t="s">
        <v>5661</v>
      </c>
      <c r="BG432" s="125" t="s">
        <v>333</v>
      </c>
      <c r="BH432" s="110" t="s">
        <v>544</v>
      </c>
      <c r="BI432" s="110"/>
      <c r="BJ432" s="125"/>
      <c r="BK432" s="109"/>
      <c r="BL432" s="111"/>
      <c r="BM432" s="110"/>
      <c r="BN432" s="109"/>
      <c r="BO432" s="125"/>
      <c r="BP432" s="110"/>
      <c r="BQ432" s="109"/>
      <c r="BR432" s="125"/>
      <c r="BS432" s="110"/>
      <c r="BT432" s="110"/>
      <c r="BU432" s="110"/>
      <c r="BV432" s="110"/>
      <c r="BW432" s="110"/>
      <c r="BX432" s="110"/>
      <c r="BY432" s="110"/>
      <c r="BZ432" s="110"/>
      <c r="CA432" s="110"/>
      <c r="CB432" s="109"/>
      <c r="CC432" s="109"/>
      <c r="CD432" s="110"/>
    </row>
    <row r="433" spans="1:82" s="116" customFormat="1" ht="15" x14ac:dyDescent="0.25">
      <c r="A433" s="125">
        <v>948</v>
      </c>
      <c r="B433" s="125" t="s">
        <v>5655</v>
      </c>
      <c r="C433" s="110" t="s">
        <v>335</v>
      </c>
      <c r="D433" s="125" t="s">
        <v>116</v>
      </c>
      <c r="E433" s="111" t="s">
        <v>6806</v>
      </c>
      <c r="F433" s="127">
        <v>45909</v>
      </c>
      <c r="G433" s="127">
        <v>45909</v>
      </c>
      <c r="H433" s="113">
        <f t="shared" si="36"/>
        <v>45999</v>
      </c>
      <c r="I433" s="113" t="s">
        <v>290</v>
      </c>
      <c r="J433" s="125" t="s">
        <v>5662</v>
      </c>
      <c r="K433" s="125" t="s">
        <v>5663</v>
      </c>
      <c r="L433" s="125" t="s">
        <v>5664</v>
      </c>
      <c r="M433" s="128" t="str">
        <f t="shared" si="37"/>
        <v xml:space="preserve">SANTOS  CALDERON  HECTOR JONATHAN </v>
      </c>
      <c r="N433" s="128" t="s">
        <v>7220</v>
      </c>
      <c r="O433" s="128" t="s">
        <v>5665</v>
      </c>
      <c r="P433" s="125" t="s">
        <v>1953</v>
      </c>
      <c r="Q433" s="112">
        <v>35935</v>
      </c>
      <c r="R433" s="125">
        <f t="shared" si="38"/>
        <v>20</v>
      </c>
      <c r="S433" s="125">
        <f t="shared" si="39"/>
        <v>5</v>
      </c>
      <c r="T433" s="125">
        <f t="shared" si="40"/>
        <v>1998</v>
      </c>
      <c r="U433" s="142">
        <f t="shared" ca="1" si="41"/>
        <v>28.416438356164385</v>
      </c>
      <c r="V433" s="128" t="s">
        <v>5226</v>
      </c>
      <c r="W433" s="128" t="s">
        <v>5666</v>
      </c>
      <c r="X433" s="125" t="s">
        <v>454</v>
      </c>
      <c r="Y433" s="125" t="s">
        <v>617</v>
      </c>
      <c r="Z433" s="109" t="s">
        <v>118</v>
      </c>
      <c r="AA433" s="109" t="s">
        <v>2276</v>
      </c>
      <c r="AB433" s="109" t="s">
        <v>348</v>
      </c>
      <c r="AC433" s="109" t="s">
        <v>313</v>
      </c>
      <c r="AD433" s="109" t="s">
        <v>314</v>
      </c>
      <c r="AE433" s="109">
        <v>90</v>
      </c>
      <c r="AF433" s="114" t="s">
        <v>350</v>
      </c>
      <c r="AG433" s="125" t="s">
        <v>290</v>
      </c>
      <c r="AH433" s="110" t="s">
        <v>351</v>
      </c>
      <c r="AI433" s="125" t="s">
        <v>317</v>
      </c>
      <c r="AJ433" s="125" t="s">
        <v>318</v>
      </c>
      <c r="AK433" s="110" t="s">
        <v>5673</v>
      </c>
      <c r="AL433" s="95" t="s">
        <v>5669</v>
      </c>
      <c r="AM433" s="110" t="s">
        <v>5670</v>
      </c>
      <c r="AN433" s="110" t="s">
        <v>5038</v>
      </c>
      <c r="AO433" s="110" t="s">
        <v>5431</v>
      </c>
      <c r="AP433" s="110" t="s">
        <v>398</v>
      </c>
      <c r="AQ433" s="110" t="s">
        <v>5671</v>
      </c>
      <c r="AR433" s="125">
        <v>12</v>
      </c>
      <c r="AS433" s="125">
        <v>0</v>
      </c>
      <c r="AT433" s="110" t="s">
        <v>5660</v>
      </c>
      <c r="AU433" s="110" t="s">
        <v>5672</v>
      </c>
      <c r="AV433" s="125">
        <v>45310</v>
      </c>
      <c r="AW433" s="109" t="s">
        <v>3417</v>
      </c>
      <c r="AX433" s="110" t="s">
        <v>329</v>
      </c>
      <c r="AY433" s="109" t="s">
        <v>3417</v>
      </c>
      <c r="AZ433" s="110"/>
      <c r="BA433" s="110"/>
      <c r="BB433" s="110"/>
      <c r="BC433" s="110"/>
      <c r="BD433" s="110" t="s">
        <v>5670</v>
      </c>
      <c r="BE433" s="110" t="s">
        <v>5038</v>
      </c>
      <c r="BF433" s="110" t="s">
        <v>5668</v>
      </c>
      <c r="BG433" s="125" t="s">
        <v>333</v>
      </c>
      <c r="BH433" s="110"/>
      <c r="BI433" s="110">
        <v>2</v>
      </c>
      <c r="BJ433" s="125"/>
      <c r="BK433" s="109" t="s">
        <v>3946</v>
      </c>
      <c r="BL433" s="111">
        <v>6</v>
      </c>
      <c r="BM433" s="110"/>
      <c r="BN433" s="109" t="s">
        <v>3946</v>
      </c>
      <c r="BO433" s="125">
        <v>2</v>
      </c>
      <c r="BP433" s="110"/>
      <c r="BQ433" s="109"/>
      <c r="BR433" s="125"/>
      <c r="BS433" s="110"/>
      <c r="BT433" s="110"/>
      <c r="BU433" s="110"/>
      <c r="BV433" s="110"/>
      <c r="BW433" s="110"/>
      <c r="BX433" s="110"/>
      <c r="BY433" s="110"/>
      <c r="BZ433" s="110"/>
      <c r="CA433" s="110"/>
      <c r="CB433" s="109"/>
      <c r="CC433" s="109"/>
      <c r="CD433" s="110"/>
    </row>
    <row r="434" spans="1:82" s="116" customFormat="1" ht="15" x14ac:dyDescent="0.25">
      <c r="A434" s="125">
        <v>949</v>
      </c>
      <c r="B434" s="125" t="s">
        <v>5674</v>
      </c>
      <c r="C434" s="110" t="s">
        <v>335</v>
      </c>
      <c r="D434" s="109" t="s">
        <v>228</v>
      </c>
      <c r="E434" s="111" t="s">
        <v>6807</v>
      </c>
      <c r="F434" s="127">
        <v>45909</v>
      </c>
      <c r="G434" s="127">
        <v>45909</v>
      </c>
      <c r="H434" s="113">
        <f t="shared" si="36"/>
        <v>45999</v>
      </c>
      <c r="I434" s="113" t="s">
        <v>290</v>
      </c>
      <c r="J434" s="125" t="s">
        <v>766</v>
      </c>
      <c r="K434" s="125" t="s">
        <v>5675</v>
      </c>
      <c r="L434" s="125" t="s">
        <v>5676</v>
      </c>
      <c r="M434" s="128" t="str">
        <f t="shared" si="37"/>
        <v xml:space="preserve">HERNANDEZ  BIZARRAGA JOSE FRANCISCO </v>
      </c>
      <c r="N434" s="128" t="s">
        <v>7221</v>
      </c>
      <c r="O434" s="128" t="s">
        <v>5677</v>
      </c>
      <c r="P434" s="125" t="s">
        <v>1953</v>
      </c>
      <c r="Q434" s="112">
        <v>36781</v>
      </c>
      <c r="R434" s="125">
        <f t="shared" si="38"/>
        <v>12</v>
      </c>
      <c r="S434" s="125">
        <f t="shared" si="39"/>
        <v>9</v>
      </c>
      <c r="T434" s="125">
        <f t="shared" si="40"/>
        <v>2000</v>
      </c>
      <c r="U434" s="142">
        <f t="shared" ca="1" si="41"/>
        <v>26.098630136986301</v>
      </c>
      <c r="V434" s="128" t="s">
        <v>1286</v>
      </c>
      <c r="W434" s="128" t="s">
        <v>5678</v>
      </c>
      <c r="X434" s="125" t="s">
        <v>454</v>
      </c>
      <c r="Y434" s="125" t="s">
        <v>5679</v>
      </c>
      <c r="Z434" s="109" t="s">
        <v>147</v>
      </c>
      <c r="AA434" s="109" t="s">
        <v>532</v>
      </c>
      <c r="AB434" s="109" t="s">
        <v>2293</v>
      </c>
      <c r="AC434" s="109" t="s">
        <v>313</v>
      </c>
      <c r="AD434" s="109" t="s">
        <v>314</v>
      </c>
      <c r="AE434" s="109">
        <v>90</v>
      </c>
      <c r="AF434" s="114" t="s">
        <v>949</v>
      </c>
      <c r="AG434" s="125" t="s">
        <v>290</v>
      </c>
      <c r="AH434" s="110" t="s">
        <v>950</v>
      </c>
      <c r="AI434" s="125" t="s">
        <v>317</v>
      </c>
      <c r="AJ434" s="125" t="s">
        <v>318</v>
      </c>
      <c r="AK434" s="110" t="s">
        <v>5683</v>
      </c>
      <c r="AL434" s="95" t="s">
        <v>5680</v>
      </c>
      <c r="AM434" s="110" t="s">
        <v>5681</v>
      </c>
      <c r="AN434" s="110" t="s">
        <v>5038</v>
      </c>
      <c r="AO434" s="110" t="s">
        <v>398</v>
      </c>
      <c r="AP434" s="110" t="s">
        <v>398</v>
      </c>
      <c r="AQ434" s="110" t="s">
        <v>5684</v>
      </c>
      <c r="AR434" s="125">
        <v>800</v>
      </c>
      <c r="AS434" s="125">
        <v>800</v>
      </c>
      <c r="AT434" s="110" t="s">
        <v>1573</v>
      </c>
      <c r="AU434" s="110" t="s">
        <v>483</v>
      </c>
      <c r="AV434" s="125">
        <v>79660</v>
      </c>
      <c r="AW434" s="125" t="s">
        <v>3416</v>
      </c>
      <c r="AX434" s="110" t="s">
        <v>329</v>
      </c>
      <c r="AY434" s="110" t="s">
        <v>329</v>
      </c>
      <c r="AZ434" s="110"/>
      <c r="BA434" s="110"/>
      <c r="BB434" s="110"/>
      <c r="BC434" s="110"/>
      <c r="BD434" s="110" t="s">
        <v>5681</v>
      </c>
      <c r="BE434" s="110" t="s">
        <v>5038</v>
      </c>
      <c r="BF434" s="110" t="s">
        <v>5682</v>
      </c>
      <c r="BG434" s="125"/>
      <c r="BH434" s="110"/>
      <c r="BI434" s="110"/>
      <c r="BJ434" s="125"/>
      <c r="BK434" s="109"/>
      <c r="BL434" s="111"/>
      <c r="BM434" s="110"/>
      <c r="BN434" s="109"/>
      <c r="BO434" s="125"/>
      <c r="BP434" s="110"/>
      <c r="BQ434" s="109"/>
      <c r="BR434" s="125"/>
      <c r="BS434" s="110"/>
      <c r="BT434" s="110"/>
      <c r="BU434" s="110"/>
      <c r="BV434" s="110"/>
      <c r="BW434" s="110"/>
      <c r="BX434" s="110"/>
      <c r="BY434" s="110"/>
      <c r="BZ434" s="110"/>
      <c r="CA434" s="110"/>
      <c r="CB434" s="109"/>
      <c r="CC434" s="109"/>
      <c r="CD434" s="110"/>
    </row>
    <row r="435" spans="1:82" ht="15" x14ac:dyDescent="0.25">
      <c r="A435" s="77">
        <v>952</v>
      </c>
      <c r="B435" s="77" t="s">
        <v>5711</v>
      </c>
      <c r="C435" s="78" t="s">
        <v>335</v>
      </c>
      <c r="D435" s="77" t="s">
        <v>232</v>
      </c>
      <c r="E435" s="99" t="s">
        <v>6808</v>
      </c>
      <c r="F435" s="79">
        <v>45911</v>
      </c>
      <c r="G435" s="79">
        <v>45911</v>
      </c>
      <c r="H435" s="101">
        <f t="shared" si="36"/>
        <v>46001</v>
      </c>
      <c r="I435" s="101" t="s">
        <v>290</v>
      </c>
      <c r="J435" s="77" t="s">
        <v>4383</v>
      </c>
      <c r="K435" s="77" t="s">
        <v>5712</v>
      </c>
      <c r="L435" s="77" t="s">
        <v>5713</v>
      </c>
      <c r="M435" s="102" t="str">
        <f t="shared" si="37"/>
        <v xml:space="preserve">MARTINEZ  COLUNGA  LUIS GERARDO </v>
      </c>
      <c r="N435" s="102" t="s">
        <v>7222</v>
      </c>
      <c r="O435" s="102" t="s">
        <v>5714</v>
      </c>
      <c r="P435" s="77" t="s">
        <v>1953</v>
      </c>
      <c r="Q435" s="100">
        <v>35334</v>
      </c>
      <c r="R435" s="77">
        <f t="shared" si="38"/>
        <v>26</v>
      </c>
      <c r="S435" s="77">
        <f t="shared" si="39"/>
        <v>9</v>
      </c>
      <c r="T435" s="77">
        <f t="shared" si="40"/>
        <v>1996</v>
      </c>
      <c r="U435" s="103">
        <f t="shared" ca="1" si="41"/>
        <v>30.063013698630137</v>
      </c>
      <c r="V435" s="102" t="s">
        <v>1286</v>
      </c>
      <c r="W435" s="102" t="s">
        <v>5715</v>
      </c>
      <c r="X435" s="77" t="s">
        <v>454</v>
      </c>
      <c r="Y435" s="77" t="s">
        <v>5716</v>
      </c>
      <c r="Z435" s="12"/>
      <c r="AA435" s="12"/>
      <c r="AB435" s="12"/>
      <c r="AC435" s="12" t="s">
        <v>313</v>
      </c>
      <c r="AD435" s="12" t="s">
        <v>314</v>
      </c>
      <c r="AE435" s="12">
        <v>90</v>
      </c>
      <c r="AF435" s="13" t="s">
        <v>315</v>
      </c>
      <c r="AG435" s="77" t="s">
        <v>290</v>
      </c>
      <c r="AH435" s="104" t="s">
        <v>1329</v>
      </c>
      <c r="AI435" s="77" t="s">
        <v>317</v>
      </c>
      <c r="AJ435" s="77" t="s">
        <v>318</v>
      </c>
      <c r="AK435" s="78" t="s">
        <v>5717</v>
      </c>
      <c r="AL435" s="91" t="s">
        <v>5718</v>
      </c>
      <c r="AM435" s="78" t="s">
        <v>5719</v>
      </c>
      <c r="AN435" s="78" t="s">
        <v>325</v>
      </c>
      <c r="AO435" s="78" t="s">
        <v>398</v>
      </c>
      <c r="AP435" s="78" t="s">
        <v>398</v>
      </c>
      <c r="AQ435" s="78" t="s">
        <v>5720</v>
      </c>
      <c r="AR435" s="77">
        <v>48</v>
      </c>
      <c r="AS435" s="77"/>
      <c r="AT435" s="78" t="s">
        <v>5721</v>
      </c>
      <c r="AU435" s="78" t="s">
        <v>483</v>
      </c>
      <c r="AV435" s="77">
        <v>78411</v>
      </c>
      <c r="AW435" s="77" t="s">
        <v>3416</v>
      </c>
      <c r="AX435" s="78" t="s">
        <v>329</v>
      </c>
      <c r="AY435" s="78" t="s">
        <v>329</v>
      </c>
      <c r="AZ435" s="78"/>
      <c r="BA435" s="78"/>
      <c r="BB435" s="78"/>
      <c r="BC435" s="78"/>
      <c r="BD435" s="78" t="s">
        <v>5722</v>
      </c>
      <c r="BE435" s="78" t="s">
        <v>3185</v>
      </c>
      <c r="BF435" s="78" t="s">
        <v>5723</v>
      </c>
      <c r="BG435" s="77" t="s">
        <v>333</v>
      </c>
      <c r="BH435" s="78" t="s">
        <v>3815</v>
      </c>
      <c r="BI435" s="78">
        <v>0</v>
      </c>
      <c r="BJ435" s="77"/>
      <c r="BK435" s="12"/>
      <c r="BL435" s="105"/>
      <c r="BM435" s="78"/>
      <c r="BN435" s="12"/>
      <c r="BO435" s="77"/>
      <c r="BP435" s="78"/>
      <c r="BQ435" s="12"/>
      <c r="BR435" s="77"/>
      <c r="BS435" s="78"/>
      <c r="BT435" s="78"/>
      <c r="BU435" s="78"/>
      <c r="BV435" s="78"/>
      <c r="BW435" s="78"/>
      <c r="BX435" s="78"/>
      <c r="BY435" s="78"/>
      <c r="BZ435" s="78"/>
      <c r="CA435" s="78"/>
      <c r="CB435" s="12"/>
      <c r="CC435" s="12"/>
      <c r="CD435" s="78"/>
    </row>
    <row r="436" spans="1:82" s="116" customFormat="1" ht="15" x14ac:dyDescent="0.25">
      <c r="A436" s="125">
        <v>950</v>
      </c>
      <c r="B436" s="125" t="s">
        <v>5686</v>
      </c>
      <c r="C436" s="110" t="s">
        <v>335</v>
      </c>
      <c r="D436" s="125" t="s">
        <v>116</v>
      </c>
      <c r="E436" s="111" t="s">
        <v>6809</v>
      </c>
      <c r="F436" s="127">
        <v>45915</v>
      </c>
      <c r="G436" s="127">
        <v>45915</v>
      </c>
      <c r="H436" s="113">
        <f t="shared" si="36"/>
        <v>46005</v>
      </c>
      <c r="I436" s="113" t="s">
        <v>290</v>
      </c>
      <c r="J436" s="125" t="s">
        <v>851</v>
      </c>
      <c r="K436" s="125" t="s">
        <v>5700</v>
      </c>
      <c r="L436" s="125" t="s">
        <v>5701</v>
      </c>
      <c r="M436" s="128" t="str">
        <f t="shared" si="37"/>
        <v xml:space="preserve">LOPEZ  RENDON  VICTOR DAVID </v>
      </c>
      <c r="N436" s="128" t="s">
        <v>7223</v>
      </c>
      <c r="O436" s="128" t="s">
        <v>5702</v>
      </c>
      <c r="P436" s="125" t="s">
        <v>1953</v>
      </c>
      <c r="Q436" s="112">
        <v>32929</v>
      </c>
      <c r="R436" s="125">
        <f t="shared" si="38"/>
        <v>25</v>
      </c>
      <c r="S436" s="125">
        <f t="shared" si="39"/>
        <v>2</v>
      </c>
      <c r="T436" s="125">
        <f t="shared" si="40"/>
        <v>1990</v>
      </c>
      <c r="U436" s="142">
        <f t="shared" ca="1" si="41"/>
        <v>36.652054794520545</v>
      </c>
      <c r="V436" s="128" t="s">
        <v>5226</v>
      </c>
      <c r="W436" s="128" t="s">
        <v>5703</v>
      </c>
      <c r="X436" s="125" t="s">
        <v>454</v>
      </c>
      <c r="Y436" s="125" t="s">
        <v>617</v>
      </c>
      <c r="Z436" s="109" t="s">
        <v>118</v>
      </c>
      <c r="AA436" s="109" t="s">
        <v>2276</v>
      </c>
      <c r="AB436" s="109" t="s">
        <v>348</v>
      </c>
      <c r="AC436" s="109" t="s">
        <v>313</v>
      </c>
      <c r="AD436" s="109" t="s">
        <v>314</v>
      </c>
      <c r="AE436" s="109">
        <v>90</v>
      </c>
      <c r="AF436" s="114" t="s">
        <v>350</v>
      </c>
      <c r="AG436" s="125" t="s">
        <v>290</v>
      </c>
      <c r="AH436" s="110" t="s">
        <v>351</v>
      </c>
      <c r="AI436" s="125" t="s">
        <v>317</v>
      </c>
      <c r="AJ436" s="125" t="s">
        <v>318</v>
      </c>
      <c r="AK436" s="110" t="s">
        <v>5704</v>
      </c>
      <c r="AL436" s="95" t="s">
        <v>5705</v>
      </c>
      <c r="AM436" s="110" t="s">
        <v>5706</v>
      </c>
      <c r="AN436" s="110" t="s">
        <v>3575</v>
      </c>
      <c r="AO436" s="110" t="s">
        <v>398</v>
      </c>
      <c r="AP436" s="110" t="s">
        <v>327</v>
      </c>
      <c r="AQ436" s="110" t="s">
        <v>5707</v>
      </c>
      <c r="AR436" s="125">
        <v>439</v>
      </c>
      <c r="AS436" s="125">
        <v>32</v>
      </c>
      <c r="AT436" s="110" t="s">
        <v>116</v>
      </c>
      <c r="AU436" s="110" t="s">
        <v>5672</v>
      </c>
      <c r="AV436" s="125">
        <v>47000</v>
      </c>
      <c r="AW436" s="109" t="s">
        <v>3417</v>
      </c>
      <c r="AX436" s="110" t="s">
        <v>329</v>
      </c>
      <c r="AY436" s="109" t="s">
        <v>3417</v>
      </c>
      <c r="AZ436" s="110"/>
      <c r="BA436" s="110"/>
      <c r="BB436" s="110"/>
      <c r="BC436" s="110"/>
      <c r="BD436" s="110" t="s">
        <v>5708</v>
      </c>
      <c r="BE436" s="110" t="s">
        <v>3575</v>
      </c>
      <c r="BF436" s="110" t="s">
        <v>5709</v>
      </c>
      <c r="BG436" s="125" t="s">
        <v>333</v>
      </c>
      <c r="BH436" s="110"/>
      <c r="BI436" s="110">
        <v>2</v>
      </c>
      <c r="BJ436" s="125"/>
      <c r="BK436" s="109" t="s">
        <v>3946</v>
      </c>
      <c r="BL436" s="111">
        <v>15</v>
      </c>
      <c r="BM436" s="110"/>
      <c r="BN436" s="109" t="s">
        <v>5696</v>
      </c>
      <c r="BO436" s="125">
        <v>4</v>
      </c>
      <c r="BP436" s="110"/>
      <c r="BQ436" s="109"/>
      <c r="BR436" s="125"/>
      <c r="BS436" s="110"/>
      <c r="BT436" s="110"/>
      <c r="BU436" s="110"/>
      <c r="BV436" s="110"/>
      <c r="BW436" s="110"/>
      <c r="BX436" s="110"/>
      <c r="BY436" s="110"/>
      <c r="BZ436" s="110"/>
      <c r="CA436" s="110"/>
      <c r="CB436" s="109"/>
      <c r="CC436" s="109"/>
      <c r="CD436" s="110"/>
    </row>
    <row r="437" spans="1:82" s="116" customFormat="1" ht="15" x14ac:dyDescent="0.25">
      <c r="A437" s="125">
        <v>951</v>
      </c>
      <c r="B437" s="125" t="s">
        <v>5699</v>
      </c>
      <c r="C437" s="110" t="s">
        <v>335</v>
      </c>
      <c r="D437" s="125" t="s">
        <v>116</v>
      </c>
      <c r="E437" s="111">
        <v>4099306120</v>
      </c>
      <c r="F437" s="127">
        <v>45915</v>
      </c>
      <c r="G437" s="127">
        <v>45915</v>
      </c>
      <c r="H437" s="113">
        <f t="shared" si="36"/>
        <v>46005</v>
      </c>
      <c r="I437" s="113" t="s">
        <v>290</v>
      </c>
      <c r="J437" s="125" t="s">
        <v>447</v>
      </c>
      <c r="K437" s="125" t="s">
        <v>704</v>
      </c>
      <c r="L437" s="125" t="s">
        <v>6479</v>
      </c>
      <c r="M437" s="128" t="str">
        <f t="shared" si="37"/>
        <v xml:space="preserve">GARCIA GONZALEZ JAIRO JOSUE </v>
      </c>
      <c r="N437" s="128" t="s">
        <v>5687</v>
      </c>
      <c r="O437" s="128" t="s">
        <v>5688</v>
      </c>
      <c r="P437" s="125" t="s">
        <v>1953</v>
      </c>
      <c r="Q437" s="112">
        <v>34125</v>
      </c>
      <c r="R437" s="125">
        <f t="shared" si="38"/>
        <v>5</v>
      </c>
      <c r="S437" s="125">
        <f t="shared" si="39"/>
        <v>6</v>
      </c>
      <c r="T437" s="125">
        <f t="shared" si="40"/>
        <v>1993</v>
      </c>
      <c r="U437" s="142">
        <f t="shared" ca="1" si="41"/>
        <v>33.375342465753427</v>
      </c>
      <c r="V437" s="128" t="s">
        <v>342</v>
      </c>
      <c r="W437" s="128" t="s">
        <v>5689</v>
      </c>
      <c r="X437" s="125" t="s">
        <v>454</v>
      </c>
      <c r="Y437" s="125" t="s">
        <v>5710</v>
      </c>
      <c r="Z437" s="109"/>
      <c r="AA437" s="109" t="s">
        <v>532</v>
      </c>
      <c r="AB437" s="109" t="s">
        <v>348</v>
      </c>
      <c r="AC437" s="109" t="s">
        <v>313</v>
      </c>
      <c r="AD437" s="109" t="s">
        <v>314</v>
      </c>
      <c r="AE437" s="109">
        <v>90</v>
      </c>
      <c r="AF437" s="114" t="s">
        <v>350</v>
      </c>
      <c r="AG437" s="125" t="s">
        <v>290</v>
      </c>
      <c r="AH437" s="110" t="s">
        <v>351</v>
      </c>
      <c r="AI437" s="125" t="s">
        <v>317</v>
      </c>
      <c r="AJ437" s="125" t="s">
        <v>318</v>
      </c>
      <c r="AK437" s="110" t="s">
        <v>5690</v>
      </c>
      <c r="AL437" s="95" t="s">
        <v>5691</v>
      </c>
      <c r="AM437" s="110" t="s">
        <v>5692</v>
      </c>
      <c r="AN437" s="110" t="s">
        <v>5693</v>
      </c>
      <c r="AO437" s="110" t="s">
        <v>398</v>
      </c>
      <c r="AP437" s="110" t="s">
        <v>5431</v>
      </c>
      <c r="AQ437" s="110" t="s">
        <v>5694</v>
      </c>
      <c r="AR437" s="125">
        <v>603</v>
      </c>
      <c r="AS437" s="125">
        <v>16</v>
      </c>
      <c r="AT437" s="110" t="s">
        <v>116</v>
      </c>
      <c r="AU437" s="110" t="s">
        <v>5672</v>
      </c>
      <c r="AV437" s="125">
        <v>44890</v>
      </c>
      <c r="AW437" s="109" t="s">
        <v>3417</v>
      </c>
      <c r="AX437" s="110" t="s">
        <v>329</v>
      </c>
      <c r="AY437" s="109" t="s">
        <v>3417</v>
      </c>
      <c r="AZ437" s="110"/>
      <c r="BA437" s="110"/>
      <c r="BB437" s="110"/>
      <c r="BC437" s="110"/>
      <c r="BD437" s="110" t="s">
        <v>5692</v>
      </c>
      <c r="BE437" s="110" t="s">
        <v>381</v>
      </c>
      <c r="BF437" s="110" t="s">
        <v>5695</v>
      </c>
      <c r="BG437" s="125" t="s">
        <v>333</v>
      </c>
      <c r="BH437" s="110"/>
      <c r="BI437" s="110">
        <v>4</v>
      </c>
      <c r="BJ437" s="125"/>
      <c r="BK437" s="109" t="s">
        <v>3946</v>
      </c>
      <c r="BL437" s="111">
        <v>16</v>
      </c>
      <c r="BM437" s="110"/>
      <c r="BN437" s="109" t="s">
        <v>3946</v>
      </c>
      <c r="BO437" s="125">
        <v>13</v>
      </c>
      <c r="BP437" s="110"/>
      <c r="BQ437" s="109" t="s">
        <v>3911</v>
      </c>
      <c r="BR437" s="125" t="s">
        <v>3922</v>
      </c>
      <c r="BS437" s="110"/>
      <c r="BT437" s="110" t="s">
        <v>5697</v>
      </c>
      <c r="BU437" s="110" t="s">
        <v>5698</v>
      </c>
      <c r="BV437" s="110"/>
      <c r="BW437" s="110"/>
      <c r="BX437" s="110"/>
      <c r="BY437" s="110"/>
      <c r="BZ437" s="110"/>
      <c r="CA437" s="110"/>
      <c r="CB437" s="109"/>
      <c r="CC437" s="109"/>
      <c r="CD437" s="110"/>
    </row>
    <row r="438" spans="1:82" s="116" customFormat="1" ht="15" x14ac:dyDescent="0.25">
      <c r="A438" s="125">
        <v>1134</v>
      </c>
      <c r="B438" s="125" t="s">
        <v>5724</v>
      </c>
      <c r="C438" s="110" t="s">
        <v>299</v>
      </c>
      <c r="D438" s="111" t="s">
        <v>80</v>
      </c>
      <c r="E438" s="111" t="s">
        <v>5725</v>
      </c>
      <c r="F438" s="127">
        <v>45917</v>
      </c>
      <c r="G438" s="127">
        <v>45917</v>
      </c>
      <c r="H438" s="113">
        <f t="shared" si="36"/>
        <v>46007</v>
      </c>
      <c r="I438" s="113" t="s">
        <v>290</v>
      </c>
      <c r="J438" s="125" t="s">
        <v>365</v>
      </c>
      <c r="K438" s="125" t="s">
        <v>4333</v>
      </c>
      <c r="L438" s="125" t="s">
        <v>5726</v>
      </c>
      <c r="M438" s="128" t="str">
        <f t="shared" si="37"/>
        <v xml:space="preserve">RODRIGUEZ  GARCIA  LUIS HUMBERTO </v>
      </c>
      <c r="N438" s="128" t="s">
        <v>7224</v>
      </c>
      <c r="O438" s="128" t="s">
        <v>5727</v>
      </c>
      <c r="P438" s="125" t="s">
        <v>1953</v>
      </c>
      <c r="Q438" s="112">
        <v>35187</v>
      </c>
      <c r="R438" s="125">
        <f t="shared" si="38"/>
        <v>2</v>
      </c>
      <c r="S438" s="125">
        <f t="shared" si="39"/>
        <v>5</v>
      </c>
      <c r="T438" s="125">
        <f t="shared" si="40"/>
        <v>1996</v>
      </c>
      <c r="U438" s="142">
        <f t="shared" ca="1" si="41"/>
        <v>30.465753424657535</v>
      </c>
      <c r="V438" s="128" t="s">
        <v>389</v>
      </c>
      <c r="W438" s="128" t="s">
        <v>5728</v>
      </c>
      <c r="X438" s="125" t="s">
        <v>693</v>
      </c>
      <c r="Y438" s="125" t="s">
        <v>5729</v>
      </c>
      <c r="Z438" s="109" t="s">
        <v>73</v>
      </c>
      <c r="AA438" s="109" t="s">
        <v>311</v>
      </c>
      <c r="AB438" s="109" t="s">
        <v>312</v>
      </c>
      <c r="AC438" s="109" t="s">
        <v>313</v>
      </c>
      <c r="AD438" s="109" t="s">
        <v>314</v>
      </c>
      <c r="AE438" s="109">
        <v>90</v>
      </c>
      <c r="AF438" s="114" t="s">
        <v>315</v>
      </c>
      <c r="AG438" s="125" t="s">
        <v>290</v>
      </c>
      <c r="AH438" s="115" t="s">
        <v>1329</v>
      </c>
      <c r="AI438" s="109" t="s">
        <v>317</v>
      </c>
      <c r="AJ438" s="109" t="s">
        <v>318</v>
      </c>
      <c r="AK438" s="110" t="s">
        <v>5730</v>
      </c>
      <c r="AL438" s="95" t="s">
        <v>5731</v>
      </c>
      <c r="AM438" s="110" t="s">
        <v>5732</v>
      </c>
      <c r="AN438" s="110" t="s">
        <v>325</v>
      </c>
      <c r="AO438" s="110" t="s">
        <v>5431</v>
      </c>
      <c r="AP438" s="110" t="s">
        <v>5431</v>
      </c>
      <c r="AQ438" s="110" t="s">
        <v>5733</v>
      </c>
      <c r="AR438" s="125">
        <v>112</v>
      </c>
      <c r="AS438" s="125"/>
      <c r="AT438" s="110" t="s">
        <v>482</v>
      </c>
      <c r="AU438" s="110" t="s">
        <v>483</v>
      </c>
      <c r="AV438" s="125">
        <v>78437</v>
      </c>
      <c r="AW438" s="109" t="s">
        <v>3417</v>
      </c>
      <c r="AX438" s="110" t="s">
        <v>329</v>
      </c>
      <c r="AY438" s="109" t="s">
        <v>3417</v>
      </c>
      <c r="AZ438" s="110"/>
      <c r="BA438" s="110"/>
      <c r="BB438" s="110"/>
      <c r="BC438" s="110"/>
      <c r="BD438" s="110" t="s">
        <v>5732</v>
      </c>
      <c r="BE438" s="110" t="s">
        <v>5734</v>
      </c>
      <c r="BF438" s="110" t="s">
        <v>5735</v>
      </c>
      <c r="BG438" s="125"/>
      <c r="BH438" s="110" t="s">
        <v>5736</v>
      </c>
      <c r="BI438" s="110">
        <v>0</v>
      </c>
      <c r="BJ438" s="125"/>
      <c r="BK438" s="109"/>
      <c r="BL438" s="111"/>
      <c r="BM438" s="110"/>
      <c r="BN438" s="109"/>
      <c r="BO438" s="125"/>
      <c r="BP438" s="110"/>
      <c r="BQ438" s="109"/>
      <c r="BR438" s="125"/>
      <c r="BS438" s="110"/>
      <c r="BT438" s="110"/>
      <c r="BU438" s="110"/>
      <c r="BV438" s="110"/>
      <c r="BW438" s="110"/>
      <c r="BX438" s="110"/>
      <c r="BY438" s="110"/>
      <c r="BZ438" s="110"/>
      <c r="CA438" s="110"/>
      <c r="CB438" s="109"/>
      <c r="CC438" s="109"/>
      <c r="CD438" s="110"/>
    </row>
    <row r="439" spans="1:82" s="116" customFormat="1" ht="15" x14ac:dyDescent="0.25">
      <c r="A439" s="125">
        <v>625</v>
      </c>
      <c r="B439" s="125" t="s">
        <v>5737</v>
      </c>
      <c r="C439" s="110" t="s">
        <v>335</v>
      </c>
      <c r="D439" s="125" t="s">
        <v>232</v>
      </c>
      <c r="E439" s="111" t="s">
        <v>6732</v>
      </c>
      <c r="F439" s="127">
        <v>45923</v>
      </c>
      <c r="G439" s="127">
        <v>45923</v>
      </c>
      <c r="H439" s="113">
        <f t="shared" si="36"/>
        <v>46013</v>
      </c>
      <c r="I439" s="113" t="s">
        <v>290</v>
      </c>
      <c r="J439" s="125" t="s">
        <v>5738</v>
      </c>
      <c r="K439" s="125" t="s">
        <v>1004</v>
      </c>
      <c r="L439" s="125" t="s">
        <v>5739</v>
      </c>
      <c r="M439" s="128" t="str">
        <f t="shared" si="37"/>
        <v>CISNEROS JIMENEZ DIEGO ERNESTO</v>
      </c>
      <c r="N439" s="128" t="s">
        <v>7135</v>
      </c>
      <c r="O439" s="128" t="s">
        <v>5740</v>
      </c>
      <c r="P439" s="125" t="s">
        <v>1953</v>
      </c>
      <c r="Q439" s="112">
        <v>38298</v>
      </c>
      <c r="R439" s="125">
        <f t="shared" si="38"/>
        <v>7</v>
      </c>
      <c r="S439" s="125">
        <f t="shared" si="39"/>
        <v>11</v>
      </c>
      <c r="T439" s="125">
        <f t="shared" si="40"/>
        <v>2004</v>
      </c>
      <c r="U439" s="142">
        <f t="shared" ca="1" si="41"/>
        <v>21.942465753424656</v>
      </c>
      <c r="V439" s="128" t="s">
        <v>389</v>
      </c>
      <c r="W439" s="128" t="s">
        <v>5741</v>
      </c>
      <c r="X439" s="125" t="s">
        <v>472</v>
      </c>
      <c r="Y439" s="125" t="s">
        <v>617</v>
      </c>
      <c r="Z439" s="109" t="s">
        <v>118</v>
      </c>
      <c r="AA439" s="109" t="s">
        <v>2276</v>
      </c>
      <c r="AB439" s="109" t="s">
        <v>348</v>
      </c>
      <c r="AC439" s="125" t="s">
        <v>313</v>
      </c>
      <c r="AD439" s="125" t="s">
        <v>314</v>
      </c>
      <c r="AE439" s="125">
        <v>90</v>
      </c>
      <c r="AF439" s="13" t="s">
        <v>315</v>
      </c>
      <c r="AG439" s="125" t="s">
        <v>290</v>
      </c>
      <c r="AH439" s="115" t="s">
        <v>1329</v>
      </c>
      <c r="AI439" s="125" t="s">
        <v>317</v>
      </c>
      <c r="AJ439" s="125" t="s">
        <v>318</v>
      </c>
      <c r="AK439" s="110" t="s">
        <v>5742</v>
      </c>
      <c r="AL439" s="97" t="s">
        <v>5743</v>
      </c>
      <c r="AM439" s="110" t="s">
        <v>5744</v>
      </c>
      <c r="AN439" s="110" t="s">
        <v>325</v>
      </c>
      <c r="AO439" s="110" t="s">
        <v>398</v>
      </c>
      <c r="AP439" s="110" t="s">
        <v>398</v>
      </c>
      <c r="AQ439" s="110" t="s">
        <v>5745</v>
      </c>
      <c r="AR439" s="125">
        <v>109</v>
      </c>
      <c r="AS439" s="125" t="s">
        <v>581</v>
      </c>
      <c r="AT439" s="110" t="s">
        <v>483</v>
      </c>
      <c r="AU439" s="110" t="s">
        <v>483</v>
      </c>
      <c r="AV439" s="125">
        <v>78038</v>
      </c>
      <c r="AW439" s="125" t="s">
        <v>3416</v>
      </c>
      <c r="AX439" s="110" t="s">
        <v>329</v>
      </c>
      <c r="AY439" s="125" t="s">
        <v>3416</v>
      </c>
      <c r="AZ439" s="110"/>
      <c r="BA439" s="110"/>
      <c r="BB439" s="138"/>
      <c r="BC439" s="110"/>
      <c r="BD439" s="110" t="s">
        <v>5744</v>
      </c>
      <c r="BE439" s="110" t="s">
        <v>325</v>
      </c>
      <c r="BF439" s="110" t="s">
        <v>5746</v>
      </c>
      <c r="BG439" s="125"/>
      <c r="BH439" s="110"/>
      <c r="BI439" s="110"/>
      <c r="BJ439" s="110"/>
      <c r="BK439" s="110"/>
      <c r="BL439" s="110"/>
      <c r="BM439" s="110"/>
      <c r="BN439" s="110"/>
      <c r="BO439" s="110"/>
      <c r="BP439" s="110"/>
      <c r="BQ439" s="110"/>
      <c r="BR439" s="110"/>
      <c r="BS439" s="110"/>
      <c r="BT439" s="110"/>
      <c r="BU439" s="110"/>
      <c r="BV439" s="110"/>
      <c r="BW439" s="110"/>
      <c r="BX439" s="110"/>
      <c r="BY439" s="110"/>
      <c r="BZ439" s="110"/>
      <c r="CA439" s="110"/>
      <c r="CB439" s="109"/>
      <c r="CC439" s="109"/>
      <c r="CD439" s="110"/>
    </row>
    <row r="440" spans="1:82" s="116" customFormat="1" ht="15" x14ac:dyDescent="0.25">
      <c r="A440" s="125">
        <v>587</v>
      </c>
      <c r="B440" s="125" t="s">
        <v>5756</v>
      </c>
      <c r="C440" s="110" t="s">
        <v>335</v>
      </c>
      <c r="D440" s="125" t="s">
        <v>133</v>
      </c>
      <c r="E440" s="111" t="s">
        <v>6810</v>
      </c>
      <c r="F440" s="127">
        <v>45929</v>
      </c>
      <c r="G440" s="127">
        <v>45929</v>
      </c>
      <c r="H440" s="113">
        <f t="shared" ref="H440:H503" si="42">+G440+AE440</f>
        <v>46019</v>
      </c>
      <c r="I440" s="113" t="s">
        <v>290</v>
      </c>
      <c r="J440" s="125" t="s">
        <v>4314</v>
      </c>
      <c r="K440" s="125" t="s">
        <v>1408</v>
      </c>
      <c r="L440" s="125" t="s">
        <v>5747</v>
      </c>
      <c r="M440" s="128" t="str">
        <f t="shared" si="37"/>
        <v>TORRES  RUIZ JUAN JOSE URIEL</v>
      </c>
      <c r="N440" s="128" t="s">
        <v>7225</v>
      </c>
      <c r="O440" s="128" t="s">
        <v>5748</v>
      </c>
      <c r="P440" s="125" t="s">
        <v>1953</v>
      </c>
      <c r="Q440" s="112">
        <v>38187</v>
      </c>
      <c r="R440" s="125">
        <f t="shared" si="38"/>
        <v>19</v>
      </c>
      <c r="S440" s="125">
        <f t="shared" si="39"/>
        <v>7</v>
      </c>
      <c r="T440" s="125">
        <f t="shared" si="40"/>
        <v>2004</v>
      </c>
      <c r="U440" s="142">
        <f t="shared" ca="1" si="41"/>
        <v>22.246575342465754</v>
      </c>
      <c r="V440" s="128" t="s">
        <v>342</v>
      </c>
      <c r="W440" s="128" t="s">
        <v>5749</v>
      </c>
      <c r="X440" s="125" t="s">
        <v>454</v>
      </c>
      <c r="Y440" s="109" t="s">
        <v>135</v>
      </c>
      <c r="Z440" s="109" t="s">
        <v>136</v>
      </c>
      <c r="AA440" s="109" t="s">
        <v>347</v>
      </c>
      <c r="AB440" s="109" t="s">
        <v>670</v>
      </c>
      <c r="AC440" s="125" t="s">
        <v>313</v>
      </c>
      <c r="AD440" s="125" t="s">
        <v>314</v>
      </c>
      <c r="AE440" s="125">
        <v>90</v>
      </c>
      <c r="AF440" s="114" t="s">
        <v>671</v>
      </c>
      <c r="AG440" s="109" t="s">
        <v>290</v>
      </c>
      <c r="AH440" s="115" t="s">
        <v>672</v>
      </c>
      <c r="AI440" s="109" t="s">
        <v>317</v>
      </c>
      <c r="AJ440" s="109" t="s">
        <v>318</v>
      </c>
      <c r="AK440" s="110" t="s">
        <v>5750</v>
      </c>
      <c r="AL440" s="97" t="s">
        <v>5751</v>
      </c>
      <c r="AM440" s="110" t="s">
        <v>5752</v>
      </c>
      <c r="AN440" s="110" t="s">
        <v>325</v>
      </c>
      <c r="AO440" s="110" t="s">
        <v>398</v>
      </c>
      <c r="AP440" s="110" t="s">
        <v>398</v>
      </c>
      <c r="AQ440" s="110" t="s">
        <v>5753</v>
      </c>
      <c r="AR440" s="125">
        <v>310</v>
      </c>
      <c r="AS440" s="125" t="s">
        <v>581</v>
      </c>
      <c r="AT440" s="110" t="s">
        <v>3389</v>
      </c>
      <c r="AU440" s="110" t="s">
        <v>912</v>
      </c>
      <c r="AV440" s="125">
        <v>65510</v>
      </c>
      <c r="AW440" s="109" t="s">
        <v>3417</v>
      </c>
      <c r="AX440" s="110" t="s">
        <v>329</v>
      </c>
      <c r="AY440" s="125" t="s">
        <v>3416</v>
      </c>
      <c r="AZ440" s="110"/>
      <c r="BA440" s="110"/>
      <c r="BB440" s="138"/>
      <c r="BC440" s="110"/>
      <c r="BD440" s="110" t="s">
        <v>5755</v>
      </c>
      <c r="BE440" s="110" t="s">
        <v>381</v>
      </c>
      <c r="BF440" s="110" t="s">
        <v>5754</v>
      </c>
      <c r="BG440" s="125"/>
      <c r="BH440" s="110"/>
      <c r="BI440" s="110"/>
      <c r="BJ440" s="110"/>
      <c r="BK440" s="110"/>
      <c r="BL440" s="110"/>
      <c r="BM440" s="110"/>
      <c r="BN440" s="110"/>
      <c r="BO440" s="110"/>
      <c r="BP440" s="110"/>
      <c r="BQ440" s="110"/>
      <c r="BR440" s="110"/>
      <c r="BS440" s="110"/>
      <c r="BT440" s="110"/>
      <c r="BU440" s="110"/>
      <c r="BV440" s="110"/>
      <c r="BW440" s="110"/>
      <c r="BX440" s="110"/>
      <c r="BY440" s="110"/>
      <c r="BZ440" s="110"/>
      <c r="CA440" s="110"/>
      <c r="CB440" s="109"/>
      <c r="CC440" s="109"/>
      <c r="CD440" s="110"/>
    </row>
    <row r="441" spans="1:82" s="116" customFormat="1" ht="15" x14ac:dyDescent="0.25">
      <c r="A441" s="125">
        <v>953</v>
      </c>
      <c r="B441" s="125" t="s">
        <v>5767</v>
      </c>
      <c r="C441" s="114" t="s">
        <v>564</v>
      </c>
      <c r="D441" s="109" t="s">
        <v>81</v>
      </c>
      <c r="E441" s="111" t="s">
        <v>6811</v>
      </c>
      <c r="F441" s="127">
        <v>45931</v>
      </c>
      <c r="G441" s="127">
        <v>45931</v>
      </c>
      <c r="H441" s="113">
        <f t="shared" si="42"/>
        <v>46021</v>
      </c>
      <c r="I441" s="113" t="s">
        <v>290</v>
      </c>
      <c r="J441" s="125" t="s">
        <v>5757</v>
      </c>
      <c r="K441" s="125" t="s">
        <v>5410</v>
      </c>
      <c r="L441" s="125" t="s">
        <v>5758</v>
      </c>
      <c r="M441" s="128" t="str">
        <f t="shared" si="37"/>
        <v>CUEVAS  GUILLEN SANTIAGO DANIEL</v>
      </c>
      <c r="N441" s="128" t="s">
        <v>7226</v>
      </c>
      <c r="O441" s="128" t="s">
        <v>5759</v>
      </c>
      <c r="P441" s="125" t="s">
        <v>1953</v>
      </c>
      <c r="Q441" s="112">
        <v>38426</v>
      </c>
      <c r="R441" s="125">
        <f t="shared" si="38"/>
        <v>15</v>
      </c>
      <c r="S441" s="125">
        <f t="shared" si="39"/>
        <v>3</v>
      </c>
      <c r="T441" s="125">
        <f t="shared" si="40"/>
        <v>2005</v>
      </c>
      <c r="U441" s="142">
        <f t="shared" ca="1" si="41"/>
        <v>21.591780821917808</v>
      </c>
      <c r="V441" s="128" t="s">
        <v>389</v>
      </c>
      <c r="W441" s="128" t="s">
        <v>5760</v>
      </c>
      <c r="X441" s="125" t="s">
        <v>454</v>
      </c>
      <c r="Y441" s="125" t="s">
        <v>115</v>
      </c>
      <c r="Z441" s="109" t="s">
        <v>84</v>
      </c>
      <c r="AA441" s="109" t="s">
        <v>532</v>
      </c>
      <c r="AB441" s="125" t="s">
        <v>574</v>
      </c>
      <c r="AC441" s="125" t="s">
        <v>313</v>
      </c>
      <c r="AD441" s="125" t="s">
        <v>314</v>
      </c>
      <c r="AE441" s="125">
        <v>90</v>
      </c>
      <c r="AF441" s="114" t="s">
        <v>710</v>
      </c>
      <c r="AG441" s="125" t="s">
        <v>290</v>
      </c>
      <c r="AH441" s="110" t="s">
        <v>575</v>
      </c>
      <c r="AI441" s="125" t="s">
        <v>317</v>
      </c>
      <c r="AJ441" s="125" t="s">
        <v>318</v>
      </c>
      <c r="AK441" s="110" t="s">
        <v>5761</v>
      </c>
      <c r="AL441" s="97" t="s">
        <v>5762</v>
      </c>
      <c r="AM441" s="110" t="s">
        <v>5763</v>
      </c>
      <c r="AN441" s="110" t="s">
        <v>325</v>
      </c>
      <c r="AO441" s="110" t="s">
        <v>398</v>
      </c>
      <c r="AP441" s="110" t="s">
        <v>398</v>
      </c>
      <c r="AQ441" s="110" t="s">
        <v>5764</v>
      </c>
      <c r="AR441" s="125">
        <v>4376</v>
      </c>
      <c r="AS441" s="125">
        <v>16</v>
      </c>
      <c r="AT441" s="110" t="s">
        <v>1132</v>
      </c>
      <c r="AU441" s="110" t="s">
        <v>583</v>
      </c>
      <c r="AV441" s="125">
        <v>45040</v>
      </c>
      <c r="AW441" s="125" t="s">
        <v>3416</v>
      </c>
      <c r="AX441" s="110" t="s">
        <v>329</v>
      </c>
      <c r="AY441" s="125" t="s">
        <v>3416</v>
      </c>
      <c r="AZ441" s="110"/>
      <c r="BA441" s="110"/>
      <c r="BB441" s="138"/>
      <c r="BC441" s="110"/>
      <c r="BD441" s="110" t="s">
        <v>5765</v>
      </c>
      <c r="BE441" s="110" t="s">
        <v>325</v>
      </c>
      <c r="BF441" s="110" t="s">
        <v>5766</v>
      </c>
      <c r="BG441" s="125" t="s">
        <v>333</v>
      </c>
      <c r="BH441" s="110" t="s">
        <v>334</v>
      </c>
      <c r="BI441" s="110">
        <v>0</v>
      </c>
      <c r="BJ441" s="110"/>
      <c r="BK441" s="110"/>
      <c r="BL441" s="110"/>
      <c r="BM441" s="110"/>
      <c r="BN441" s="110"/>
      <c r="BO441" s="110"/>
      <c r="BP441" s="110"/>
      <c r="BQ441" s="110"/>
      <c r="BR441" s="110"/>
      <c r="BS441" s="110"/>
      <c r="BT441" s="110"/>
      <c r="BU441" s="110"/>
      <c r="BV441" s="110"/>
      <c r="BW441" s="110"/>
      <c r="BX441" s="110"/>
      <c r="BY441" s="110"/>
      <c r="BZ441" s="110"/>
      <c r="CA441" s="110"/>
      <c r="CB441" s="109"/>
      <c r="CC441" s="109"/>
      <c r="CD441" s="110"/>
    </row>
    <row r="442" spans="1:82" s="116" customFormat="1" ht="15" x14ac:dyDescent="0.25">
      <c r="A442" s="125">
        <v>954</v>
      </c>
      <c r="B442" s="125" t="s">
        <v>5768</v>
      </c>
      <c r="C442" s="110" t="s">
        <v>363</v>
      </c>
      <c r="D442" s="109" t="s">
        <v>7242</v>
      </c>
      <c r="E442" s="125">
        <v>41058909189</v>
      </c>
      <c r="F442" s="127">
        <v>45939</v>
      </c>
      <c r="G442" s="127">
        <v>45940</v>
      </c>
      <c r="H442" s="113">
        <f t="shared" si="42"/>
        <v>46030</v>
      </c>
      <c r="I442" s="113" t="s">
        <v>290</v>
      </c>
      <c r="J442" s="125" t="s">
        <v>384</v>
      </c>
      <c r="K442" s="125" t="s">
        <v>1004</v>
      </c>
      <c r="L442" s="125" t="s">
        <v>1309</v>
      </c>
      <c r="M442" s="128" t="str">
        <f t="shared" si="37"/>
        <v>SANCHEZ JIMENEZ JOSE ANTONIO</v>
      </c>
      <c r="N442" s="128" t="s">
        <v>5769</v>
      </c>
      <c r="O442" s="110" t="s">
        <v>5770</v>
      </c>
      <c r="P442" s="125" t="s">
        <v>1953</v>
      </c>
      <c r="Q442" s="127">
        <v>32638</v>
      </c>
      <c r="R442" s="125">
        <f t="shared" si="38"/>
        <v>10</v>
      </c>
      <c r="S442" s="125">
        <f t="shared" si="39"/>
        <v>5</v>
      </c>
      <c r="T442" s="125">
        <f t="shared" si="40"/>
        <v>1989</v>
      </c>
      <c r="U442" s="142">
        <f t="shared" ca="1" si="41"/>
        <v>37.449315068493149</v>
      </c>
      <c r="V442" s="128" t="s">
        <v>452</v>
      </c>
      <c r="W442" s="128" t="s">
        <v>5771</v>
      </c>
      <c r="X442" s="125" t="s">
        <v>472</v>
      </c>
      <c r="Y442" s="125" t="s">
        <v>5543</v>
      </c>
      <c r="Z442" s="125" t="s">
        <v>88</v>
      </c>
      <c r="AA442" s="125" t="s">
        <v>392</v>
      </c>
      <c r="AB442" s="125" t="s">
        <v>374</v>
      </c>
      <c r="AC442" s="125" t="s">
        <v>313</v>
      </c>
      <c r="AD442" s="125" t="s">
        <v>314</v>
      </c>
      <c r="AE442" s="125">
        <v>90</v>
      </c>
      <c r="AF442" s="114" t="s">
        <v>375</v>
      </c>
      <c r="AG442" s="125" t="s">
        <v>290</v>
      </c>
      <c r="AH442" s="110" t="s">
        <v>473</v>
      </c>
      <c r="AI442" s="109" t="s">
        <v>317</v>
      </c>
      <c r="AJ442" s="109" t="s">
        <v>318</v>
      </c>
      <c r="AK442" s="110" t="s">
        <v>5772</v>
      </c>
      <c r="AL442" s="97" t="s">
        <v>5773</v>
      </c>
      <c r="AM442" s="110" t="s">
        <v>5774</v>
      </c>
      <c r="AN442" s="110" t="s">
        <v>478</v>
      </c>
      <c r="AO442" s="110" t="s">
        <v>398</v>
      </c>
      <c r="AP442" s="110" t="s">
        <v>398</v>
      </c>
      <c r="AQ442" s="110" t="s">
        <v>5775</v>
      </c>
      <c r="AR442" s="125">
        <v>105</v>
      </c>
      <c r="AS442" s="125" t="s">
        <v>581</v>
      </c>
      <c r="AT442" s="110" t="s">
        <v>483</v>
      </c>
      <c r="AU442" s="110" t="s">
        <v>483</v>
      </c>
      <c r="AV442" s="125">
        <v>78136</v>
      </c>
      <c r="AW442" s="125" t="s">
        <v>3416</v>
      </c>
      <c r="AX442" s="110" t="s">
        <v>329</v>
      </c>
      <c r="AY442" s="125" t="s">
        <v>3416</v>
      </c>
      <c r="AZ442" s="110"/>
      <c r="BA442" s="110"/>
      <c r="BB442" s="138"/>
      <c r="BC442" s="110"/>
      <c r="BD442" s="110" t="s">
        <v>5774</v>
      </c>
      <c r="BE442" s="110" t="s">
        <v>478</v>
      </c>
      <c r="BF442" s="110">
        <v>4447052385</v>
      </c>
      <c r="BG442" s="125"/>
      <c r="BH442" s="110"/>
      <c r="BI442" s="110">
        <v>1</v>
      </c>
      <c r="BJ442" s="110"/>
      <c r="BK442" s="109" t="s">
        <v>3911</v>
      </c>
      <c r="BL442" s="110">
        <v>8</v>
      </c>
      <c r="BM442" s="110"/>
      <c r="BN442" s="110"/>
      <c r="BO442" s="110"/>
      <c r="BP442" s="110"/>
      <c r="BQ442" s="110"/>
      <c r="BR442" s="110"/>
      <c r="BS442" s="110"/>
      <c r="BT442" s="110"/>
      <c r="BU442" s="110"/>
      <c r="BV442" s="110"/>
      <c r="BW442" s="110"/>
      <c r="BX442" s="110"/>
      <c r="BY442" s="110"/>
      <c r="BZ442" s="110"/>
      <c r="CA442" s="110"/>
      <c r="CB442" s="109"/>
      <c r="CC442" s="109"/>
      <c r="CD442" s="110"/>
    </row>
    <row r="443" spans="1:82" ht="15" x14ac:dyDescent="0.25">
      <c r="A443" s="77">
        <v>955</v>
      </c>
      <c r="B443" s="77" t="s">
        <v>5776</v>
      </c>
      <c r="C443" s="78" t="s">
        <v>363</v>
      </c>
      <c r="D443" s="12" t="s">
        <v>249</v>
      </c>
      <c r="E443" s="77">
        <v>51987800243</v>
      </c>
      <c r="F443" s="79">
        <v>45943</v>
      </c>
      <c r="G443" s="79">
        <v>45943</v>
      </c>
      <c r="H443" s="101">
        <f t="shared" si="42"/>
        <v>46033</v>
      </c>
      <c r="I443" s="101" t="s">
        <v>290</v>
      </c>
      <c r="J443" s="77" t="s">
        <v>5777</v>
      </c>
      <c r="K443" s="77" t="s">
        <v>5569</v>
      </c>
      <c r="L443" s="77" t="s">
        <v>5778</v>
      </c>
      <c r="M443" s="102" t="str">
        <f t="shared" si="37"/>
        <v xml:space="preserve">LOMELI HUERTA  ADRIAN GERARDO </v>
      </c>
      <c r="N443" s="102" t="s">
        <v>5779</v>
      </c>
      <c r="O443" s="78" t="s">
        <v>5780</v>
      </c>
      <c r="P443" s="77" t="s">
        <v>1953</v>
      </c>
      <c r="Q443" s="79">
        <v>28616</v>
      </c>
      <c r="R443" s="77">
        <f t="shared" si="38"/>
        <v>6</v>
      </c>
      <c r="S443" s="77">
        <f t="shared" si="39"/>
        <v>5</v>
      </c>
      <c r="T443" s="77">
        <f t="shared" si="40"/>
        <v>1978</v>
      </c>
      <c r="U443" s="103">
        <f t="shared" ca="1" si="41"/>
        <v>48.468493150684928</v>
      </c>
      <c r="V443" s="102" t="s">
        <v>342</v>
      </c>
      <c r="W443" s="102" t="s">
        <v>5781</v>
      </c>
      <c r="X443" s="77" t="s">
        <v>454</v>
      </c>
      <c r="Y443" s="77" t="s">
        <v>391</v>
      </c>
      <c r="Z443" s="12" t="s">
        <v>103</v>
      </c>
      <c r="AA443" s="12" t="s">
        <v>392</v>
      </c>
      <c r="AB443" s="12" t="s">
        <v>2285</v>
      </c>
      <c r="AC443" s="77" t="s">
        <v>313</v>
      </c>
      <c r="AD443" s="77" t="s">
        <v>314</v>
      </c>
      <c r="AE443" s="77">
        <v>90</v>
      </c>
      <c r="AF443" s="13" t="s">
        <v>375</v>
      </c>
      <c r="AG443" s="12" t="s">
        <v>290</v>
      </c>
      <c r="AH443" s="78" t="s">
        <v>473</v>
      </c>
      <c r="AI443" s="12" t="s">
        <v>317</v>
      </c>
      <c r="AJ443" s="12" t="s">
        <v>318</v>
      </c>
      <c r="AK443" s="78" t="s">
        <v>5782</v>
      </c>
      <c r="AL443" s="93" t="s">
        <v>5783</v>
      </c>
      <c r="AM443" s="78" t="s">
        <v>5784</v>
      </c>
      <c r="AN443" s="78" t="s">
        <v>381</v>
      </c>
      <c r="AO443" s="78" t="s">
        <v>398</v>
      </c>
      <c r="AP443" s="78" t="s">
        <v>398</v>
      </c>
      <c r="AQ443" s="78" t="s">
        <v>5785</v>
      </c>
      <c r="AR443" s="77" t="s">
        <v>5786</v>
      </c>
      <c r="AS443" s="77" t="s">
        <v>581</v>
      </c>
      <c r="AT443" s="78" t="s">
        <v>5787</v>
      </c>
      <c r="AU443" s="78" t="s">
        <v>1066</v>
      </c>
      <c r="AV443" s="77">
        <v>52000</v>
      </c>
      <c r="AW443" s="77" t="s">
        <v>3416</v>
      </c>
      <c r="AX443" s="78" t="s">
        <v>329</v>
      </c>
      <c r="AY443" s="125" t="s">
        <v>3416</v>
      </c>
      <c r="AZ443" s="78"/>
      <c r="BA443" s="78"/>
      <c r="BB443" s="137"/>
      <c r="BC443" s="78"/>
      <c r="BD443" s="78" t="s">
        <v>5784</v>
      </c>
      <c r="BE443" s="78" t="s">
        <v>381</v>
      </c>
      <c r="BF443" s="78" t="s">
        <v>5788</v>
      </c>
      <c r="BG443" s="77" t="s">
        <v>1406</v>
      </c>
      <c r="BH443" s="78"/>
      <c r="BI443" s="78">
        <v>3</v>
      </c>
      <c r="BJ443" s="78"/>
      <c r="BK443" s="12" t="s">
        <v>3911</v>
      </c>
      <c r="BL443" s="78">
        <v>26</v>
      </c>
      <c r="BM443" s="78"/>
      <c r="BN443" s="78" t="s">
        <v>571</v>
      </c>
      <c r="BO443" s="78">
        <v>24</v>
      </c>
      <c r="BP443" s="78"/>
      <c r="BQ443" s="78" t="s">
        <v>571</v>
      </c>
      <c r="BR443" s="78">
        <v>22</v>
      </c>
      <c r="BS443" s="78"/>
      <c r="BT443" s="78"/>
      <c r="BU443" s="78"/>
      <c r="BV443" s="78"/>
      <c r="BW443" s="78"/>
      <c r="BX443" s="78"/>
      <c r="BY443" s="78"/>
      <c r="BZ443" s="78"/>
      <c r="CA443" s="78"/>
      <c r="CB443" s="12"/>
      <c r="CC443" s="12"/>
      <c r="CD443" s="78"/>
    </row>
    <row r="444" spans="1:82" s="116" customFormat="1" ht="15" x14ac:dyDescent="0.25">
      <c r="A444" s="125">
        <v>956</v>
      </c>
      <c r="B444" s="125" t="s">
        <v>5789</v>
      </c>
      <c r="C444" s="110" t="s">
        <v>363</v>
      </c>
      <c r="D444" s="109" t="s">
        <v>7242</v>
      </c>
      <c r="E444" s="125">
        <v>41806326777</v>
      </c>
      <c r="F444" s="127">
        <v>45943</v>
      </c>
      <c r="G444" s="127">
        <v>45943</v>
      </c>
      <c r="H444" s="113">
        <f t="shared" si="42"/>
        <v>46033</v>
      </c>
      <c r="I444" s="113" t="s">
        <v>290</v>
      </c>
      <c r="J444" s="125" t="s">
        <v>5790</v>
      </c>
      <c r="K444" s="125" t="s">
        <v>4480</v>
      </c>
      <c r="L444" s="125" t="s">
        <v>5791</v>
      </c>
      <c r="M444" s="128" t="str">
        <f t="shared" si="37"/>
        <v>TAVERA DE LA ROSA JOSE CRUZ</v>
      </c>
      <c r="N444" s="128" t="s">
        <v>5792</v>
      </c>
      <c r="O444" s="110" t="s">
        <v>5793</v>
      </c>
      <c r="P444" s="125" t="s">
        <v>1953</v>
      </c>
      <c r="Q444" s="127">
        <v>23135</v>
      </c>
      <c r="R444" s="125">
        <f t="shared" si="38"/>
        <v>4</v>
      </c>
      <c r="S444" s="125">
        <f t="shared" si="39"/>
        <v>5</v>
      </c>
      <c r="T444" s="125">
        <f t="shared" si="40"/>
        <v>1963</v>
      </c>
      <c r="U444" s="142">
        <f t="shared" ca="1" si="41"/>
        <v>63.484931506849314</v>
      </c>
      <c r="V444" s="128" t="s">
        <v>1959</v>
      </c>
      <c r="W444" s="128" t="s">
        <v>5794</v>
      </c>
      <c r="X444" s="125" t="s">
        <v>5795</v>
      </c>
      <c r="Y444" s="125" t="s">
        <v>391</v>
      </c>
      <c r="Z444" s="125" t="s">
        <v>88</v>
      </c>
      <c r="AA444" s="125" t="s">
        <v>392</v>
      </c>
      <c r="AB444" s="125" t="s">
        <v>374</v>
      </c>
      <c r="AC444" s="125" t="s">
        <v>313</v>
      </c>
      <c r="AD444" s="125" t="s">
        <v>314</v>
      </c>
      <c r="AE444" s="125">
        <v>90</v>
      </c>
      <c r="AF444" s="114" t="s">
        <v>375</v>
      </c>
      <c r="AG444" s="125" t="s">
        <v>290</v>
      </c>
      <c r="AH444" s="110" t="s">
        <v>473</v>
      </c>
      <c r="AI444" s="109" t="s">
        <v>317</v>
      </c>
      <c r="AJ444" s="109" t="s">
        <v>318</v>
      </c>
      <c r="AK444" s="110" t="s">
        <v>5796</v>
      </c>
      <c r="AL444" s="97" t="s">
        <v>5797</v>
      </c>
      <c r="AM444" s="110" t="s">
        <v>5798</v>
      </c>
      <c r="AN444" s="110" t="s">
        <v>478</v>
      </c>
      <c r="AO444" s="110"/>
      <c r="AP444" s="110"/>
      <c r="AQ444" s="110" t="s">
        <v>5799</v>
      </c>
      <c r="AR444" s="125">
        <v>99</v>
      </c>
      <c r="AS444" s="125" t="s">
        <v>581</v>
      </c>
      <c r="AT444" s="110" t="s">
        <v>483</v>
      </c>
      <c r="AU444" s="110" t="s">
        <v>483</v>
      </c>
      <c r="AV444" s="125">
        <v>78140</v>
      </c>
      <c r="AW444" s="125" t="s">
        <v>3416</v>
      </c>
      <c r="AX444" s="110" t="s">
        <v>329</v>
      </c>
      <c r="AY444" s="125" t="s">
        <v>3416</v>
      </c>
      <c r="AZ444" s="110"/>
      <c r="BA444" s="110"/>
      <c r="BB444" s="138"/>
      <c r="BC444" s="110"/>
      <c r="BD444" s="110" t="s">
        <v>5800</v>
      </c>
      <c r="BE444" s="110" t="s">
        <v>478</v>
      </c>
      <c r="BF444" s="110" t="s">
        <v>5801</v>
      </c>
      <c r="BG444" s="125" t="s">
        <v>333</v>
      </c>
      <c r="BH444" s="110" t="s">
        <v>334</v>
      </c>
      <c r="BI444" s="110">
        <v>1</v>
      </c>
      <c r="BJ444" s="110"/>
      <c r="BK444" s="109" t="s">
        <v>571</v>
      </c>
      <c r="BL444" s="110">
        <v>14</v>
      </c>
      <c r="BM444" s="110"/>
      <c r="BN444" s="110"/>
      <c r="BO444" s="110"/>
      <c r="BP444" s="110"/>
      <c r="BQ444" s="110"/>
      <c r="BR444" s="110"/>
      <c r="BS444" s="110"/>
      <c r="BT444" s="110"/>
      <c r="BU444" s="110"/>
      <c r="BV444" s="110"/>
      <c r="BW444" s="110"/>
      <c r="BX444" s="110"/>
      <c r="BY444" s="110"/>
      <c r="BZ444" s="110"/>
      <c r="CA444" s="110"/>
      <c r="CB444" s="110"/>
      <c r="CC444" s="110"/>
      <c r="CD444" s="110"/>
    </row>
    <row r="445" spans="1:82" ht="15" x14ac:dyDescent="0.25">
      <c r="A445" s="77">
        <v>1149</v>
      </c>
      <c r="B445" s="77" t="s">
        <v>5836</v>
      </c>
      <c r="C445" s="78" t="s">
        <v>299</v>
      </c>
      <c r="D445" s="99" t="s">
        <v>80</v>
      </c>
      <c r="E445" s="77">
        <v>24139821524</v>
      </c>
      <c r="F445" s="79">
        <v>45950</v>
      </c>
      <c r="G445" s="79">
        <v>45950</v>
      </c>
      <c r="H445" s="101">
        <f t="shared" si="42"/>
        <v>46040</v>
      </c>
      <c r="I445" s="101" t="s">
        <v>291</v>
      </c>
      <c r="J445" s="77" t="s">
        <v>5803</v>
      </c>
      <c r="K445" s="77" t="s">
        <v>507</v>
      </c>
      <c r="L445" s="77" t="s">
        <v>5804</v>
      </c>
      <c r="M445" s="102" t="str">
        <f t="shared" si="37"/>
        <v>REGALADO MARTINEZ CRISTOBAL FERNANDO</v>
      </c>
      <c r="N445" s="102" t="s">
        <v>5805</v>
      </c>
      <c r="O445" s="78" t="s">
        <v>5806</v>
      </c>
      <c r="P445" s="77" t="s">
        <v>1953</v>
      </c>
      <c r="Q445" s="79">
        <v>35986</v>
      </c>
      <c r="R445" s="77">
        <f t="shared" si="38"/>
        <v>10</v>
      </c>
      <c r="S445" s="77">
        <f t="shared" si="39"/>
        <v>7</v>
      </c>
      <c r="T445" s="77">
        <f t="shared" si="40"/>
        <v>1998</v>
      </c>
      <c r="U445" s="103">
        <f t="shared" ca="1" si="41"/>
        <v>28.276712328767122</v>
      </c>
      <c r="V445" s="102" t="s">
        <v>452</v>
      </c>
      <c r="W445" s="102" t="s">
        <v>5807</v>
      </c>
      <c r="X445" s="77" t="s">
        <v>5808</v>
      </c>
      <c r="Y445" s="77" t="s">
        <v>5809</v>
      </c>
      <c r="Z445" s="12" t="s">
        <v>196</v>
      </c>
      <c r="AA445" s="12" t="s">
        <v>636</v>
      </c>
      <c r="AB445" s="12" t="s">
        <v>2280</v>
      </c>
      <c r="AC445" s="77" t="s">
        <v>313</v>
      </c>
      <c r="AD445" s="77" t="s">
        <v>314</v>
      </c>
      <c r="AE445" s="77">
        <v>90</v>
      </c>
      <c r="AF445" s="13" t="s">
        <v>315</v>
      </c>
      <c r="AG445" s="12" t="s">
        <v>291</v>
      </c>
      <c r="AH445" s="78" t="s">
        <v>316</v>
      </c>
      <c r="AI445" s="77" t="s">
        <v>317</v>
      </c>
      <c r="AJ445" s="77" t="s">
        <v>5229</v>
      </c>
      <c r="AK445" s="78" t="s">
        <v>5810</v>
      </c>
      <c r="AL445" s="93" t="s">
        <v>5811</v>
      </c>
      <c r="AM445" s="78" t="s">
        <v>5812</v>
      </c>
      <c r="AN445" s="78" t="s">
        <v>478</v>
      </c>
      <c r="AO445" s="78" t="s">
        <v>398</v>
      </c>
      <c r="AP445" s="78" t="s">
        <v>398</v>
      </c>
      <c r="AQ445" s="78" t="s">
        <v>5813</v>
      </c>
      <c r="AR445" s="77">
        <v>166</v>
      </c>
      <c r="AS445" s="77" t="s">
        <v>581</v>
      </c>
      <c r="AT445" s="78" t="s">
        <v>483</v>
      </c>
      <c r="AU445" s="78" t="s">
        <v>483</v>
      </c>
      <c r="AV445" s="77">
        <v>78049</v>
      </c>
      <c r="AW445" s="77" t="s">
        <v>3416</v>
      </c>
      <c r="AX445" s="78" t="s">
        <v>329</v>
      </c>
      <c r="AY445" s="125" t="s">
        <v>3416</v>
      </c>
      <c r="AZ445" s="78"/>
      <c r="BA445" s="78"/>
      <c r="BB445" s="137"/>
      <c r="BC445" s="78"/>
      <c r="BD445" s="78" t="s">
        <v>5812</v>
      </c>
      <c r="BE445" s="78" t="s">
        <v>478</v>
      </c>
      <c r="BF445" s="78" t="s">
        <v>5814</v>
      </c>
      <c r="BG445" s="77" t="s">
        <v>488</v>
      </c>
      <c r="BH445" s="78" t="s">
        <v>334</v>
      </c>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row>
    <row r="446" spans="1:82" s="116" customFormat="1" ht="15" x14ac:dyDescent="0.25">
      <c r="A446" s="125">
        <v>957</v>
      </c>
      <c r="B446" s="125" t="s">
        <v>5838</v>
      </c>
      <c r="C446" s="114" t="s">
        <v>564</v>
      </c>
      <c r="D446" s="109" t="s">
        <v>81</v>
      </c>
      <c r="E446" s="134" t="s">
        <v>5815</v>
      </c>
      <c r="F446" s="127">
        <v>45950</v>
      </c>
      <c r="G446" s="127">
        <v>45950</v>
      </c>
      <c r="H446" s="113">
        <f t="shared" si="42"/>
        <v>46040</v>
      </c>
      <c r="I446" s="113" t="s">
        <v>290</v>
      </c>
      <c r="J446" s="125" t="s">
        <v>5816</v>
      </c>
      <c r="K446" s="125" t="s">
        <v>404</v>
      </c>
      <c r="L446" s="125" t="s">
        <v>5817</v>
      </c>
      <c r="M446" s="128" t="str">
        <f t="shared" si="37"/>
        <v>COSME GOMEZ DOSITEO</v>
      </c>
      <c r="N446" s="128" t="s">
        <v>5818</v>
      </c>
      <c r="O446" s="110" t="s">
        <v>5819</v>
      </c>
      <c r="P446" s="125" t="s">
        <v>1953</v>
      </c>
      <c r="Q446" s="127">
        <v>31151</v>
      </c>
      <c r="R446" s="125">
        <f t="shared" si="38"/>
        <v>14</v>
      </c>
      <c r="S446" s="125">
        <f t="shared" si="39"/>
        <v>4</v>
      </c>
      <c r="T446" s="125">
        <f t="shared" si="40"/>
        <v>1985</v>
      </c>
      <c r="U446" s="142">
        <f t="shared" ca="1" si="41"/>
        <v>41.523287671232879</v>
      </c>
      <c r="V446" s="128" t="s">
        <v>342</v>
      </c>
      <c r="W446" s="128" t="s">
        <v>5820</v>
      </c>
      <c r="X446" s="125" t="s">
        <v>454</v>
      </c>
      <c r="Y446" s="125" t="s">
        <v>1498</v>
      </c>
      <c r="Z446" s="109" t="s">
        <v>84</v>
      </c>
      <c r="AA446" s="109" t="s">
        <v>532</v>
      </c>
      <c r="AB446" s="125" t="s">
        <v>574</v>
      </c>
      <c r="AC446" s="125" t="s">
        <v>313</v>
      </c>
      <c r="AD446" s="125" t="s">
        <v>314</v>
      </c>
      <c r="AE446" s="125">
        <v>90</v>
      </c>
      <c r="AF446" s="114" t="s">
        <v>710</v>
      </c>
      <c r="AG446" s="125" t="s">
        <v>290</v>
      </c>
      <c r="AH446" s="110" t="s">
        <v>575</v>
      </c>
      <c r="AI446" s="125" t="s">
        <v>317</v>
      </c>
      <c r="AJ446" s="125" t="s">
        <v>318</v>
      </c>
      <c r="AK446" s="110" t="s">
        <v>5821</v>
      </c>
      <c r="AL446" s="97" t="s">
        <v>5822</v>
      </c>
      <c r="AM446" s="110" t="s">
        <v>5823</v>
      </c>
      <c r="AN446" s="110" t="s">
        <v>381</v>
      </c>
      <c r="AO446" s="110" t="s">
        <v>398</v>
      </c>
      <c r="AP446" s="110" t="s">
        <v>398</v>
      </c>
      <c r="AQ446" s="110" t="s">
        <v>5824</v>
      </c>
      <c r="AR446" s="125">
        <v>48</v>
      </c>
      <c r="AS446" s="125" t="s">
        <v>581</v>
      </c>
      <c r="AT446" s="110" t="s">
        <v>1375</v>
      </c>
      <c r="AU446" s="110" t="s">
        <v>681</v>
      </c>
      <c r="AV446" s="125">
        <v>2770</v>
      </c>
      <c r="AW446" s="125" t="s">
        <v>3416</v>
      </c>
      <c r="AX446" s="110" t="s">
        <v>329</v>
      </c>
      <c r="AY446" s="125" t="s">
        <v>3416</v>
      </c>
      <c r="AZ446" s="110"/>
      <c r="BA446" s="110"/>
      <c r="BB446" s="138"/>
      <c r="BC446" s="110"/>
      <c r="BD446" s="110" t="s">
        <v>5823</v>
      </c>
      <c r="BE446" s="110" t="s">
        <v>381</v>
      </c>
      <c r="BF446" s="110" t="s">
        <v>5825</v>
      </c>
      <c r="BG446" s="125" t="s">
        <v>333</v>
      </c>
      <c r="BH446" s="110" t="s">
        <v>334</v>
      </c>
      <c r="BI446" s="110">
        <v>2</v>
      </c>
      <c r="BJ446" s="110"/>
      <c r="BK446" s="110" t="s">
        <v>571</v>
      </c>
      <c r="BL446" s="110">
        <v>6</v>
      </c>
      <c r="BM446" s="110"/>
      <c r="BN446" s="109" t="s">
        <v>3911</v>
      </c>
      <c r="BO446" s="110">
        <v>2</v>
      </c>
      <c r="BP446" s="110"/>
      <c r="BQ446" s="110"/>
      <c r="BR446" s="110"/>
      <c r="BS446" s="110"/>
      <c r="BT446" s="110"/>
      <c r="BU446" s="110"/>
      <c r="BV446" s="110"/>
      <c r="BW446" s="110"/>
      <c r="BX446" s="110"/>
      <c r="BY446" s="110"/>
      <c r="BZ446" s="110"/>
      <c r="CA446" s="110"/>
      <c r="CB446" s="110"/>
      <c r="CC446" s="110"/>
      <c r="CD446" s="110"/>
    </row>
    <row r="447" spans="1:82" ht="15" x14ac:dyDescent="0.25">
      <c r="A447" s="77">
        <v>234</v>
      </c>
      <c r="B447" s="77" t="s">
        <v>5837</v>
      </c>
      <c r="C447" s="78" t="s">
        <v>299</v>
      </c>
      <c r="D447" s="99" t="s">
        <v>80</v>
      </c>
      <c r="E447" s="99" t="s">
        <v>6733</v>
      </c>
      <c r="F447" s="79">
        <v>45950</v>
      </c>
      <c r="G447" s="79">
        <v>45950</v>
      </c>
      <c r="H447" s="101">
        <f t="shared" si="42"/>
        <v>46040</v>
      </c>
      <c r="I447" s="101" t="s">
        <v>291</v>
      </c>
      <c r="J447" s="77" t="s">
        <v>649</v>
      </c>
      <c r="K447" s="77" t="s">
        <v>5826</v>
      </c>
      <c r="L447" s="77" t="s">
        <v>706</v>
      </c>
      <c r="M447" s="102" t="str">
        <f t="shared" si="37"/>
        <v>ESCALANTE PALACIOS MIGUEL ANGEL</v>
      </c>
      <c r="N447" s="102" t="s">
        <v>7136</v>
      </c>
      <c r="O447" s="102" t="s">
        <v>5827</v>
      </c>
      <c r="P447" s="77" t="s">
        <v>1953</v>
      </c>
      <c r="Q447" s="100">
        <v>33087</v>
      </c>
      <c r="R447" s="77">
        <f t="shared" si="38"/>
        <v>2</v>
      </c>
      <c r="S447" s="77">
        <f t="shared" si="39"/>
        <v>8</v>
      </c>
      <c r="T447" s="77">
        <f t="shared" si="40"/>
        <v>1990</v>
      </c>
      <c r="U447" s="103">
        <f t="shared" ca="1" si="41"/>
        <v>36.219178082191782</v>
      </c>
      <c r="V447" s="102" t="s">
        <v>389</v>
      </c>
      <c r="W447" s="102" t="s">
        <v>5828</v>
      </c>
      <c r="X447" s="77" t="s">
        <v>5808</v>
      </c>
      <c r="Y447" s="77" t="s">
        <v>5829</v>
      </c>
      <c r="Z447" s="12" t="s">
        <v>209</v>
      </c>
      <c r="AA447" s="12">
        <v>0</v>
      </c>
      <c r="AB447" s="12">
        <v>0</v>
      </c>
      <c r="AC447" s="77" t="s">
        <v>313</v>
      </c>
      <c r="AD447" s="77" t="s">
        <v>314</v>
      </c>
      <c r="AE447" s="77">
        <v>90</v>
      </c>
      <c r="AF447" s="13" t="s">
        <v>315</v>
      </c>
      <c r="AG447" s="12" t="s">
        <v>291</v>
      </c>
      <c r="AH447" s="78" t="s">
        <v>316</v>
      </c>
      <c r="AI447" s="77" t="s">
        <v>317</v>
      </c>
      <c r="AJ447" s="77" t="s">
        <v>5229</v>
      </c>
      <c r="AK447" s="78" t="s">
        <v>5830</v>
      </c>
      <c r="AL447" s="93" t="s">
        <v>5831</v>
      </c>
      <c r="AM447" s="78" t="s">
        <v>5832</v>
      </c>
      <c r="AN447" s="78" t="s">
        <v>401</v>
      </c>
      <c r="AO447" s="78" t="s">
        <v>398</v>
      </c>
      <c r="AP447" s="78" t="s">
        <v>398</v>
      </c>
      <c r="AQ447" s="78" t="s">
        <v>5833</v>
      </c>
      <c r="AR447" s="77">
        <v>3527</v>
      </c>
      <c r="AS447" s="77">
        <v>902</v>
      </c>
      <c r="AT447" s="78" t="s">
        <v>3381</v>
      </c>
      <c r="AU447" s="78" t="s">
        <v>939</v>
      </c>
      <c r="AV447" s="77">
        <v>58270</v>
      </c>
      <c r="AW447" s="77" t="s">
        <v>3416</v>
      </c>
      <c r="AX447" s="78" t="s">
        <v>329</v>
      </c>
      <c r="AY447" s="125" t="s">
        <v>3416</v>
      </c>
      <c r="AZ447" s="78"/>
      <c r="BA447" s="78"/>
      <c r="BB447" s="137"/>
      <c r="BC447" s="78"/>
      <c r="BD447" s="78" t="s">
        <v>5834</v>
      </c>
      <c r="BE447" s="78" t="s">
        <v>439</v>
      </c>
      <c r="BF447" s="78" t="s">
        <v>5835</v>
      </c>
      <c r="BG447" s="77" t="s">
        <v>333</v>
      </c>
      <c r="BH447" s="78" t="s">
        <v>334</v>
      </c>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row>
    <row r="448" spans="1:82" s="116" customFormat="1" x14ac:dyDescent="0.2">
      <c r="A448" s="125">
        <v>958</v>
      </c>
      <c r="B448" s="125" t="s">
        <v>5839</v>
      </c>
      <c r="C448" s="110" t="s">
        <v>335</v>
      </c>
      <c r="D448" s="125" t="s">
        <v>161</v>
      </c>
      <c r="E448" s="125">
        <v>18179481728</v>
      </c>
      <c r="F448" s="127">
        <v>45951</v>
      </c>
      <c r="G448" s="127">
        <v>45951</v>
      </c>
      <c r="H448" s="113">
        <f t="shared" si="42"/>
        <v>46041</v>
      </c>
      <c r="I448" s="113" t="s">
        <v>290</v>
      </c>
      <c r="J448" s="125" t="s">
        <v>5840</v>
      </c>
      <c r="K448" s="125" t="s">
        <v>5841</v>
      </c>
      <c r="L448" s="125" t="s">
        <v>883</v>
      </c>
      <c r="M448" s="128" t="str">
        <f t="shared" si="37"/>
        <v>MORALES  BARRON  ARMANDO</v>
      </c>
      <c r="N448" s="128" t="s">
        <v>5842</v>
      </c>
      <c r="O448" s="110" t="s">
        <v>5843</v>
      </c>
      <c r="P448" s="125" t="s">
        <v>1953</v>
      </c>
      <c r="Q448" s="127">
        <v>34515</v>
      </c>
      <c r="R448" s="125">
        <f t="shared" si="38"/>
        <v>30</v>
      </c>
      <c r="S448" s="125">
        <f t="shared" si="39"/>
        <v>6</v>
      </c>
      <c r="T448" s="125">
        <f t="shared" si="40"/>
        <v>1994</v>
      </c>
      <c r="U448" s="142">
        <f t="shared" ca="1" si="41"/>
        <v>32.30684931506849</v>
      </c>
      <c r="V448" s="128" t="s">
        <v>342</v>
      </c>
      <c r="W448" s="128" t="s">
        <v>5844</v>
      </c>
      <c r="X448" s="125" t="s">
        <v>454</v>
      </c>
      <c r="Y448" s="125" t="s">
        <v>5083</v>
      </c>
      <c r="Z448" s="109" t="s">
        <v>164</v>
      </c>
      <c r="AA448" s="109" t="s">
        <v>347</v>
      </c>
      <c r="AB448" s="109" t="s">
        <v>2297</v>
      </c>
      <c r="AC448" s="125" t="s">
        <v>313</v>
      </c>
      <c r="AD448" s="125" t="s">
        <v>314</v>
      </c>
      <c r="AE448" s="125">
        <v>90</v>
      </c>
      <c r="AF448" s="114" t="s">
        <v>2330</v>
      </c>
      <c r="AG448" s="109" t="s">
        <v>290</v>
      </c>
      <c r="AH448" s="110" t="s">
        <v>2343</v>
      </c>
      <c r="AI448" s="109" t="s">
        <v>317</v>
      </c>
      <c r="AJ448" s="109" t="s">
        <v>318</v>
      </c>
      <c r="AK448" s="110" t="s">
        <v>5845</v>
      </c>
      <c r="AL448" s="110"/>
      <c r="AM448" s="110" t="s">
        <v>5846</v>
      </c>
      <c r="AN448" s="110" t="s">
        <v>381</v>
      </c>
      <c r="AO448" s="110" t="s">
        <v>398</v>
      </c>
      <c r="AP448" s="110" t="s">
        <v>398</v>
      </c>
      <c r="AQ448" s="110" t="s">
        <v>5847</v>
      </c>
      <c r="AR448" s="125">
        <v>11</v>
      </c>
      <c r="AS448" s="125" t="s">
        <v>699</v>
      </c>
      <c r="AT448" s="110" t="s">
        <v>1573</v>
      </c>
      <c r="AU448" s="110" t="s">
        <v>483</v>
      </c>
      <c r="AV448" s="125">
        <v>79230</v>
      </c>
      <c r="AW448" s="125" t="s">
        <v>3416</v>
      </c>
      <c r="AX448" s="110" t="s">
        <v>329</v>
      </c>
      <c r="AY448" s="125" t="s">
        <v>3416</v>
      </c>
      <c r="AZ448" s="110"/>
      <c r="BA448" s="110"/>
      <c r="BB448" s="138"/>
      <c r="BC448" s="110"/>
      <c r="BD448" s="110" t="s">
        <v>5846</v>
      </c>
      <c r="BE448" s="110" t="s">
        <v>381</v>
      </c>
      <c r="BF448" s="110">
        <v>4811197471</v>
      </c>
      <c r="BG448" s="125"/>
      <c r="BH448" s="110" t="s">
        <v>334</v>
      </c>
      <c r="BI448" s="110"/>
      <c r="BJ448" s="110"/>
      <c r="BK448" s="110"/>
      <c r="BL448" s="110"/>
      <c r="BM448" s="110"/>
      <c r="BN448" s="110"/>
      <c r="BO448" s="110"/>
      <c r="BP448" s="110"/>
      <c r="BQ448" s="110"/>
      <c r="BR448" s="110"/>
      <c r="BS448" s="110"/>
      <c r="BT448" s="110"/>
      <c r="BU448" s="110"/>
      <c r="BV448" s="110"/>
      <c r="BW448" s="110"/>
      <c r="BX448" s="110"/>
      <c r="BY448" s="110"/>
      <c r="BZ448" s="110"/>
      <c r="CA448" s="110"/>
      <c r="CB448" s="110"/>
      <c r="CC448" s="110"/>
      <c r="CD448" s="110"/>
    </row>
    <row r="449" spans="1:82" ht="15" x14ac:dyDescent="0.25">
      <c r="A449" s="77">
        <v>1154</v>
      </c>
      <c r="B449" s="77" t="s">
        <v>5848</v>
      </c>
      <c r="C449" s="78" t="s">
        <v>299</v>
      </c>
      <c r="D449" s="99" t="s">
        <v>80</v>
      </c>
      <c r="E449" s="77">
        <v>41068633407</v>
      </c>
      <c r="F449" s="79">
        <v>45952</v>
      </c>
      <c r="G449" s="79">
        <v>45952</v>
      </c>
      <c r="H449" s="101">
        <f t="shared" si="42"/>
        <v>46042</v>
      </c>
      <c r="I449" s="101" t="s">
        <v>291</v>
      </c>
      <c r="J449" s="77" t="s">
        <v>1491</v>
      </c>
      <c r="K449" s="77" t="s">
        <v>5849</v>
      </c>
      <c r="L449" s="77" t="s">
        <v>5850</v>
      </c>
      <c r="M449" s="102" t="str">
        <f t="shared" si="37"/>
        <v>DE LA TORRE PEÑA ROSA ANGELICA</v>
      </c>
      <c r="N449" s="102" t="s">
        <v>5851</v>
      </c>
      <c r="O449" s="78" t="s">
        <v>5852</v>
      </c>
      <c r="P449" s="77" t="s">
        <v>1954</v>
      </c>
      <c r="Q449" s="79">
        <v>31554</v>
      </c>
      <c r="R449" s="77">
        <f t="shared" si="38"/>
        <v>22</v>
      </c>
      <c r="S449" s="77">
        <f t="shared" si="39"/>
        <v>5</v>
      </c>
      <c r="T449" s="77">
        <f t="shared" si="40"/>
        <v>1986</v>
      </c>
      <c r="U449" s="103">
        <f t="shared" ca="1" si="41"/>
        <v>40.419178082191777</v>
      </c>
      <c r="V449" s="102" t="s">
        <v>308</v>
      </c>
      <c r="W449" s="102" t="s">
        <v>5853</v>
      </c>
      <c r="X449" s="77" t="s">
        <v>5808</v>
      </c>
      <c r="Y449" s="12" t="s">
        <v>193</v>
      </c>
      <c r="Z449" s="12" t="s">
        <v>170</v>
      </c>
      <c r="AA449" s="12" t="s">
        <v>636</v>
      </c>
      <c r="AB449" s="12" t="s">
        <v>2282</v>
      </c>
      <c r="AC449" s="77" t="s">
        <v>313</v>
      </c>
      <c r="AD449" s="77" t="s">
        <v>314</v>
      </c>
      <c r="AE449" s="77">
        <v>90</v>
      </c>
      <c r="AF449" s="13" t="s">
        <v>315</v>
      </c>
      <c r="AG449" s="12" t="s">
        <v>291</v>
      </c>
      <c r="AH449" s="78" t="s">
        <v>316</v>
      </c>
      <c r="AI449" s="77" t="s">
        <v>317</v>
      </c>
      <c r="AJ449" s="77" t="s">
        <v>5229</v>
      </c>
      <c r="AK449" s="78" t="s">
        <v>5854</v>
      </c>
      <c r="AL449" s="93" t="s">
        <v>5855</v>
      </c>
      <c r="AM449" s="78" t="s">
        <v>5856</v>
      </c>
      <c r="AN449" s="78" t="s">
        <v>776</v>
      </c>
      <c r="AO449" s="78" t="s">
        <v>398</v>
      </c>
      <c r="AP449" s="78" t="s">
        <v>398</v>
      </c>
      <c r="AQ449" s="78" t="s">
        <v>5857</v>
      </c>
      <c r="AR449" s="77">
        <v>1126</v>
      </c>
      <c r="AS449" s="77" t="s">
        <v>581</v>
      </c>
      <c r="AT449" s="78" t="s">
        <v>482</v>
      </c>
      <c r="AU449" s="78" t="s">
        <v>483</v>
      </c>
      <c r="AV449" s="77">
        <v>78436</v>
      </c>
      <c r="AW449" s="77" t="s">
        <v>3416</v>
      </c>
      <c r="AX449" s="78" t="s">
        <v>329</v>
      </c>
      <c r="AY449" s="125" t="s">
        <v>3416</v>
      </c>
      <c r="AZ449" s="78"/>
      <c r="BA449" s="78"/>
      <c r="BB449" s="137"/>
      <c r="BC449" s="78"/>
      <c r="BD449" s="78" t="s">
        <v>5856</v>
      </c>
      <c r="BE449" s="78" t="s">
        <v>776</v>
      </c>
      <c r="BF449" s="78" t="s">
        <v>5858</v>
      </c>
      <c r="BG449" s="77" t="s">
        <v>488</v>
      </c>
      <c r="BH449" s="78" t="s">
        <v>334</v>
      </c>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row>
    <row r="450" spans="1:82" s="116" customFormat="1" ht="15" x14ac:dyDescent="0.25">
      <c r="A450" s="125">
        <v>959</v>
      </c>
      <c r="B450" s="125" t="s">
        <v>5859</v>
      </c>
      <c r="C450" s="110" t="s">
        <v>335</v>
      </c>
      <c r="D450" s="109" t="s">
        <v>228</v>
      </c>
      <c r="E450" s="125">
        <v>41109227813</v>
      </c>
      <c r="F450" s="127">
        <v>45957</v>
      </c>
      <c r="G450" s="127">
        <v>45954</v>
      </c>
      <c r="H450" s="113">
        <f t="shared" si="42"/>
        <v>46044</v>
      </c>
      <c r="I450" s="113" t="s">
        <v>290</v>
      </c>
      <c r="J450" s="125" t="s">
        <v>704</v>
      </c>
      <c r="K450" s="125" t="s">
        <v>4500</v>
      </c>
      <c r="L450" s="125" t="s">
        <v>1717</v>
      </c>
      <c r="M450" s="128" t="str">
        <f t="shared" ref="M450:M521" si="43">_xlfn.CONCAT(J450," ",K450," ",L450)</f>
        <v>GONZALEZ PIÑA JULIO CESAR</v>
      </c>
      <c r="N450" s="128" t="s">
        <v>5860</v>
      </c>
      <c r="O450" s="110" t="s">
        <v>5861</v>
      </c>
      <c r="P450" s="125" t="s">
        <v>1953</v>
      </c>
      <c r="Q450" s="127">
        <v>33815</v>
      </c>
      <c r="R450" s="125">
        <f t="shared" si="38"/>
        <v>30</v>
      </c>
      <c r="S450" s="125">
        <f t="shared" si="39"/>
        <v>7</v>
      </c>
      <c r="T450" s="125">
        <f t="shared" si="40"/>
        <v>1992</v>
      </c>
      <c r="U450" s="142">
        <f t="shared" ca="1" si="41"/>
        <v>34.224657534246575</v>
      </c>
      <c r="V450" s="128" t="s">
        <v>342</v>
      </c>
      <c r="W450" s="128" t="s">
        <v>5862</v>
      </c>
      <c r="X450" s="125" t="s">
        <v>530</v>
      </c>
      <c r="Y450" s="125" t="s">
        <v>617</v>
      </c>
      <c r="Z450" s="125" t="s">
        <v>149</v>
      </c>
      <c r="AA450" s="125" t="s">
        <v>347</v>
      </c>
      <c r="AB450" s="125" t="s">
        <v>2293</v>
      </c>
      <c r="AC450" s="125" t="s">
        <v>313</v>
      </c>
      <c r="AD450" s="125" t="s">
        <v>314</v>
      </c>
      <c r="AE450" s="125">
        <v>90</v>
      </c>
      <c r="AF450" s="114" t="s">
        <v>949</v>
      </c>
      <c r="AG450" s="125" t="s">
        <v>290</v>
      </c>
      <c r="AH450" s="110" t="s">
        <v>950</v>
      </c>
      <c r="AI450" s="125" t="s">
        <v>317</v>
      </c>
      <c r="AJ450" s="125" t="s">
        <v>318</v>
      </c>
      <c r="AK450" s="110" t="s">
        <v>5863</v>
      </c>
      <c r="AL450" s="97" t="s">
        <v>5864</v>
      </c>
      <c r="AM450" s="110" t="s">
        <v>5865</v>
      </c>
      <c r="AN450" s="110" t="s">
        <v>381</v>
      </c>
      <c r="AO450" s="110" t="s">
        <v>398</v>
      </c>
      <c r="AP450" s="110" t="s">
        <v>398</v>
      </c>
      <c r="AQ450" s="110" t="s">
        <v>5824</v>
      </c>
      <c r="AR450" s="125">
        <v>78</v>
      </c>
      <c r="AS450" s="125" t="s">
        <v>983</v>
      </c>
      <c r="AT450" s="110" t="s">
        <v>1375</v>
      </c>
      <c r="AU450" s="110" t="s">
        <v>681</v>
      </c>
      <c r="AV450" s="125">
        <v>2770</v>
      </c>
      <c r="AW450" s="125" t="s">
        <v>3416</v>
      </c>
      <c r="AX450" s="110" t="s">
        <v>329</v>
      </c>
      <c r="AY450" s="125" t="s">
        <v>3416</v>
      </c>
      <c r="AZ450" s="110"/>
      <c r="BA450" s="110"/>
      <c r="BB450" s="138"/>
      <c r="BC450" s="110"/>
      <c r="BD450" s="110" t="s">
        <v>5865</v>
      </c>
      <c r="BE450" s="110" t="s">
        <v>381</v>
      </c>
      <c r="BF450" s="110" t="s">
        <v>5866</v>
      </c>
      <c r="BG450" s="125" t="s">
        <v>333</v>
      </c>
      <c r="BH450" s="110" t="s">
        <v>334</v>
      </c>
      <c r="BI450" s="110">
        <v>2</v>
      </c>
      <c r="BJ450" s="110"/>
      <c r="BK450" s="109" t="s">
        <v>3946</v>
      </c>
      <c r="BL450" s="110">
        <v>16</v>
      </c>
      <c r="BM450" s="110"/>
      <c r="BN450" s="109" t="s">
        <v>3946</v>
      </c>
      <c r="BO450" s="110">
        <v>9</v>
      </c>
      <c r="BP450" s="110"/>
      <c r="BQ450" s="110"/>
      <c r="BR450" s="110"/>
      <c r="BS450" s="110"/>
      <c r="BT450" s="110"/>
      <c r="BU450" s="110"/>
      <c r="BV450" s="110"/>
      <c r="BW450" s="110"/>
      <c r="BX450" s="110"/>
      <c r="BY450" s="110"/>
      <c r="BZ450" s="110"/>
      <c r="CA450" s="110"/>
      <c r="CB450" s="110"/>
      <c r="CC450" s="110"/>
      <c r="CD450" s="110"/>
    </row>
    <row r="451" spans="1:82" ht="15" x14ac:dyDescent="0.25">
      <c r="A451" s="77">
        <v>960</v>
      </c>
      <c r="B451" s="77" t="s">
        <v>5867</v>
      </c>
      <c r="C451" s="78" t="s">
        <v>363</v>
      </c>
      <c r="D451" s="107" t="s">
        <v>86</v>
      </c>
      <c r="E451" s="77">
        <v>23160789253</v>
      </c>
      <c r="F451" s="79">
        <v>45957</v>
      </c>
      <c r="G451" s="79">
        <v>45957</v>
      </c>
      <c r="H451" s="101">
        <f t="shared" si="42"/>
        <v>46047</v>
      </c>
      <c r="I451" s="101" t="s">
        <v>290</v>
      </c>
      <c r="J451" s="77" t="s">
        <v>5868</v>
      </c>
      <c r="K451" s="77" t="s">
        <v>590</v>
      </c>
      <c r="L451" s="77" t="s">
        <v>5869</v>
      </c>
      <c r="M451" s="102" t="str">
        <f t="shared" si="43"/>
        <v>LUNA PEREZ ELIAS FRANCISCO</v>
      </c>
      <c r="N451" s="102" t="s">
        <v>5870</v>
      </c>
      <c r="O451" s="78" t="s">
        <v>5871</v>
      </c>
      <c r="P451" s="77" t="s">
        <v>1953</v>
      </c>
      <c r="Q451" s="79">
        <v>39352</v>
      </c>
      <c r="R451" s="77">
        <f t="shared" ref="R451:R521" si="44">DAY(Q451)</f>
        <v>27</v>
      </c>
      <c r="S451" s="77">
        <f t="shared" ref="S451:S521" si="45">MONTH(Q451)</f>
        <v>9</v>
      </c>
      <c r="T451" s="77">
        <f t="shared" ref="T451:T521" si="46">YEAR(Q451)</f>
        <v>2007</v>
      </c>
      <c r="U451" s="103">
        <f t="shared" ref="U451:U521" ca="1" si="47">(+TODAY()-Q451)/365</f>
        <v>19.054794520547944</v>
      </c>
      <c r="V451" s="102" t="s">
        <v>389</v>
      </c>
      <c r="W451" s="102" t="s">
        <v>5872</v>
      </c>
      <c r="X451" s="77" t="s">
        <v>693</v>
      </c>
      <c r="Y451" s="77" t="s">
        <v>91</v>
      </c>
      <c r="Z451" s="77" t="s">
        <v>816</v>
      </c>
      <c r="AA451" s="77" t="s">
        <v>392</v>
      </c>
      <c r="AB451" s="77" t="s">
        <v>374</v>
      </c>
      <c r="AC451" s="77" t="s">
        <v>313</v>
      </c>
      <c r="AD451" s="77" t="s">
        <v>314</v>
      </c>
      <c r="AE451" s="77">
        <v>90</v>
      </c>
      <c r="AF451" s="102" t="s">
        <v>375</v>
      </c>
      <c r="AG451" s="77" t="s">
        <v>290</v>
      </c>
      <c r="AH451" s="78" t="s">
        <v>473</v>
      </c>
      <c r="AI451" s="12" t="s">
        <v>317</v>
      </c>
      <c r="AJ451" s="12" t="s">
        <v>318</v>
      </c>
      <c r="AK451" s="78" t="s">
        <v>5873</v>
      </c>
      <c r="AL451" s="93" t="s">
        <v>5874</v>
      </c>
      <c r="AM451" s="78" t="s">
        <v>2397</v>
      </c>
      <c r="AN451" s="78" t="s">
        <v>3175</v>
      </c>
      <c r="AO451" s="78" t="s">
        <v>398</v>
      </c>
      <c r="AP451" s="78" t="s">
        <v>398</v>
      </c>
      <c r="AQ451" s="78" t="s">
        <v>5875</v>
      </c>
      <c r="AR451" s="77" t="s">
        <v>983</v>
      </c>
      <c r="AS451" s="77" t="s">
        <v>983</v>
      </c>
      <c r="AT451" s="78" t="s">
        <v>3399</v>
      </c>
      <c r="AU451" s="78" t="s">
        <v>1066</v>
      </c>
      <c r="AV451" s="77">
        <v>54745</v>
      </c>
      <c r="AW451" s="77" t="s">
        <v>3416</v>
      </c>
      <c r="AX451" s="78" t="s">
        <v>329</v>
      </c>
      <c r="AY451" s="125" t="s">
        <v>3416</v>
      </c>
      <c r="AZ451" s="78"/>
      <c r="BA451" s="78"/>
      <c r="BB451" s="137"/>
      <c r="BC451" s="78"/>
      <c r="BD451" s="78" t="s">
        <v>2397</v>
      </c>
      <c r="BE451" s="78" t="s">
        <v>776</v>
      </c>
      <c r="BF451" s="78" t="s">
        <v>5876</v>
      </c>
      <c r="BG451" s="77" t="s">
        <v>488</v>
      </c>
      <c r="BH451" s="78" t="s">
        <v>334</v>
      </c>
      <c r="BI451" s="78">
        <v>0</v>
      </c>
      <c r="BJ451" s="78"/>
      <c r="BK451" s="78"/>
      <c r="BL451" s="78"/>
      <c r="BM451" s="78"/>
      <c r="BN451" s="78"/>
      <c r="BO451" s="78"/>
      <c r="BP451" s="78"/>
      <c r="BQ451" s="78"/>
      <c r="BR451" s="78"/>
      <c r="BS451" s="78"/>
      <c r="BT451" s="78"/>
      <c r="BU451" s="78"/>
      <c r="BV451" s="78"/>
      <c r="BW451" s="78"/>
      <c r="BX451" s="78"/>
      <c r="BY451" s="78"/>
      <c r="BZ451" s="78"/>
      <c r="CA451" s="78"/>
      <c r="CB451" s="78"/>
      <c r="CC451" s="78"/>
      <c r="CD451" s="78"/>
    </row>
    <row r="452" spans="1:82" s="116" customFormat="1" ht="15" x14ac:dyDescent="0.25">
      <c r="A452" s="125">
        <v>961</v>
      </c>
      <c r="B452" s="125" t="s">
        <v>5877</v>
      </c>
      <c r="C452" s="110" t="s">
        <v>335</v>
      </c>
      <c r="D452" s="125" t="s">
        <v>105</v>
      </c>
      <c r="E452" s="125">
        <v>51108608061</v>
      </c>
      <c r="F452" s="127">
        <v>45957</v>
      </c>
      <c r="G452" s="127">
        <v>45957</v>
      </c>
      <c r="H452" s="113">
        <f t="shared" si="42"/>
        <v>46047</v>
      </c>
      <c r="I452" s="113" t="s">
        <v>291</v>
      </c>
      <c r="J452" s="125" t="s">
        <v>366</v>
      </c>
      <c r="K452" s="125" t="s">
        <v>5878</v>
      </c>
      <c r="L452" s="125" t="s">
        <v>5879</v>
      </c>
      <c r="M452" s="128" t="str">
        <f t="shared" si="43"/>
        <v>HERNANDEZ ALTAMIRA BRENDA YEDID</v>
      </c>
      <c r="N452" s="128" t="s">
        <v>5880</v>
      </c>
      <c r="O452" s="110" t="s">
        <v>5881</v>
      </c>
      <c r="P452" s="125" t="s">
        <v>1954</v>
      </c>
      <c r="Q452" s="127">
        <v>31527</v>
      </c>
      <c r="R452" s="125">
        <f t="shared" si="44"/>
        <v>25</v>
      </c>
      <c r="S452" s="125">
        <f t="shared" si="45"/>
        <v>4</v>
      </c>
      <c r="T452" s="125">
        <f t="shared" si="46"/>
        <v>1986</v>
      </c>
      <c r="U452" s="142">
        <f t="shared" ca="1" si="47"/>
        <v>40.493150684931507</v>
      </c>
      <c r="V452" s="128" t="s">
        <v>342</v>
      </c>
      <c r="W452" s="128" t="s">
        <v>5882</v>
      </c>
      <c r="X452" s="125" t="s">
        <v>5808</v>
      </c>
      <c r="Y452" s="120" t="s">
        <v>219</v>
      </c>
      <c r="Z452" s="98" t="s">
        <v>226</v>
      </c>
      <c r="AA452" s="109" t="s">
        <v>532</v>
      </c>
      <c r="AB452" s="109" t="s">
        <v>858</v>
      </c>
      <c r="AC452" s="125" t="s">
        <v>313</v>
      </c>
      <c r="AD452" s="125" t="s">
        <v>314</v>
      </c>
      <c r="AE452" s="125">
        <v>90</v>
      </c>
      <c r="AF452" s="114" t="s">
        <v>859</v>
      </c>
      <c r="AG452" s="109" t="s">
        <v>291</v>
      </c>
      <c r="AH452" s="115" t="s">
        <v>2338</v>
      </c>
      <c r="AI452" s="109" t="s">
        <v>317</v>
      </c>
      <c r="AJ452" s="109" t="s">
        <v>318</v>
      </c>
      <c r="AK452" s="110" t="s">
        <v>5883</v>
      </c>
      <c r="AL452" s="97" t="s">
        <v>5884</v>
      </c>
      <c r="AM452" s="110" t="s">
        <v>5885</v>
      </c>
      <c r="AN452" s="110" t="s">
        <v>3178</v>
      </c>
      <c r="AO452" s="110" t="s">
        <v>398</v>
      </c>
      <c r="AP452" s="110" t="s">
        <v>398</v>
      </c>
      <c r="AQ452" s="110" t="s">
        <v>5886</v>
      </c>
      <c r="AR452" s="125">
        <v>7040</v>
      </c>
      <c r="AS452" s="125" t="s">
        <v>983</v>
      </c>
      <c r="AT452" s="110" t="s">
        <v>105</v>
      </c>
      <c r="AU452" s="110" t="s">
        <v>105</v>
      </c>
      <c r="AV452" s="125">
        <v>20130</v>
      </c>
      <c r="AW452" s="125" t="s">
        <v>3416</v>
      </c>
      <c r="AX452" s="110" t="s">
        <v>329</v>
      </c>
      <c r="AY452" s="125" t="s">
        <v>3416</v>
      </c>
      <c r="AZ452" s="110"/>
      <c r="BA452" s="110"/>
      <c r="BB452" s="138"/>
      <c r="BC452" s="110"/>
      <c r="BD452" s="110" t="s">
        <v>5885</v>
      </c>
      <c r="BE452" s="110" t="s">
        <v>3178</v>
      </c>
      <c r="BF452" s="110" t="s">
        <v>5887</v>
      </c>
      <c r="BG452" s="125" t="s">
        <v>333</v>
      </c>
      <c r="BH452" s="110" t="s">
        <v>334</v>
      </c>
      <c r="BI452" s="110">
        <v>2</v>
      </c>
      <c r="BJ452" s="110"/>
      <c r="BK452" s="109" t="s">
        <v>3911</v>
      </c>
      <c r="BL452" s="110">
        <v>14</v>
      </c>
      <c r="BM452" s="110"/>
      <c r="BN452" s="110" t="s">
        <v>571</v>
      </c>
      <c r="BO452" s="110">
        <v>12</v>
      </c>
      <c r="BP452" s="110"/>
      <c r="BQ452" s="110"/>
      <c r="BR452" s="110"/>
      <c r="BS452" s="110"/>
      <c r="BT452" s="110"/>
      <c r="BU452" s="110"/>
      <c r="BV452" s="110"/>
      <c r="BW452" s="110"/>
      <c r="BX452" s="110"/>
      <c r="BY452" s="110"/>
      <c r="BZ452" s="110"/>
      <c r="CA452" s="110"/>
      <c r="CB452" s="110"/>
      <c r="CC452" s="110"/>
      <c r="CD452" s="110"/>
    </row>
    <row r="453" spans="1:82" s="116" customFormat="1" ht="15" x14ac:dyDescent="0.25">
      <c r="A453" s="125">
        <v>962</v>
      </c>
      <c r="B453" s="125" t="s">
        <v>5888</v>
      </c>
      <c r="C453" s="110" t="s">
        <v>363</v>
      </c>
      <c r="D453" s="109" t="s">
        <v>7242</v>
      </c>
      <c r="E453" s="134" t="s">
        <v>5890</v>
      </c>
      <c r="F453" s="127">
        <v>45960</v>
      </c>
      <c r="G453" s="127">
        <v>45960</v>
      </c>
      <c r="H453" s="113">
        <f t="shared" si="42"/>
        <v>46050</v>
      </c>
      <c r="I453" s="113" t="s">
        <v>290</v>
      </c>
      <c r="J453" s="125" t="s">
        <v>5891</v>
      </c>
      <c r="K453" s="125" t="s">
        <v>4387</v>
      </c>
      <c r="L453" s="125" t="s">
        <v>1380</v>
      </c>
      <c r="M453" s="128" t="str">
        <f t="shared" si="43"/>
        <v>AGUNDIS LOREDO OMAR</v>
      </c>
      <c r="N453" s="128" t="s">
        <v>5892</v>
      </c>
      <c r="O453" s="110" t="s">
        <v>5893</v>
      </c>
      <c r="P453" s="125" t="s">
        <v>1953</v>
      </c>
      <c r="Q453" s="127">
        <v>31540</v>
      </c>
      <c r="R453" s="125">
        <f t="shared" si="44"/>
        <v>8</v>
      </c>
      <c r="S453" s="125">
        <f t="shared" si="45"/>
        <v>5</v>
      </c>
      <c r="T453" s="125">
        <f t="shared" si="46"/>
        <v>1986</v>
      </c>
      <c r="U453" s="142">
        <f t="shared" ca="1" si="47"/>
        <v>40.457534246575342</v>
      </c>
      <c r="V453" s="128" t="s">
        <v>342</v>
      </c>
      <c r="W453" s="128" t="s">
        <v>5894</v>
      </c>
      <c r="X453" s="125" t="s">
        <v>472</v>
      </c>
      <c r="Y453" s="125" t="s">
        <v>391</v>
      </c>
      <c r="Z453" s="125" t="s">
        <v>88</v>
      </c>
      <c r="AA453" s="125" t="s">
        <v>392</v>
      </c>
      <c r="AB453" s="125" t="s">
        <v>374</v>
      </c>
      <c r="AC453" s="125" t="s">
        <v>313</v>
      </c>
      <c r="AD453" s="125" t="s">
        <v>314</v>
      </c>
      <c r="AE453" s="125">
        <v>90</v>
      </c>
      <c r="AF453" s="114" t="s">
        <v>375</v>
      </c>
      <c r="AG453" s="125" t="s">
        <v>290</v>
      </c>
      <c r="AH453" s="110" t="s">
        <v>473</v>
      </c>
      <c r="AI453" s="109" t="s">
        <v>317</v>
      </c>
      <c r="AJ453" s="109" t="s">
        <v>318</v>
      </c>
      <c r="AK453" s="110" t="s">
        <v>5895</v>
      </c>
      <c r="AL453" s="97" t="s">
        <v>5896</v>
      </c>
      <c r="AM453" s="110" t="s">
        <v>5897</v>
      </c>
      <c r="AN453" s="110" t="s">
        <v>381</v>
      </c>
      <c r="AO453" s="110" t="s">
        <v>398</v>
      </c>
      <c r="AP453" s="110" t="s">
        <v>398</v>
      </c>
      <c r="AQ453" s="110" t="s">
        <v>5898</v>
      </c>
      <c r="AR453" s="125" t="s">
        <v>5899</v>
      </c>
      <c r="AS453" s="125" t="s">
        <v>5899</v>
      </c>
      <c r="AT453" s="110" t="s">
        <v>482</v>
      </c>
      <c r="AU453" s="110" t="s">
        <v>483</v>
      </c>
      <c r="AV453" s="125">
        <v>78437</v>
      </c>
      <c r="AW453" s="125" t="s">
        <v>3416</v>
      </c>
      <c r="AX453" s="110" t="s">
        <v>329</v>
      </c>
      <c r="AY453" s="125" t="s">
        <v>3416</v>
      </c>
      <c r="AZ453" s="110"/>
      <c r="BA453" s="110"/>
      <c r="BB453" s="138"/>
      <c r="BC453" s="110"/>
      <c r="BD453" s="110" t="s">
        <v>5900</v>
      </c>
      <c r="BE453" s="110" t="s">
        <v>381</v>
      </c>
      <c r="BF453" s="110" t="s">
        <v>5895</v>
      </c>
      <c r="BG453" s="125" t="s">
        <v>333</v>
      </c>
      <c r="BH453" s="110" t="s">
        <v>334</v>
      </c>
      <c r="BI453" s="110">
        <v>2</v>
      </c>
      <c r="BJ453" s="110"/>
      <c r="BK453" s="109" t="s">
        <v>571</v>
      </c>
      <c r="BL453" s="110">
        <v>19</v>
      </c>
      <c r="BM453" s="110"/>
      <c r="BN453" s="109" t="s">
        <v>571</v>
      </c>
      <c r="BO453" s="110">
        <v>19</v>
      </c>
      <c r="BP453" s="110"/>
      <c r="BQ453" s="110"/>
      <c r="BR453" s="110"/>
      <c r="BS453" s="110"/>
      <c r="BT453" s="110"/>
      <c r="BU453" s="110"/>
      <c r="BV453" s="110"/>
      <c r="BW453" s="110"/>
      <c r="BX453" s="110"/>
      <c r="BY453" s="110"/>
      <c r="BZ453" s="110"/>
      <c r="CA453" s="110"/>
      <c r="CB453" s="110"/>
      <c r="CC453" s="110"/>
      <c r="CD453" s="110"/>
    </row>
    <row r="454" spans="1:82" ht="15" x14ac:dyDescent="0.25">
      <c r="A454" s="77">
        <v>963</v>
      </c>
      <c r="B454" s="77" t="s">
        <v>5889</v>
      </c>
      <c r="C454" s="78" t="s">
        <v>363</v>
      </c>
      <c r="D454" s="12" t="s">
        <v>7242</v>
      </c>
      <c r="E454" s="77">
        <v>68180419399</v>
      </c>
      <c r="F454" s="79">
        <v>45960</v>
      </c>
      <c r="G454" s="79">
        <v>45960</v>
      </c>
      <c r="H454" s="101">
        <f t="shared" si="42"/>
        <v>46050</v>
      </c>
      <c r="I454" s="101" t="s">
        <v>290</v>
      </c>
      <c r="J454" s="77" t="s">
        <v>4531</v>
      </c>
      <c r="K454" s="77" t="s">
        <v>5901</v>
      </c>
      <c r="L454" s="77" t="s">
        <v>5902</v>
      </c>
      <c r="M454" s="102" t="str">
        <f t="shared" si="43"/>
        <v>CASTRO ZACARIAS ERICK ADRIAN</v>
      </c>
      <c r="N454" s="102" t="s">
        <v>5903</v>
      </c>
      <c r="O454" s="78" t="s">
        <v>5904</v>
      </c>
      <c r="P454" s="77" t="s">
        <v>1953</v>
      </c>
      <c r="Q454" s="79">
        <v>38342</v>
      </c>
      <c r="R454" s="77">
        <f t="shared" si="44"/>
        <v>21</v>
      </c>
      <c r="S454" s="77">
        <f t="shared" si="45"/>
        <v>12</v>
      </c>
      <c r="T454" s="77">
        <f t="shared" si="46"/>
        <v>2004</v>
      </c>
      <c r="U454" s="103">
        <f t="shared" ca="1" si="47"/>
        <v>21.82191780821918</v>
      </c>
      <c r="V454" s="102" t="s">
        <v>342</v>
      </c>
      <c r="W454" s="102" t="s">
        <v>5905</v>
      </c>
      <c r="X454" s="77" t="s">
        <v>454</v>
      </c>
      <c r="Y454" s="77" t="s">
        <v>391</v>
      </c>
      <c r="Z454" s="77" t="s">
        <v>88</v>
      </c>
      <c r="AA454" s="77" t="s">
        <v>392</v>
      </c>
      <c r="AB454" s="77" t="s">
        <v>374</v>
      </c>
      <c r="AC454" s="77" t="s">
        <v>313</v>
      </c>
      <c r="AD454" s="77" t="s">
        <v>314</v>
      </c>
      <c r="AE454" s="77">
        <v>90</v>
      </c>
      <c r="AF454" s="13" t="s">
        <v>375</v>
      </c>
      <c r="AG454" s="77" t="s">
        <v>290</v>
      </c>
      <c r="AH454" s="78" t="s">
        <v>473</v>
      </c>
      <c r="AI454" s="12" t="s">
        <v>317</v>
      </c>
      <c r="AJ454" s="12" t="s">
        <v>318</v>
      </c>
      <c r="AK454" s="78"/>
      <c r="AL454" s="93" t="s">
        <v>5906</v>
      </c>
      <c r="AM454" s="78" t="s">
        <v>5907</v>
      </c>
      <c r="AN454" s="78" t="s">
        <v>381</v>
      </c>
      <c r="AO454" s="78" t="s">
        <v>398</v>
      </c>
      <c r="AP454" s="78" t="s">
        <v>398</v>
      </c>
      <c r="AQ454" s="78" t="s">
        <v>5908</v>
      </c>
      <c r="AR454" s="77">
        <v>328</v>
      </c>
      <c r="AS454" s="77" t="s">
        <v>699</v>
      </c>
      <c r="AT454" s="78" t="s">
        <v>127</v>
      </c>
      <c r="AU454" s="78" t="s">
        <v>483</v>
      </c>
      <c r="AV454" s="77">
        <v>78780</v>
      </c>
      <c r="AW454" s="77" t="s">
        <v>3416</v>
      </c>
      <c r="AX454" s="78" t="s">
        <v>329</v>
      </c>
      <c r="AY454" s="125" t="s">
        <v>3416</v>
      </c>
      <c r="AZ454" s="78"/>
      <c r="BA454" s="78"/>
      <c r="BB454" s="137"/>
      <c r="BC454" s="78"/>
      <c r="BD454" s="78" t="s">
        <v>5907</v>
      </c>
      <c r="BE454" s="78" t="s">
        <v>381</v>
      </c>
      <c r="BF454" s="78" t="s">
        <v>5909</v>
      </c>
      <c r="BG454" s="77" t="s">
        <v>5910</v>
      </c>
      <c r="BH454" s="78" t="s">
        <v>334</v>
      </c>
      <c r="BI454" s="78">
        <v>1</v>
      </c>
      <c r="BJ454" s="78"/>
      <c r="BK454" s="12" t="s">
        <v>3911</v>
      </c>
      <c r="BL454" s="78">
        <v>1</v>
      </c>
      <c r="BM454" s="78"/>
      <c r="BN454" s="78"/>
      <c r="BO454" s="78"/>
      <c r="BP454" s="78"/>
      <c r="BQ454" s="78"/>
      <c r="BR454" s="78"/>
      <c r="BS454" s="78"/>
      <c r="BT454" s="78"/>
      <c r="BU454" s="78"/>
      <c r="BV454" s="78"/>
      <c r="BW454" s="78"/>
      <c r="BX454" s="78"/>
      <c r="BY454" s="78"/>
      <c r="BZ454" s="78"/>
      <c r="CA454" s="78"/>
      <c r="CB454" s="78"/>
      <c r="CC454" s="78"/>
      <c r="CD454" s="78"/>
    </row>
    <row r="455" spans="1:82" s="116" customFormat="1" ht="15" x14ac:dyDescent="0.25">
      <c r="A455" s="125">
        <v>964</v>
      </c>
      <c r="B455" s="125" t="s">
        <v>5911</v>
      </c>
      <c r="C455" s="110" t="s">
        <v>335</v>
      </c>
      <c r="D455" s="125" t="s">
        <v>105</v>
      </c>
      <c r="E455" s="125">
        <v>15139935777</v>
      </c>
      <c r="F455" s="127">
        <v>45964</v>
      </c>
      <c r="G455" s="127">
        <v>45964</v>
      </c>
      <c r="H455" s="113">
        <f t="shared" si="42"/>
        <v>46054</v>
      </c>
      <c r="I455" s="113" t="s">
        <v>291</v>
      </c>
      <c r="J455" s="125" t="s">
        <v>5912</v>
      </c>
      <c r="K455" s="125" t="s">
        <v>1173</v>
      </c>
      <c r="L455" s="125" t="s">
        <v>5913</v>
      </c>
      <c r="M455" s="128" t="str">
        <f t="shared" si="43"/>
        <v>VIVAR MONTOYA OSCAR AARON</v>
      </c>
      <c r="N455" s="128" t="s">
        <v>5914</v>
      </c>
      <c r="O455" s="110" t="s">
        <v>5915</v>
      </c>
      <c r="P455" s="125" t="s">
        <v>1953</v>
      </c>
      <c r="Q455" s="127">
        <v>36413</v>
      </c>
      <c r="R455" s="125">
        <f t="shared" si="44"/>
        <v>10</v>
      </c>
      <c r="S455" s="125">
        <f t="shared" si="45"/>
        <v>9</v>
      </c>
      <c r="T455" s="125">
        <f t="shared" si="46"/>
        <v>1999</v>
      </c>
      <c r="U455" s="142">
        <f t="shared" ca="1" si="47"/>
        <v>27.106849315068494</v>
      </c>
      <c r="V455" s="128" t="s">
        <v>389</v>
      </c>
      <c r="W455" s="128" t="s">
        <v>5916</v>
      </c>
      <c r="X455" s="125" t="s">
        <v>5808</v>
      </c>
      <c r="Y455" s="120" t="s">
        <v>216</v>
      </c>
      <c r="Z455" s="109" t="s">
        <v>227</v>
      </c>
      <c r="AA455" s="109">
        <v>0</v>
      </c>
      <c r="AB455" s="109">
        <v>0</v>
      </c>
      <c r="AC455" s="125" t="s">
        <v>313</v>
      </c>
      <c r="AD455" s="125" t="s">
        <v>314</v>
      </c>
      <c r="AE455" s="125">
        <v>90</v>
      </c>
      <c r="AF455" s="114" t="s">
        <v>859</v>
      </c>
      <c r="AG455" s="109" t="s">
        <v>291</v>
      </c>
      <c r="AH455" s="115" t="s">
        <v>2338</v>
      </c>
      <c r="AI455" s="109" t="s">
        <v>317</v>
      </c>
      <c r="AJ455" s="109" t="s">
        <v>318</v>
      </c>
      <c r="AK455" s="110" t="s">
        <v>5917</v>
      </c>
      <c r="AL455" s="97" t="s">
        <v>5918</v>
      </c>
      <c r="AM455" s="110" t="s">
        <v>5919</v>
      </c>
      <c r="AN455" s="110" t="s">
        <v>325</v>
      </c>
      <c r="AO455" s="110" t="s">
        <v>398</v>
      </c>
      <c r="AP455" s="110" t="s">
        <v>398</v>
      </c>
      <c r="AQ455" s="110" t="s">
        <v>5920</v>
      </c>
      <c r="AR455" s="125">
        <v>4</v>
      </c>
      <c r="AS455" s="125">
        <v>2</v>
      </c>
      <c r="AT455" s="110" t="s">
        <v>5921</v>
      </c>
      <c r="AU455" s="110" t="s">
        <v>3402</v>
      </c>
      <c r="AV455" s="125">
        <v>94290</v>
      </c>
      <c r="AW455" s="125" t="s">
        <v>3416</v>
      </c>
      <c r="AX455" s="110" t="s">
        <v>329</v>
      </c>
      <c r="AY455" s="125" t="s">
        <v>3416</v>
      </c>
      <c r="AZ455" s="110"/>
      <c r="BA455" s="110"/>
      <c r="BB455" s="138"/>
      <c r="BC455" s="110"/>
      <c r="BD455" s="110" t="s">
        <v>5919</v>
      </c>
      <c r="BE455" s="110" t="s">
        <v>325</v>
      </c>
      <c r="BF455" s="110" t="s">
        <v>5922</v>
      </c>
      <c r="BG455" s="125" t="s">
        <v>333</v>
      </c>
      <c r="BH455" s="110" t="s">
        <v>334</v>
      </c>
      <c r="BI455" s="110">
        <v>0</v>
      </c>
      <c r="BJ455" s="110"/>
      <c r="BK455" s="110"/>
      <c r="BL455" s="110"/>
      <c r="BM455" s="110"/>
      <c r="BN455" s="110"/>
      <c r="BO455" s="110"/>
      <c r="BP455" s="110"/>
      <c r="BQ455" s="110"/>
      <c r="BR455" s="110"/>
      <c r="BS455" s="110"/>
      <c r="BT455" s="110"/>
      <c r="BU455" s="110"/>
      <c r="BV455" s="110"/>
      <c r="BW455" s="110"/>
      <c r="BX455" s="110"/>
      <c r="BY455" s="110"/>
      <c r="BZ455" s="110"/>
      <c r="CA455" s="110"/>
      <c r="CB455" s="110"/>
      <c r="CC455" s="110"/>
      <c r="CD455" s="110"/>
    </row>
    <row r="456" spans="1:82" ht="15" x14ac:dyDescent="0.25">
      <c r="A456" s="77">
        <v>965</v>
      </c>
      <c r="B456" s="77" t="s">
        <v>5923</v>
      </c>
      <c r="C456" s="78" t="s">
        <v>363</v>
      </c>
      <c r="D456" s="12" t="s">
        <v>249</v>
      </c>
      <c r="E456" s="77">
        <v>43089248173</v>
      </c>
      <c r="F456" s="79">
        <v>45965</v>
      </c>
      <c r="G456" s="79">
        <v>45965</v>
      </c>
      <c r="H456" s="101">
        <f t="shared" si="42"/>
        <v>46055</v>
      </c>
      <c r="I456" s="101" t="s">
        <v>290</v>
      </c>
      <c r="J456" s="77" t="s">
        <v>1533</v>
      </c>
      <c r="K456" s="77" t="s">
        <v>5841</v>
      </c>
      <c r="L456" s="77" t="s">
        <v>5925</v>
      </c>
      <c r="M456" s="102" t="str">
        <f t="shared" si="43"/>
        <v>MEDINA  BARRON  ABRAHAM MISAEL</v>
      </c>
      <c r="N456" s="102" t="s">
        <v>5926</v>
      </c>
      <c r="O456" s="78" t="s">
        <v>5927</v>
      </c>
      <c r="P456" s="77" t="s">
        <v>1953</v>
      </c>
      <c r="Q456" s="79">
        <v>33628</v>
      </c>
      <c r="R456" s="77">
        <f t="shared" si="44"/>
        <v>25</v>
      </c>
      <c r="S456" s="77">
        <f t="shared" si="45"/>
        <v>1</v>
      </c>
      <c r="T456" s="77">
        <f t="shared" si="46"/>
        <v>1992</v>
      </c>
      <c r="U456" s="103">
        <f t="shared" ca="1" si="47"/>
        <v>34.736986301369861</v>
      </c>
      <c r="V456" s="102" t="s">
        <v>452</v>
      </c>
      <c r="W456" s="102" t="s">
        <v>5928</v>
      </c>
      <c r="X456" s="77" t="s">
        <v>454</v>
      </c>
      <c r="Y456" s="77" t="s">
        <v>5595</v>
      </c>
      <c r="Z456" s="109" t="s">
        <v>251</v>
      </c>
      <c r="AA456" s="109">
        <v>0</v>
      </c>
      <c r="AB456" s="109" t="s">
        <v>2285</v>
      </c>
      <c r="AC456" s="77" t="s">
        <v>313</v>
      </c>
      <c r="AD456" s="77" t="s">
        <v>314</v>
      </c>
      <c r="AE456" s="77">
        <v>90</v>
      </c>
      <c r="AF456" s="13" t="s">
        <v>375</v>
      </c>
      <c r="AG456" s="12" t="s">
        <v>290</v>
      </c>
      <c r="AH456" s="78" t="s">
        <v>473</v>
      </c>
      <c r="AI456" s="12" t="s">
        <v>317</v>
      </c>
      <c r="AJ456" s="12" t="s">
        <v>318</v>
      </c>
      <c r="AK456" s="78" t="s">
        <v>5929</v>
      </c>
      <c r="AL456" s="93" t="s">
        <v>5930</v>
      </c>
      <c r="AM456" s="78" t="s">
        <v>5931</v>
      </c>
      <c r="AN456" s="78" t="s">
        <v>478</v>
      </c>
      <c r="AO456" s="78" t="s">
        <v>398</v>
      </c>
      <c r="AP456" s="78" t="s">
        <v>398</v>
      </c>
      <c r="AQ456" s="78" t="s">
        <v>5932</v>
      </c>
      <c r="AR456" s="77">
        <v>1</v>
      </c>
      <c r="AS456" s="77" t="s">
        <v>581</v>
      </c>
      <c r="AT456" s="78" t="s">
        <v>249</v>
      </c>
      <c r="AU456" s="78" t="s">
        <v>483</v>
      </c>
      <c r="AV456" s="77">
        <v>79400</v>
      </c>
      <c r="AW456" s="77" t="s">
        <v>3416</v>
      </c>
      <c r="AX456" s="78" t="s">
        <v>329</v>
      </c>
      <c r="AY456" s="125" t="s">
        <v>3416</v>
      </c>
      <c r="AZ456" s="78"/>
      <c r="BA456" s="78"/>
      <c r="BB456" s="137"/>
      <c r="BC456" s="78"/>
      <c r="BD456" s="78" t="s">
        <v>5931</v>
      </c>
      <c r="BE456" s="78" t="s">
        <v>478</v>
      </c>
      <c r="BF456" s="78" t="s">
        <v>5933</v>
      </c>
      <c r="BG456" s="77" t="s">
        <v>333</v>
      </c>
      <c r="BH456" s="78" t="s">
        <v>334</v>
      </c>
      <c r="BI456" s="78">
        <v>1</v>
      </c>
      <c r="BJ456" s="78"/>
      <c r="BK456" s="12" t="s">
        <v>3911</v>
      </c>
      <c r="BL456" s="78">
        <v>6</v>
      </c>
      <c r="BM456" s="78"/>
      <c r="BN456" s="78"/>
      <c r="BO456" s="78"/>
      <c r="BP456" s="78"/>
      <c r="BQ456" s="78"/>
      <c r="BR456" s="78"/>
      <c r="BS456" s="78"/>
      <c r="BT456" s="78"/>
      <c r="BU456" s="78"/>
      <c r="BV456" s="78"/>
      <c r="BW456" s="78"/>
      <c r="BX456" s="78"/>
      <c r="BY456" s="78"/>
      <c r="BZ456" s="78"/>
      <c r="CA456" s="78"/>
      <c r="CB456" s="78"/>
      <c r="CC456" s="78"/>
      <c r="CD456" s="78"/>
    </row>
    <row r="457" spans="1:82" ht="15" x14ac:dyDescent="0.25">
      <c r="A457" s="77">
        <v>966</v>
      </c>
      <c r="B457" s="77" t="s">
        <v>5924</v>
      </c>
      <c r="C457" s="78" t="s">
        <v>363</v>
      </c>
      <c r="D457" s="12" t="s">
        <v>249</v>
      </c>
      <c r="E457" s="77">
        <v>14160472305</v>
      </c>
      <c r="F457" s="79">
        <v>45965</v>
      </c>
      <c r="G457" s="79">
        <v>45965</v>
      </c>
      <c r="H457" s="101">
        <f t="shared" si="42"/>
        <v>46055</v>
      </c>
      <c r="I457" s="101" t="s">
        <v>290</v>
      </c>
      <c r="J457" s="77" t="s">
        <v>5934</v>
      </c>
      <c r="K457" s="77" t="s">
        <v>5935</v>
      </c>
      <c r="L457" s="77" t="s">
        <v>5936</v>
      </c>
      <c r="M457" s="102" t="str">
        <f t="shared" si="43"/>
        <v>JARA SOLANO JONATHAN JESUS</v>
      </c>
      <c r="N457" s="102" t="s">
        <v>5937</v>
      </c>
      <c r="O457" s="78" t="s">
        <v>5938</v>
      </c>
      <c r="P457" s="77" t="s">
        <v>1953</v>
      </c>
      <c r="Q457" s="79">
        <v>38217</v>
      </c>
      <c r="R457" s="77">
        <f t="shared" si="44"/>
        <v>18</v>
      </c>
      <c r="S457" s="77">
        <f t="shared" si="45"/>
        <v>8</v>
      </c>
      <c r="T457" s="77">
        <f t="shared" si="46"/>
        <v>2004</v>
      </c>
      <c r="U457" s="103">
        <f t="shared" ca="1" si="47"/>
        <v>22.164383561643834</v>
      </c>
      <c r="V457" s="102" t="s">
        <v>389</v>
      </c>
      <c r="W457" s="102" t="s">
        <v>5939</v>
      </c>
      <c r="X457" s="77" t="s">
        <v>693</v>
      </c>
      <c r="Y457" s="77" t="s">
        <v>5595</v>
      </c>
      <c r="Z457" s="109" t="s">
        <v>251</v>
      </c>
      <c r="AA457" s="109">
        <v>0</v>
      </c>
      <c r="AB457" s="109" t="s">
        <v>2285</v>
      </c>
      <c r="AC457" s="77" t="s">
        <v>313</v>
      </c>
      <c r="AD457" s="77" t="s">
        <v>314</v>
      </c>
      <c r="AE457" s="77">
        <v>90</v>
      </c>
      <c r="AF457" s="13" t="s">
        <v>375</v>
      </c>
      <c r="AG457" s="12" t="s">
        <v>290</v>
      </c>
      <c r="AH457" s="78" t="s">
        <v>473</v>
      </c>
      <c r="AI457" s="12" t="s">
        <v>317</v>
      </c>
      <c r="AJ457" s="12" t="s">
        <v>318</v>
      </c>
      <c r="AK457" s="78" t="s">
        <v>5940</v>
      </c>
      <c r="AL457" s="93" t="s">
        <v>5941</v>
      </c>
      <c r="AM457" s="78" t="s">
        <v>5942</v>
      </c>
      <c r="AN457" s="78" t="s">
        <v>325</v>
      </c>
      <c r="AO457" s="78" t="s">
        <v>398</v>
      </c>
      <c r="AP457" s="78" t="s">
        <v>398</v>
      </c>
      <c r="AQ457" s="78" t="s">
        <v>5943</v>
      </c>
      <c r="AR457" s="77">
        <v>64</v>
      </c>
      <c r="AS457" s="77" t="s">
        <v>581</v>
      </c>
      <c r="AT457" s="78" t="s">
        <v>249</v>
      </c>
      <c r="AU457" s="78" t="s">
        <v>483</v>
      </c>
      <c r="AV457" s="77">
        <v>79443</v>
      </c>
      <c r="AW457" s="77" t="s">
        <v>3416</v>
      </c>
      <c r="AX457" s="78" t="s">
        <v>329</v>
      </c>
      <c r="AY457" s="125" t="s">
        <v>3416</v>
      </c>
      <c r="AZ457" s="78"/>
      <c r="BA457" s="78"/>
      <c r="BB457" s="137"/>
      <c r="BC457" s="78"/>
      <c r="BD457" s="78" t="s">
        <v>5942</v>
      </c>
      <c r="BE457" s="78" t="s">
        <v>478</v>
      </c>
      <c r="BF457" s="78" t="s">
        <v>5944</v>
      </c>
      <c r="BG457" s="77" t="s">
        <v>333</v>
      </c>
      <c r="BH457" s="78" t="s">
        <v>334</v>
      </c>
      <c r="BI457" s="78">
        <v>0</v>
      </c>
      <c r="BJ457" s="78"/>
      <c r="BK457" s="78"/>
      <c r="BL457" s="78"/>
      <c r="BM457" s="78"/>
      <c r="BN457" s="78"/>
      <c r="BO457" s="78"/>
      <c r="BP457" s="78"/>
      <c r="BQ457" s="78"/>
      <c r="BR457" s="78"/>
      <c r="BS457" s="78"/>
      <c r="BT457" s="78"/>
      <c r="BU457" s="78"/>
      <c r="BV457" s="78"/>
      <c r="BW457" s="78"/>
      <c r="BX457" s="78"/>
      <c r="BY457" s="78"/>
      <c r="BZ457" s="78"/>
      <c r="CA457" s="78"/>
      <c r="CB457" s="78"/>
      <c r="CC457" s="78"/>
      <c r="CD457" s="78"/>
    </row>
    <row r="458" spans="1:82" s="116" customFormat="1" ht="15" x14ac:dyDescent="0.25">
      <c r="A458" s="125">
        <v>967</v>
      </c>
      <c r="B458" s="125" t="s">
        <v>5945</v>
      </c>
      <c r="C458" s="110" t="s">
        <v>335</v>
      </c>
      <c r="D458" s="125" t="s">
        <v>116</v>
      </c>
      <c r="E458" s="125">
        <v>68159737987</v>
      </c>
      <c r="F458" s="127">
        <v>45965</v>
      </c>
      <c r="G458" s="127">
        <v>45965</v>
      </c>
      <c r="H458" s="113">
        <f t="shared" si="42"/>
        <v>46055</v>
      </c>
      <c r="I458" s="113" t="s">
        <v>290</v>
      </c>
      <c r="J458" s="125" t="s">
        <v>5946</v>
      </c>
      <c r="K458" s="125" t="s">
        <v>4311</v>
      </c>
      <c r="L458" s="125" t="s">
        <v>5947</v>
      </c>
      <c r="M458" s="128" t="str">
        <f t="shared" si="43"/>
        <v>BEAS JACOBO GERARDO JESUS</v>
      </c>
      <c r="N458" s="128" t="s">
        <v>5948</v>
      </c>
      <c r="O458" s="110" t="s">
        <v>5949</v>
      </c>
      <c r="P458" s="125" t="s">
        <v>1953</v>
      </c>
      <c r="Q458" s="127">
        <v>35658</v>
      </c>
      <c r="R458" s="125">
        <f t="shared" si="44"/>
        <v>16</v>
      </c>
      <c r="S458" s="125">
        <f t="shared" si="45"/>
        <v>8</v>
      </c>
      <c r="T458" s="125">
        <f t="shared" si="46"/>
        <v>1997</v>
      </c>
      <c r="U458" s="142">
        <f t="shared" ca="1" si="47"/>
        <v>29.175342465753424</v>
      </c>
      <c r="V458" s="128" t="s">
        <v>389</v>
      </c>
      <c r="W458" s="128" t="s">
        <v>5950</v>
      </c>
      <c r="X458" s="125" t="s">
        <v>454</v>
      </c>
      <c r="Y458" s="125" t="s">
        <v>5951</v>
      </c>
      <c r="Z458" s="109" t="s">
        <v>118</v>
      </c>
      <c r="AA458" s="109" t="s">
        <v>2276</v>
      </c>
      <c r="AB458" s="109" t="s">
        <v>348</v>
      </c>
      <c r="AC458" s="125" t="s">
        <v>313</v>
      </c>
      <c r="AD458" s="125" t="s">
        <v>314</v>
      </c>
      <c r="AE458" s="125">
        <v>90</v>
      </c>
      <c r="AF458" s="114" t="s">
        <v>350</v>
      </c>
      <c r="AG458" s="125" t="s">
        <v>290</v>
      </c>
      <c r="AH458" s="110" t="s">
        <v>351</v>
      </c>
      <c r="AI458" s="125" t="s">
        <v>317</v>
      </c>
      <c r="AJ458" s="125" t="s">
        <v>318</v>
      </c>
      <c r="AK458" s="110" t="s">
        <v>5952</v>
      </c>
      <c r="AL458" s="97" t="s">
        <v>5953</v>
      </c>
      <c r="AM458" s="110" t="s">
        <v>5954</v>
      </c>
      <c r="AN458" s="110" t="s">
        <v>401</v>
      </c>
      <c r="AO458" s="110" t="s">
        <v>398</v>
      </c>
      <c r="AP458" s="110" t="s">
        <v>398</v>
      </c>
      <c r="AQ458" s="110" t="s">
        <v>5955</v>
      </c>
      <c r="AR458" s="125">
        <v>52</v>
      </c>
      <c r="AS458" s="125" t="s">
        <v>581</v>
      </c>
      <c r="AT458" s="110" t="s">
        <v>5660</v>
      </c>
      <c r="AU458" s="110" t="s">
        <v>583</v>
      </c>
      <c r="AV458" s="125">
        <v>45300</v>
      </c>
      <c r="AW458" s="125" t="s">
        <v>3416</v>
      </c>
      <c r="AX458" s="110" t="s">
        <v>329</v>
      </c>
      <c r="AY458" s="125" t="s">
        <v>3416</v>
      </c>
      <c r="AZ458" s="110"/>
      <c r="BA458" s="110"/>
      <c r="BB458" s="138"/>
      <c r="BC458" s="110"/>
      <c r="BD458" s="110" t="s">
        <v>5954</v>
      </c>
      <c r="BE458" s="110" t="s">
        <v>3185</v>
      </c>
      <c r="BF458" s="110" t="s">
        <v>5956</v>
      </c>
      <c r="BG458" s="125" t="s">
        <v>1349</v>
      </c>
      <c r="BH458" s="110" t="s">
        <v>327</v>
      </c>
      <c r="BI458" s="110">
        <v>1</v>
      </c>
      <c r="BJ458" s="110"/>
      <c r="BK458" s="109" t="s">
        <v>3946</v>
      </c>
      <c r="BL458" s="110">
        <v>8</v>
      </c>
      <c r="BM458" s="110"/>
      <c r="BN458" s="110"/>
      <c r="BO458" s="110"/>
      <c r="BP458" s="110"/>
      <c r="BQ458" s="110"/>
      <c r="BR458" s="110"/>
      <c r="BS458" s="110"/>
      <c r="BT458" s="110"/>
      <c r="BU458" s="110"/>
      <c r="BV458" s="110"/>
      <c r="BW458" s="110"/>
      <c r="BX458" s="110"/>
      <c r="BY458" s="110"/>
      <c r="BZ458" s="110"/>
      <c r="CA458" s="110"/>
      <c r="CB458" s="110"/>
      <c r="CC458" s="110"/>
      <c r="CD458" s="110"/>
    </row>
    <row r="459" spans="1:82" s="116" customFormat="1" ht="15" x14ac:dyDescent="0.25">
      <c r="A459" s="125">
        <v>968</v>
      </c>
      <c r="B459" s="125" t="s">
        <v>5957</v>
      </c>
      <c r="C459" s="110" t="s">
        <v>335</v>
      </c>
      <c r="D459" s="125" t="s">
        <v>86</v>
      </c>
      <c r="E459" s="134" t="s">
        <v>5958</v>
      </c>
      <c r="F459" s="127">
        <v>45967</v>
      </c>
      <c r="G459" s="127">
        <v>45967</v>
      </c>
      <c r="H459" s="113">
        <f t="shared" si="42"/>
        <v>46057</v>
      </c>
      <c r="I459" s="113" t="s">
        <v>290</v>
      </c>
      <c r="J459" s="125" t="s">
        <v>735</v>
      </c>
      <c r="K459" s="125" t="s">
        <v>1239</v>
      </c>
      <c r="L459" s="125" t="s">
        <v>5959</v>
      </c>
      <c r="M459" s="128" t="str">
        <f t="shared" si="43"/>
        <v>RIVERA VAZQUEZ JAVIER ANTONIO</v>
      </c>
      <c r="N459" s="128" t="s">
        <v>5960</v>
      </c>
      <c r="O459" s="110" t="s">
        <v>5961</v>
      </c>
      <c r="P459" s="125" t="s">
        <v>1953</v>
      </c>
      <c r="Q459" s="127">
        <v>35489</v>
      </c>
      <c r="R459" s="125">
        <f t="shared" si="44"/>
        <v>28</v>
      </c>
      <c r="S459" s="125">
        <f t="shared" si="45"/>
        <v>2</v>
      </c>
      <c r="T459" s="125">
        <f t="shared" si="46"/>
        <v>1997</v>
      </c>
      <c r="U459" s="142">
        <f t="shared" ca="1" si="47"/>
        <v>29.638356164383563</v>
      </c>
      <c r="V459" s="128" t="s">
        <v>389</v>
      </c>
      <c r="W459" s="128" t="s">
        <v>5962</v>
      </c>
      <c r="X459" s="125" t="s">
        <v>530</v>
      </c>
      <c r="Y459" s="125" t="s">
        <v>5083</v>
      </c>
      <c r="Z459" s="109" t="s">
        <v>118</v>
      </c>
      <c r="AA459" s="109" t="s">
        <v>2276</v>
      </c>
      <c r="AB459" s="109" t="s">
        <v>348</v>
      </c>
      <c r="AC459" s="125" t="s">
        <v>313</v>
      </c>
      <c r="AD459" s="125" t="s">
        <v>314</v>
      </c>
      <c r="AE459" s="125">
        <v>90</v>
      </c>
      <c r="AF459" s="13" t="s">
        <v>315</v>
      </c>
      <c r="AG459" s="125" t="s">
        <v>290</v>
      </c>
      <c r="AH459" s="115" t="s">
        <v>1329</v>
      </c>
      <c r="AI459" s="125" t="s">
        <v>317</v>
      </c>
      <c r="AJ459" s="125" t="s">
        <v>318</v>
      </c>
      <c r="AK459" s="110" t="s">
        <v>5963</v>
      </c>
      <c r="AL459" s="97" t="s">
        <v>5964</v>
      </c>
      <c r="AM459" s="110" t="s">
        <v>5965</v>
      </c>
      <c r="AN459" s="110" t="s">
        <v>325</v>
      </c>
      <c r="AO459" s="110" t="s">
        <v>398</v>
      </c>
      <c r="AP459" s="110" t="s">
        <v>398</v>
      </c>
      <c r="AQ459" s="110" t="s">
        <v>5966</v>
      </c>
      <c r="AR459" s="125">
        <v>320</v>
      </c>
      <c r="AS459" s="125" t="s">
        <v>581</v>
      </c>
      <c r="AT459" s="110" t="s">
        <v>483</v>
      </c>
      <c r="AU459" s="110" t="s">
        <v>483</v>
      </c>
      <c r="AV459" s="125">
        <v>78411</v>
      </c>
      <c r="AW459" s="125" t="s">
        <v>3416</v>
      </c>
      <c r="AX459" s="110" t="s">
        <v>329</v>
      </c>
      <c r="AY459" s="125" t="s">
        <v>3416</v>
      </c>
      <c r="AZ459" s="110"/>
      <c r="BA459" s="110"/>
      <c r="BB459" s="138"/>
      <c r="BC459" s="110"/>
      <c r="BD459" s="110" t="s">
        <v>5967</v>
      </c>
      <c r="BE459" s="110" t="s">
        <v>325</v>
      </c>
      <c r="BF459" s="110" t="s">
        <v>5968</v>
      </c>
      <c r="BG459" s="125"/>
      <c r="BH459" s="110" t="s">
        <v>334</v>
      </c>
      <c r="BI459" s="110">
        <v>0</v>
      </c>
      <c r="BJ459" s="110"/>
      <c r="BK459" s="110"/>
      <c r="BL459" s="110"/>
      <c r="BM459" s="110"/>
      <c r="BN459" s="110"/>
      <c r="BO459" s="110"/>
      <c r="BP459" s="110"/>
      <c r="BQ459" s="110"/>
      <c r="BR459" s="110"/>
      <c r="BS459" s="110"/>
      <c r="BT459" s="110"/>
      <c r="BU459" s="110"/>
      <c r="BV459" s="110"/>
      <c r="BW459" s="110"/>
      <c r="BX459" s="110"/>
      <c r="BY459" s="110"/>
      <c r="BZ459" s="110"/>
      <c r="CA459" s="110"/>
      <c r="CB459" s="110"/>
      <c r="CC459" s="110"/>
      <c r="CD459" s="110"/>
    </row>
    <row r="460" spans="1:82" ht="15" x14ac:dyDescent="0.25">
      <c r="A460" s="77">
        <v>969</v>
      </c>
      <c r="B460" s="77" t="s">
        <v>5969</v>
      </c>
      <c r="C460" s="78" t="s">
        <v>363</v>
      </c>
      <c r="D460" s="77" t="s">
        <v>86</v>
      </c>
      <c r="E460" s="77">
        <v>41967618376</v>
      </c>
      <c r="F460" s="79">
        <v>45968</v>
      </c>
      <c r="G460" s="79">
        <v>45968</v>
      </c>
      <c r="H460" s="101">
        <f t="shared" si="42"/>
        <v>46058</v>
      </c>
      <c r="I460" s="101" t="s">
        <v>291</v>
      </c>
      <c r="J460" s="77" t="s">
        <v>1534</v>
      </c>
      <c r="K460" s="77" t="s">
        <v>5970</v>
      </c>
      <c r="L460" s="77" t="s">
        <v>5971</v>
      </c>
      <c r="M460" s="102" t="str">
        <f t="shared" si="43"/>
        <v>JUAREZ SALDIERNA DANIELA ADRIANA</v>
      </c>
      <c r="N460" s="102" t="s">
        <v>5972</v>
      </c>
      <c r="O460" s="78" t="s">
        <v>5973</v>
      </c>
      <c r="P460" s="77" t="s">
        <v>1954</v>
      </c>
      <c r="Q460" s="79">
        <v>27728</v>
      </c>
      <c r="R460" s="77">
        <f t="shared" si="44"/>
        <v>30</v>
      </c>
      <c r="S460" s="77">
        <f t="shared" si="45"/>
        <v>11</v>
      </c>
      <c r="T460" s="77">
        <f t="shared" si="46"/>
        <v>1975</v>
      </c>
      <c r="U460" s="103">
        <f t="shared" ca="1" si="47"/>
        <v>50.901369863013699</v>
      </c>
      <c r="V460" s="102" t="s">
        <v>5226</v>
      </c>
      <c r="W460" s="102" t="s">
        <v>5974</v>
      </c>
      <c r="X460" s="77" t="s">
        <v>5975</v>
      </c>
      <c r="Y460" s="77" t="s">
        <v>5976</v>
      </c>
      <c r="Z460" s="12" t="s">
        <v>93</v>
      </c>
      <c r="AA460" s="12" t="s">
        <v>636</v>
      </c>
      <c r="AB460" s="12" t="s">
        <v>1428</v>
      </c>
      <c r="AC460" s="77" t="s">
        <v>313</v>
      </c>
      <c r="AD460" s="77" t="s">
        <v>314</v>
      </c>
      <c r="AE460" s="77">
        <v>90</v>
      </c>
      <c r="AF460" s="102" t="s">
        <v>375</v>
      </c>
      <c r="AG460" s="77" t="s">
        <v>291</v>
      </c>
      <c r="AH460" s="78" t="s">
        <v>473</v>
      </c>
      <c r="AI460" s="12" t="s">
        <v>317</v>
      </c>
      <c r="AJ460" s="12" t="s">
        <v>318</v>
      </c>
      <c r="AK460" s="78"/>
      <c r="AL460" s="93" t="s">
        <v>5977</v>
      </c>
      <c r="AM460" s="78" t="s">
        <v>5978</v>
      </c>
      <c r="AN460" s="78" t="s">
        <v>1531</v>
      </c>
      <c r="AO460" s="78" t="s">
        <v>327</v>
      </c>
      <c r="AP460" s="78" t="s">
        <v>398</v>
      </c>
      <c r="AQ460" s="78" t="s">
        <v>5979</v>
      </c>
      <c r="AR460" s="77">
        <v>195</v>
      </c>
      <c r="AS460" s="77" t="s">
        <v>581</v>
      </c>
      <c r="AT460" s="78" t="s">
        <v>483</v>
      </c>
      <c r="AU460" s="78" t="s">
        <v>483</v>
      </c>
      <c r="AV460" s="77">
        <v>78340</v>
      </c>
      <c r="AW460" s="77" t="s">
        <v>3416</v>
      </c>
      <c r="AX460" s="78" t="s">
        <v>329</v>
      </c>
      <c r="AY460" s="125" t="s">
        <v>3416</v>
      </c>
      <c r="AZ460" s="78"/>
      <c r="BA460" s="78"/>
      <c r="BB460" s="137"/>
      <c r="BC460" s="78"/>
      <c r="BD460" s="78" t="s">
        <v>5978</v>
      </c>
      <c r="BE460" s="78" t="s">
        <v>1531</v>
      </c>
      <c r="BF460" s="78" t="s">
        <v>5980</v>
      </c>
      <c r="BG460" s="77" t="s">
        <v>333</v>
      </c>
      <c r="BH460" s="78" t="s">
        <v>334</v>
      </c>
      <c r="BI460" s="78">
        <v>1</v>
      </c>
      <c r="BJ460" s="78"/>
      <c r="BK460" s="78" t="s">
        <v>3946</v>
      </c>
      <c r="BL460" s="78"/>
      <c r="BM460" s="78"/>
      <c r="BN460" s="78"/>
      <c r="BO460" s="78"/>
      <c r="BP460" s="78"/>
      <c r="BQ460" s="78"/>
      <c r="BR460" s="78"/>
      <c r="BS460" s="78"/>
      <c r="BT460" s="78"/>
      <c r="BU460" s="78"/>
      <c r="BV460" s="78"/>
      <c r="BW460" s="78"/>
      <c r="BX460" s="78"/>
      <c r="BY460" s="78"/>
      <c r="BZ460" s="78"/>
      <c r="CA460" s="78"/>
      <c r="CB460" s="78"/>
      <c r="CC460" s="78"/>
      <c r="CD460" s="78"/>
    </row>
    <row r="461" spans="1:82" s="116" customFormat="1" ht="15" x14ac:dyDescent="0.25">
      <c r="A461" s="125">
        <v>970</v>
      </c>
      <c r="B461" s="125" t="s">
        <v>7891</v>
      </c>
      <c r="C461" s="110" t="s">
        <v>335</v>
      </c>
      <c r="D461" s="125" t="s">
        <v>116</v>
      </c>
      <c r="E461" s="125">
        <v>57190458083</v>
      </c>
      <c r="F461" s="125" t="s">
        <v>5981</v>
      </c>
      <c r="G461" s="127">
        <v>45968</v>
      </c>
      <c r="H461" s="113">
        <f t="shared" si="42"/>
        <v>46058</v>
      </c>
      <c r="I461" s="113" t="s">
        <v>290</v>
      </c>
      <c r="J461" s="125" t="s">
        <v>5642</v>
      </c>
      <c r="K461" s="125" t="s">
        <v>4423</v>
      </c>
      <c r="L461" s="125" t="s">
        <v>5982</v>
      </c>
      <c r="M461" s="128" t="str">
        <f t="shared" si="43"/>
        <v>TELLO DELGADILLO JONATHAN ALEJANDRO</v>
      </c>
      <c r="N461" s="128" t="s">
        <v>5983</v>
      </c>
      <c r="O461" s="110" t="s">
        <v>5984</v>
      </c>
      <c r="P461" s="125" t="s">
        <v>1953</v>
      </c>
      <c r="Q461" s="127">
        <v>38322</v>
      </c>
      <c r="R461" s="125">
        <f t="shared" si="44"/>
        <v>1</v>
      </c>
      <c r="S461" s="125">
        <f t="shared" si="45"/>
        <v>12</v>
      </c>
      <c r="T461" s="125">
        <f t="shared" si="46"/>
        <v>2004</v>
      </c>
      <c r="U461" s="142">
        <f t="shared" ca="1" si="47"/>
        <v>21.876712328767123</v>
      </c>
      <c r="V461" s="128" t="s">
        <v>452</v>
      </c>
      <c r="W461" s="128" t="s">
        <v>5985</v>
      </c>
      <c r="X461" s="125" t="s">
        <v>530</v>
      </c>
      <c r="Y461" s="125" t="s">
        <v>5710</v>
      </c>
      <c r="Z461" s="109"/>
      <c r="AA461" s="109" t="s">
        <v>532</v>
      </c>
      <c r="AB461" s="109" t="s">
        <v>348</v>
      </c>
      <c r="AC461" s="125" t="s">
        <v>313</v>
      </c>
      <c r="AD461" s="125" t="s">
        <v>314</v>
      </c>
      <c r="AE461" s="125">
        <v>90</v>
      </c>
      <c r="AF461" s="114" t="s">
        <v>350</v>
      </c>
      <c r="AG461" s="125" t="s">
        <v>290</v>
      </c>
      <c r="AH461" s="110" t="s">
        <v>351</v>
      </c>
      <c r="AI461" s="125" t="s">
        <v>317</v>
      </c>
      <c r="AJ461" s="125" t="s">
        <v>318</v>
      </c>
      <c r="AK461" s="110" t="s">
        <v>5986</v>
      </c>
      <c r="AL461" s="97" t="s">
        <v>5987</v>
      </c>
      <c r="AM461" s="110" t="s">
        <v>5988</v>
      </c>
      <c r="AN461" s="110" t="s">
        <v>478</v>
      </c>
      <c r="AO461" s="110" t="s">
        <v>398</v>
      </c>
      <c r="AP461" s="110" t="s">
        <v>398</v>
      </c>
      <c r="AQ461" s="110" t="s">
        <v>5989</v>
      </c>
      <c r="AR461" s="125">
        <v>68</v>
      </c>
      <c r="AS461" s="125" t="s">
        <v>581</v>
      </c>
      <c r="AT461" s="110" t="s">
        <v>606</v>
      </c>
      <c r="AU461" s="110" t="s">
        <v>583</v>
      </c>
      <c r="AV461" s="125">
        <v>45610</v>
      </c>
      <c r="AW461" s="125" t="s">
        <v>3416</v>
      </c>
      <c r="AX461" s="110" t="s">
        <v>329</v>
      </c>
      <c r="AY461" s="125" t="s">
        <v>3416</v>
      </c>
      <c r="AZ461" s="110"/>
      <c r="BA461" s="110"/>
      <c r="BB461" s="138"/>
      <c r="BC461" s="110"/>
      <c r="BD461" s="110" t="s">
        <v>5990</v>
      </c>
      <c r="BE461" s="110" t="s">
        <v>478</v>
      </c>
      <c r="BF461" s="110" t="s">
        <v>5991</v>
      </c>
      <c r="BG461" s="125" t="s">
        <v>488</v>
      </c>
      <c r="BH461" s="110" t="s">
        <v>398</v>
      </c>
      <c r="BI461" s="110">
        <v>1</v>
      </c>
      <c r="BJ461" s="110"/>
      <c r="BK461" s="109" t="s">
        <v>3911</v>
      </c>
      <c r="BL461" s="110" t="s">
        <v>5992</v>
      </c>
      <c r="BM461" s="110"/>
      <c r="BN461" s="110"/>
      <c r="BO461" s="110"/>
      <c r="BP461" s="110"/>
      <c r="BQ461" s="110"/>
      <c r="BR461" s="110"/>
      <c r="BS461" s="110"/>
      <c r="BT461" s="110"/>
      <c r="BU461" s="110"/>
      <c r="BV461" s="110"/>
      <c r="BW461" s="110"/>
      <c r="BX461" s="110"/>
      <c r="BY461" s="110"/>
      <c r="BZ461" s="110"/>
      <c r="CA461" s="110"/>
      <c r="CB461" s="110"/>
      <c r="CC461" s="110"/>
      <c r="CD461" s="110"/>
    </row>
    <row r="462" spans="1:82" ht="15" x14ac:dyDescent="0.25">
      <c r="A462" s="77">
        <v>971</v>
      </c>
      <c r="B462" s="77" t="s">
        <v>5993</v>
      </c>
      <c r="C462" s="78" t="s">
        <v>363</v>
      </c>
      <c r="D462" s="77" t="s">
        <v>8401</v>
      </c>
      <c r="E462" s="77">
        <v>41077300832</v>
      </c>
      <c r="F462" s="79">
        <v>45971</v>
      </c>
      <c r="G462" s="79">
        <v>45971</v>
      </c>
      <c r="H462" s="101">
        <f t="shared" si="42"/>
        <v>46061</v>
      </c>
      <c r="I462" s="101" t="s">
        <v>290</v>
      </c>
      <c r="J462" s="77" t="s">
        <v>4423</v>
      </c>
      <c r="K462" s="77" t="s">
        <v>1236</v>
      </c>
      <c r="L462" s="77" t="s">
        <v>5994</v>
      </c>
      <c r="M462" s="102" t="str">
        <f t="shared" si="43"/>
        <v>DELGADILLO GUERRERO ANDRES</v>
      </c>
      <c r="N462" s="102" t="s">
        <v>5995</v>
      </c>
      <c r="O462" s="78" t="s">
        <v>5996</v>
      </c>
      <c r="P462" s="77" t="s">
        <v>1953</v>
      </c>
      <c r="Q462" s="79">
        <v>26993</v>
      </c>
      <c r="R462" s="77">
        <f t="shared" si="44"/>
        <v>25</v>
      </c>
      <c r="S462" s="77">
        <f t="shared" si="45"/>
        <v>11</v>
      </c>
      <c r="T462" s="77">
        <f t="shared" si="46"/>
        <v>1973</v>
      </c>
      <c r="U462" s="103">
        <f t="shared" ca="1" si="47"/>
        <v>52.915068493150685</v>
      </c>
      <c r="V462" s="102" t="s">
        <v>1959</v>
      </c>
      <c r="W462" s="102" t="s">
        <v>5997</v>
      </c>
      <c r="X462" s="77" t="s">
        <v>5998</v>
      </c>
      <c r="Y462" s="77" t="s">
        <v>5595</v>
      </c>
      <c r="Z462" s="12" t="s">
        <v>93</v>
      </c>
      <c r="AA462" s="12" t="s">
        <v>636</v>
      </c>
      <c r="AB462" s="12" t="s">
        <v>1428</v>
      </c>
      <c r="AC462" s="77" t="s">
        <v>313</v>
      </c>
      <c r="AD462" s="77" t="s">
        <v>314</v>
      </c>
      <c r="AE462" s="77">
        <v>90</v>
      </c>
      <c r="AF462" s="102" t="s">
        <v>375</v>
      </c>
      <c r="AG462" s="77" t="s">
        <v>290</v>
      </c>
      <c r="AH462" s="78" t="s">
        <v>473</v>
      </c>
      <c r="AI462" s="12" t="s">
        <v>317</v>
      </c>
      <c r="AJ462" s="12" t="s">
        <v>318</v>
      </c>
      <c r="AK462" s="78" t="s">
        <v>5999</v>
      </c>
      <c r="AL462" s="93" t="s">
        <v>6000</v>
      </c>
      <c r="AM462" s="78" t="s">
        <v>6001</v>
      </c>
      <c r="AN462" s="78" t="s">
        <v>776</v>
      </c>
      <c r="AO462" s="78" t="s">
        <v>398</v>
      </c>
      <c r="AP462" s="78" t="s">
        <v>398</v>
      </c>
      <c r="AQ462" s="78" t="s">
        <v>6002</v>
      </c>
      <c r="AR462" s="77">
        <v>172</v>
      </c>
      <c r="AS462" s="77" t="s">
        <v>581</v>
      </c>
      <c r="AT462" s="78" t="s">
        <v>482</v>
      </c>
      <c r="AU462" s="78" t="s">
        <v>483</v>
      </c>
      <c r="AV462" s="77">
        <v>78435</v>
      </c>
      <c r="AW462" s="77" t="s">
        <v>3416</v>
      </c>
      <c r="AX462" s="78" t="s">
        <v>329</v>
      </c>
      <c r="AY462" s="125" t="s">
        <v>3416</v>
      </c>
      <c r="AZ462" s="78"/>
      <c r="BA462" s="78"/>
      <c r="BB462" s="137"/>
      <c r="BC462" s="78"/>
      <c r="BD462" s="78" t="s">
        <v>6003</v>
      </c>
      <c r="BE462" s="78" t="s">
        <v>1531</v>
      </c>
      <c r="BF462" s="78" t="s">
        <v>6004</v>
      </c>
      <c r="BG462" s="77" t="s">
        <v>488</v>
      </c>
      <c r="BH462" s="78" t="s">
        <v>334</v>
      </c>
      <c r="BI462" s="78">
        <v>3</v>
      </c>
      <c r="BJ462" s="78"/>
      <c r="BK462" s="78" t="s">
        <v>3946</v>
      </c>
      <c r="BL462" s="78">
        <v>27</v>
      </c>
      <c r="BM462" s="78"/>
      <c r="BN462" s="78" t="s">
        <v>3946</v>
      </c>
      <c r="BO462" s="78">
        <v>21</v>
      </c>
      <c r="BP462" s="78"/>
      <c r="BQ462" s="78" t="s">
        <v>3946</v>
      </c>
      <c r="BR462" s="78">
        <v>19</v>
      </c>
      <c r="BS462" s="78"/>
      <c r="BT462" s="78"/>
      <c r="BU462" s="78"/>
      <c r="BV462" s="78"/>
      <c r="BW462" s="78"/>
      <c r="BX462" s="78"/>
      <c r="BY462" s="78"/>
      <c r="BZ462" s="78"/>
      <c r="CA462" s="78"/>
      <c r="CB462" s="78"/>
      <c r="CC462" s="78"/>
      <c r="CD462" s="78"/>
    </row>
    <row r="463" spans="1:82" s="116" customFormat="1" ht="15" x14ac:dyDescent="0.25">
      <c r="A463" s="125" t="s">
        <v>6005</v>
      </c>
      <c r="B463" s="125" t="s">
        <v>6005</v>
      </c>
      <c r="C463" s="110" t="s">
        <v>335</v>
      </c>
      <c r="D463" s="125" t="s">
        <v>161</v>
      </c>
      <c r="E463" s="125">
        <v>41058608567</v>
      </c>
      <c r="F463" s="127">
        <v>45964</v>
      </c>
      <c r="G463" s="127">
        <v>45964</v>
      </c>
      <c r="H463" s="113">
        <f t="shared" si="42"/>
        <v>46054</v>
      </c>
      <c r="I463" s="113" t="s">
        <v>290</v>
      </c>
      <c r="J463" s="125" t="s">
        <v>405</v>
      </c>
      <c r="K463" s="125" t="s">
        <v>1079</v>
      </c>
      <c r="L463" s="125" t="s">
        <v>6006</v>
      </c>
      <c r="M463" s="128" t="str">
        <f t="shared" si="43"/>
        <v>REYES CASTILLO EVELIO</v>
      </c>
      <c r="N463" s="128" t="s">
        <v>6007</v>
      </c>
      <c r="O463" s="110" t="s">
        <v>6008</v>
      </c>
      <c r="P463" s="125" t="s">
        <v>1953</v>
      </c>
      <c r="Q463" s="127">
        <v>31607</v>
      </c>
      <c r="R463" s="125">
        <f t="shared" si="44"/>
        <v>14</v>
      </c>
      <c r="S463" s="125">
        <f t="shared" si="45"/>
        <v>7</v>
      </c>
      <c r="T463" s="125">
        <f t="shared" si="46"/>
        <v>1986</v>
      </c>
      <c r="U463" s="142">
        <f t="shared" ca="1" si="47"/>
        <v>40.273972602739725</v>
      </c>
      <c r="V463" s="128" t="s">
        <v>342</v>
      </c>
      <c r="W463" s="128" t="s">
        <v>6009</v>
      </c>
      <c r="X463" s="125"/>
      <c r="Y463" s="109" t="s">
        <v>168</v>
      </c>
      <c r="Z463" s="109" t="s">
        <v>164</v>
      </c>
      <c r="AA463" s="109" t="s">
        <v>347</v>
      </c>
      <c r="AB463" s="109" t="s">
        <v>2297</v>
      </c>
      <c r="AC463" s="125" t="s">
        <v>313</v>
      </c>
      <c r="AD463" s="109" t="s">
        <v>314</v>
      </c>
      <c r="AE463" s="125">
        <v>90</v>
      </c>
      <c r="AF463" s="114" t="s">
        <v>2330</v>
      </c>
      <c r="AG463" s="109" t="s">
        <v>290</v>
      </c>
      <c r="AH463" s="110" t="s">
        <v>2343</v>
      </c>
      <c r="AI463" s="109" t="s">
        <v>317</v>
      </c>
      <c r="AJ463" s="109" t="s">
        <v>318</v>
      </c>
      <c r="AK463" s="110" t="s">
        <v>6010</v>
      </c>
      <c r="AL463" s="97" t="s">
        <v>6015</v>
      </c>
      <c r="AM463" s="110" t="s">
        <v>6011</v>
      </c>
      <c r="AN463" s="110" t="s">
        <v>381</v>
      </c>
      <c r="AO463" s="110" t="s">
        <v>398</v>
      </c>
      <c r="AP463" s="110" t="s">
        <v>398</v>
      </c>
      <c r="AQ463" s="110" t="s">
        <v>6012</v>
      </c>
      <c r="AR463" s="125">
        <v>510</v>
      </c>
      <c r="AS463" s="125" t="s">
        <v>581</v>
      </c>
      <c r="AT463" s="110" t="s">
        <v>6013</v>
      </c>
      <c r="AU463" s="110" t="s">
        <v>681</v>
      </c>
      <c r="AV463" s="125">
        <v>15900</v>
      </c>
      <c r="AW463" s="125" t="s">
        <v>3416</v>
      </c>
      <c r="AX463" s="110" t="s">
        <v>329</v>
      </c>
      <c r="AY463" s="125" t="s">
        <v>3416</v>
      </c>
      <c r="AZ463" s="110"/>
      <c r="BA463" s="110"/>
      <c r="BB463" s="138"/>
      <c r="BC463" s="110"/>
      <c r="BD463" s="110" t="s">
        <v>6014</v>
      </c>
      <c r="BE463" s="110" t="s">
        <v>381</v>
      </c>
      <c r="BF463" s="110" t="s">
        <v>6010</v>
      </c>
      <c r="BG463" s="125"/>
      <c r="BH463" s="110"/>
      <c r="BI463" s="110">
        <v>1</v>
      </c>
      <c r="BJ463" s="110"/>
      <c r="BK463" s="109" t="s">
        <v>3911</v>
      </c>
      <c r="BL463" s="110">
        <v>10</v>
      </c>
      <c r="BM463" s="110"/>
      <c r="BN463" s="110"/>
      <c r="BO463" s="110"/>
      <c r="BP463" s="110"/>
      <c r="BQ463" s="110"/>
      <c r="BR463" s="110"/>
      <c r="BS463" s="110"/>
      <c r="BT463" s="110"/>
      <c r="BU463" s="110"/>
      <c r="BV463" s="110"/>
      <c r="BW463" s="110"/>
      <c r="BX463" s="110"/>
      <c r="BY463" s="110"/>
      <c r="BZ463" s="110"/>
      <c r="CA463" s="110"/>
      <c r="CB463" s="110"/>
      <c r="CC463" s="110"/>
      <c r="CD463" s="110"/>
    </row>
    <row r="464" spans="1:82" s="116" customFormat="1" ht="15" x14ac:dyDescent="0.25">
      <c r="A464" s="125">
        <v>973</v>
      </c>
      <c r="B464" s="125" t="s">
        <v>6016</v>
      </c>
      <c r="C464" s="110" t="s">
        <v>335</v>
      </c>
      <c r="D464" s="125" t="s">
        <v>86</v>
      </c>
      <c r="E464" s="125">
        <v>46220795200</v>
      </c>
      <c r="F464" s="127">
        <v>45972</v>
      </c>
      <c r="G464" s="127">
        <v>45972</v>
      </c>
      <c r="H464" s="113">
        <f t="shared" si="42"/>
        <v>46062</v>
      </c>
      <c r="I464" s="113" t="s">
        <v>290</v>
      </c>
      <c r="J464" s="125" t="s">
        <v>4415</v>
      </c>
      <c r="K464" s="125" t="s">
        <v>836</v>
      </c>
      <c r="L464" s="125" t="s">
        <v>6017</v>
      </c>
      <c r="M464" s="128" t="str">
        <f t="shared" si="43"/>
        <v>NAVARRO MENDEZ SANTIAGO DE JESUS</v>
      </c>
      <c r="N464" s="128" t="s">
        <v>6018</v>
      </c>
      <c r="O464" s="110" t="s">
        <v>6019</v>
      </c>
      <c r="P464" s="125" t="s">
        <v>1953</v>
      </c>
      <c r="Q464" s="127">
        <v>39365</v>
      </c>
      <c r="R464" s="125">
        <f t="shared" si="44"/>
        <v>10</v>
      </c>
      <c r="S464" s="125">
        <f t="shared" si="45"/>
        <v>10</v>
      </c>
      <c r="T464" s="125">
        <f t="shared" si="46"/>
        <v>2007</v>
      </c>
      <c r="U464" s="142">
        <f t="shared" ca="1" si="47"/>
        <v>19.019178082191782</v>
      </c>
      <c r="V464" s="128" t="s">
        <v>389</v>
      </c>
      <c r="W464" s="128" t="s">
        <v>6020</v>
      </c>
      <c r="X464" s="125" t="s">
        <v>454</v>
      </c>
      <c r="Y464" s="125" t="s">
        <v>617</v>
      </c>
      <c r="Z464" s="109" t="s">
        <v>118</v>
      </c>
      <c r="AA464" s="109" t="s">
        <v>2276</v>
      </c>
      <c r="AB464" s="109" t="s">
        <v>348</v>
      </c>
      <c r="AC464" s="125" t="s">
        <v>313</v>
      </c>
      <c r="AD464" s="125" t="s">
        <v>314</v>
      </c>
      <c r="AE464" s="125">
        <v>90</v>
      </c>
      <c r="AF464" s="114" t="s">
        <v>315</v>
      </c>
      <c r="AG464" s="125" t="s">
        <v>290</v>
      </c>
      <c r="AH464" s="115" t="s">
        <v>1329</v>
      </c>
      <c r="AI464" s="125" t="s">
        <v>317</v>
      </c>
      <c r="AJ464" s="125" t="s">
        <v>318</v>
      </c>
      <c r="AK464" s="110" t="s">
        <v>6021</v>
      </c>
      <c r="AL464" s="97" t="s">
        <v>6022</v>
      </c>
      <c r="AM464" s="110" t="s">
        <v>6023</v>
      </c>
      <c r="AN464" s="110" t="s">
        <v>622</v>
      </c>
      <c r="AO464" s="110" t="s">
        <v>398</v>
      </c>
      <c r="AP464" s="110" t="s">
        <v>398</v>
      </c>
      <c r="AQ464" s="110" t="s">
        <v>6024</v>
      </c>
      <c r="AR464" s="125">
        <v>138</v>
      </c>
      <c r="AS464" s="125" t="s">
        <v>581</v>
      </c>
      <c r="AT464" s="110" t="s">
        <v>482</v>
      </c>
      <c r="AU464" s="110" t="s">
        <v>483</v>
      </c>
      <c r="AV464" s="125">
        <v>78434</v>
      </c>
      <c r="AW464" s="125" t="s">
        <v>3416</v>
      </c>
      <c r="AX464" s="110" t="s">
        <v>329</v>
      </c>
      <c r="AY464" s="125" t="s">
        <v>3416</v>
      </c>
      <c r="AZ464" s="110"/>
      <c r="BA464" s="110"/>
      <c r="BB464" s="138"/>
      <c r="BC464" s="110"/>
      <c r="BD464" s="110" t="s">
        <v>6023</v>
      </c>
      <c r="BE464" s="110" t="s">
        <v>622</v>
      </c>
      <c r="BF464" s="110" t="s">
        <v>6025</v>
      </c>
      <c r="BG464" s="125"/>
      <c r="BH464" s="110" t="s">
        <v>334</v>
      </c>
      <c r="BI464" s="110"/>
      <c r="BJ464" s="110"/>
      <c r="BK464" s="110"/>
      <c r="BL464" s="110"/>
      <c r="BM464" s="110"/>
      <c r="BN464" s="110"/>
      <c r="BO464" s="110"/>
      <c r="BP464" s="110"/>
      <c r="BQ464" s="110"/>
      <c r="BR464" s="110"/>
      <c r="BS464" s="110"/>
      <c r="BT464" s="110"/>
      <c r="BU464" s="110"/>
      <c r="BV464" s="110"/>
      <c r="BW464" s="110"/>
      <c r="BX464" s="110"/>
      <c r="BY464" s="110"/>
      <c r="BZ464" s="110"/>
      <c r="CA464" s="110"/>
      <c r="CB464" s="110"/>
      <c r="CC464" s="110"/>
      <c r="CD464" s="110"/>
    </row>
    <row r="465" spans="1:82" ht="15" x14ac:dyDescent="0.25">
      <c r="A465" s="77">
        <v>974</v>
      </c>
      <c r="B465" s="77" t="s">
        <v>6026</v>
      </c>
      <c r="C465" s="78" t="s">
        <v>335</v>
      </c>
      <c r="D465" s="77" t="s">
        <v>86</v>
      </c>
      <c r="E465" s="77">
        <v>30190335668</v>
      </c>
      <c r="F465" s="79">
        <v>45972</v>
      </c>
      <c r="G465" s="79">
        <v>45972</v>
      </c>
      <c r="H465" s="101">
        <f t="shared" si="42"/>
        <v>46062</v>
      </c>
      <c r="I465" s="101" t="s">
        <v>290</v>
      </c>
      <c r="J465" s="77" t="s">
        <v>4377</v>
      </c>
      <c r="K465" s="77" t="s">
        <v>4349</v>
      </c>
      <c r="L465" s="77" t="s">
        <v>6027</v>
      </c>
      <c r="M465" s="102" t="str">
        <f t="shared" si="43"/>
        <v>SALAZAR  GALAVIZ HECTOR FABIAN</v>
      </c>
      <c r="N465" s="102" t="s">
        <v>6028</v>
      </c>
      <c r="O465" s="78" t="s">
        <v>6029</v>
      </c>
      <c r="P465" s="77" t="s">
        <v>1953</v>
      </c>
      <c r="Q465" s="79">
        <v>37687</v>
      </c>
      <c r="R465" s="77">
        <f t="shared" si="44"/>
        <v>7</v>
      </c>
      <c r="S465" s="77">
        <f t="shared" si="45"/>
        <v>3</v>
      </c>
      <c r="T465" s="77">
        <f t="shared" si="46"/>
        <v>2003</v>
      </c>
      <c r="U465" s="103">
        <f t="shared" ca="1" si="47"/>
        <v>23.616438356164384</v>
      </c>
      <c r="V465" s="102" t="s">
        <v>389</v>
      </c>
      <c r="W465" s="102" t="s">
        <v>6030</v>
      </c>
      <c r="X465" s="77" t="s">
        <v>454</v>
      </c>
      <c r="Y465" s="77" t="s">
        <v>617</v>
      </c>
      <c r="Z465" s="12" t="s">
        <v>118</v>
      </c>
      <c r="AA465" s="12" t="s">
        <v>2276</v>
      </c>
      <c r="AB465" s="12" t="s">
        <v>348</v>
      </c>
      <c r="AC465" s="77" t="s">
        <v>313</v>
      </c>
      <c r="AD465" s="77" t="s">
        <v>314</v>
      </c>
      <c r="AE465" s="77">
        <v>90</v>
      </c>
      <c r="AF465" s="13" t="s">
        <v>315</v>
      </c>
      <c r="AG465" s="77" t="s">
        <v>290</v>
      </c>
      <c r="AH465" s="104" t="s">
        <v>1329</v>
      </c>
      <c r="AI465" s="77" t="s">
        <v>317</v>
      </c>
      <c r="AJ465" s="77" t="s">
        <v>318</v>
      </c>
      <c r="AK465" s="78" t="s">
        <v>6031</v>
      </c>
      <c r="AL465" s="93" t="s">
        <v>6032</v>
      </c>
      <c r="AM465" s="78" t="s">
        <v>6033</v>
      </c>
      <c r="AN465" s="78" t="s">
        <v>325</v>
      </c>
      <c r="AO465" s="78" t="s">
        <v>398</v>
      </c>
      <c r="AP465" s="78" t="s">
        <v>398</v>
      </c>
      <c r="AQ465" s="78" t="s">
        <v>6034</v>
      </c>
      <c r="AR465" s="77">
        <v>530</v>
      </c>
      <c r="AS465" s="77" t="s">
        <v>581</v>
      </c>
      <c r="AT465" s="78" t="s">
        <v>482</v>
      </c>
      <c r="AU465" s="78" t="s">
        <v>483</v>
      </c>
      <c r="AV465" s="77">
        <v>78430</v>
      </c>
      <c r="AW465" s="77" t="s">
        <v>3416</v>
      </c>
      <c r="AX465" s="78" t="s">
        <v>329</v>
      </c>
      <c r="AY465" s="125" t="s">
        <v>3416</v>
      </c>
      <c r="AZ465" s="78"/>
      <c r="BA465" s="78"/>
      <c r="BB465" s="137"/>
      <c r="BC465" s="78"/>
      <c r="BD465" s="78" t="s">
        <v>6033</v>
      </c>
      <c r="BE465" s="78" t="s">
        <v>325</v>
      </c>
      <c r="BF465" s="78" t="s">
        <v>6035</v>
      </c>
      <c r="BG465" s="77"/>
      <c r="BH465" s="78" t="s">
        <v>334</v>
      </c>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row>
    <row r="466" spans="1:82" ht="15" x14ac:dyDescent="0.25">
      <c r="A466" s="77">
        <v>975</v>
      </c>
      <c r="B466" s="77" t="s">
        <v>6036</v>
      </c>
      <c r="C466" s="78" t="s">
        <v>363</v>
      </c>
      <c r="D466" s="77" t="s">
        <v>8401</v>
      </c>
      <c r="E466" s="77">
        <v>41078834862</v>
      </c>
      <c r="F466" s="79">
        <v>45973</v>
      </c>
      <c r="G466" s="79">
        <v>45973</v>
      </c>
      <c r="H466" s="101">
        <f t="shared" si="42"/>
        <v>46063</v>
      </c>
      <c r="I466" s="101" t="s">
        <v>290</v>
      </c>
      <c r="J466" s="77" t="s">
        <v>366</v>
      </c>
      <c r="K466" s="77" t="s">
        <v>6037</v>
      </c>
      <c r="L466" s="77" t="s">
        <v>6038</v>
      </c>
      <c r="M466" s="102" t="str">
        <f t="shared" si="43"/>
        <v>HERNANDEZ VALERIO VALENTÍN</v>
      </c>
      <c r="N466" s="102" t="s">
        <v>6039</v>
      </c>
      <c r="O466" s="78" t="s">
        <v>6040</v>
      </c>
      <c r="P466" s="77" t="s">
        <v>1953</v>
      </c>
      <c r="Q466" s="79">
        <v>32342</v>
      </c>
      <c r="R466" s="77">
        <f t="shared" si="44"/>
        <v>18</v>
      </c>
      <c r="S466" s="77">
        <f t="shared" si="45"/>
        <v>7</v>
      </c>
      <c r="T466" s="77">
        <f t="shared" si="46"/>
        <v>1988</v>
      </c>
      <c r="U466" s="103">
        <f t="shared" ca="1" si="47"/>
        <v>38.260273972602739</v>
      </c>
      <c r="V466" s="102" t="s">
        <v>342</v>
      </c>
      <c r="W466" s="102" t="s">
        <v>6041</v>
      </c>
      <c r="X466" s="77" t="s">
        <v>530</v>
      </c>
      <c r="Y466" s="77" t="s">
        <v>391</v>
      </c>
      <c r="Z466" s="77" t="s">
        <v>88</v>
      </c>
      <c r="AA466" s="77" t="s">
        <v>392</v>
      </c>
      <c r="AB466" s="77" t="s">
        <v>374</v>
      </c>
      <c r="AC466" s="77" t="s">
        <v>313</v>
      </c>
      <c r="AD466" s="77" t="s">
        <v>314</v>
      </c>
      <c r="AE466" s="77">
        <v>90</v>
      </c>
      <c r="AF466" s="13" t="s">
        <v>375</v>
      </c>
      <c r="AG466" s="77" t="s">
        <v>290</v>
      </c>
      <c r="AH466" s="78" t="s">
        <v>473</v>
      </c>
      <c r="AI466" s="12" t="s">
        <v>317</v>
      </c>
      <c r="AJ466" s="12" t="s">
        <v>318</v>
      </c>
      <c r="AK466" s="78" t="s">
        <v>6042</v>
      </c>
      <c r="AL466" s="93" t="s">
        <v>6043</v>
      </c>
      <c r="AM466" s="78" t="s">
        <v>6044</v>
      </c>
      <c r="AN466" s="78" t="s">
        <v>381</v>
      </c>
      <c r="AO466" s="78" t="s">
        <v>398</v>
      </c>
      <c r="AP466" s="78" t="s">
        <v>398</v>
      </c>
      <c r="AQ466" s="78" t="s">
        <v>6045</v>
      </c>
      <c r="AR466" s="77">
        <v>320</v>
      </c>
      <c r="AS466" s="77" t="s">
        <v>581</v>
      </c>
      <c r="AT466" s="78" t="s">
        <v>3375</v>
      </c>
      <c r="AU466" s="78" t="s">
        <v>483</v>
      </c>
      <c r="AV466" s="77">
        <v>78480</v>
      </c>
      <c r="AW466" s="77" t="s">
        <v>3416</v>
      </c>
      <c r="AX466" s="78" t="s">
        <v>329</v>
      </c>
      <c r="AY466" s="125" t="s">
        <v>3416</v>
      </c>
      <c r="AZ466" s="78"/>
      <c r="BA466" s="78"/>
      <c r="BB466" s="137"/>
      <c r="BC466" s="78"/>
      <c r="BD466" s="78" t="s">
        <v>6044</v>
      </c>
      <c r="BE466" s="78" t="s">
        <v>381</v>
      </c>
      <c r="BF466" s="78" t="s">
        <v>6046</v>
      </c>
      <c r="BG466" s="77" t="s">
        <v>333</v>
      </c>
      <c r="BH466" s="78" t="s">
        <v>334</v>
      </c>
      <c r="BI466" s="78">
        <v>2</v>
      </c>
      <c r="BJ466" s="78"/>
      <c r="BK466" s="12" t="s">
        <v>3911</v>
      </c>
      <c r="BL466" s="78">
        <v>10</v>
      </c>
      <c r="BM466" s="78"/>
      <c r="BN466" s="78" t="s">
        <v>3946</v>
      </c>
      <c r="BO466" s="78">
        <v>7</v>
      </c>
      <c r="BP466" s="78"/>
      <c r="BQ466" s="78"/>
      <c r="BR466" s="78"/>
      <c r="BS466" s="78"/>
      <c r="BT466" s="78"/>
      <c r="BU466" s="78"/>
      <c r="BV466" s="78"/>
      <c r="BW466" s="78"/>
      <c r="BX466" s="78"/>
      <c r="BY466" s="78"/>
      <c r="BZ466" s="78"/>
      <c r="CA466" s="78"/>
      <c r="CB466" s="78"/>
      <c r="CC466" s="78"/>
      <c r="CD466" s="78"/>
    </row>
    <row r="467" spans="1:82" s="116" customFormat="1" ht="15" x14ac:dyDescent="0.25">
      <c r="A467" s="125">
        <v>976</v>
      </c>
      <c r="B467" s="125" t="s">
        <v>6047</v>
      </c>
      <c r="C467" s="110" t="s">
        <v>363</v>
      </c>
      <c r="D467" s="125" t="s">
        <v>86</v>
      </c>
      <c r="E467" s="125">
        <v>26169757015</v>
      </c>
      <c r="F467" s="127">
        <v>45973</v>
      </c>
      <c r="G467" s="127">
        <v>45973</v>
      </c>
      <c r="H467" s="113">
        <f t="shared" si="42"/>
        <v>46063</v>
      </c>
      <c r="I467" s="113" t="s">
        <v>290</v>
      </c>
      <c r="J467" s="125" t="s">
        <v>5591</v>
      </c>
      <c r="K467" s="125" t="s">
        <v>366</v>
      </c>
      <c r="L467" s="125" t="s">
        <v>6048</v>
      </c>
      <c r="M467" s="128" t="str">
        <f t="shared" si="43"/>
        <v>CEDILLO HERNANDEZ JESUS ALEJANDRO</v>
      </c>
      <c r="N467" s="128" t="s">
        <v>6049</v>
      </c>
      <c r="O467" s="110" t="s">
        <v>6050</v>
      </c>
      <c r="P467" s="125" t="s">
        <v>1953</v>
      </c>
      <c r="Q467" s="127">
        <v>35762</v>
      </c>
      <c r="R467" s="125">
        <f t="shared" si="44"/>
        <v>28</v>
      </c>
      <c r="S467" s="125">
        <f t="shared" si="45"/>
        <v>11</v>
      </c>
      <c r="T467" s="125">
        <f t="shared" si="46"/>
        <v>1997</v>
      </c>
      <c r="U467" s="142">
        <f t="shared" ca="1" si="47"/>
        <v>28.890410958904109</v>
      </c>
      <c r="V467" s="128" t="s">
        <v>389</v>
      </c>
      <c r="W467" s="128" t="s">
        <v>6051</v>
      </c>
      <c r="X467" s="125" t="s">
        <v>454</v>
      </c>
      <c r="Y467" s="125" t="s">
        <v>91</v>
      </c>
      <c r="Z467" s="125" t="s">
        <v>88</v>
      </c>
      <c r="AA467" s="125" t="s">
        <v>392</v>
      </c>
      <c r="AB467" s="125" t="s">
        <v>374</v>
      </c>
      <c r="AC467" s="125" t="s">
        <v>313</v>
      </c>
      <c r="AD467" s="125" t="s">
        <v>314</v>
      </c>
      <c r="AE467" s="125">
        <v>90</v>
      </c>
      <c r="AF467" s="114" t="s">
        <v>375</v>
      </c>
      <c r="AG467" s="125" t="s">
        <v>290</v>
      </c>
      <c r="AH467" s="110" t="s">
        <v>473</v>
      </c>
      <c r="AI467" s="109" t="s">
        <v>317</v>
      </c>
      <c r="AJ467" s="109" t="s">
        <v>318</v>
      </c>
      <c r="AK467" s="110" t="s">
        <v>6052</v>
      </c>
      <c r="AL467" s="97" t="s">
        <v>6053</v>
      </c>
      <c r="AM467" s="110" t="s">
        <v>6054</v>
      </c>
      <c r="AN467" s="110" t="s">
        <v>776</v>
      </c>
      <c r="AO467" s="110" t="s">
        <v>398</v>
      </c>
      <c r="AP467" s="110" t="s">
        <v>398</v>
      </c>
      <c r="AQ467" s="110" t="s">
        <v>6055</v>
      </c>
      <c r="AR467" s="125">
        <v>1</v>
      </c>
      <c r="AS467" s="125" t="s">
        <v>581</v>
      </c>
      <c r="AT467" s="110" t="s">
        <v>483</v>
      </c>
      <c r="AU467" s="110" t="s">
        <v>483</v>
      </c>
      <c r="AV467" s="125">
        <v>78394</v>
      </c>
      <c r="AW467" s="125" t="s">
        <v>3416</v>
      </c>
      <c r="AX467" s="110" t="s">
        <v>329</v>
      </c>
      <c r="AY467" s="125" t="s">
        <v>3416</v>
      </c>
      <c r="AZ467" s="110"/>
      <c r="BA467" s="110"/>
      <c r="BB467" s="138"/>
      <c r="BC467" s="110"/>
      <c r="BD467" s="110" t="s">
        <v>6054</v>
      </c>
      <c r="BE467" s="110" t="s">
        <v>776</v>
      </c>
      <c r="BF467" s="110" t="s">
        <v>6056</v>
      </c>
      <c r="BG467" s="125" t="s">
        <v>333</v>
      </c>
      <c r="BH467" s="110" t="s">
        <v>334</v>
      </c>
      <c r="BI467" s="110">
        <v>1</v>
      </c>
      <c r="BJ467" s="110"/>
      <c r="BK467" s="109" t="s">
        <v>3911</v>
      </c>
      <c r="BL467" s="110">
        <v>10</v>
      </c>
      <c r="BM467" s="110"/>
      <c r="BN467" s="110"/>
      <c r="BO467" s="110"/>
      <c r="BP467" s="110"/>
      <c r="BQ467" s="110"/>
      <c r="BR467" s="110"/>
      <c r="BS467" s="110"/>
      <c r="BT467" s="110"/>
      <c r="BU467" s="110"/>
      <c r="BV467" s="110"/>
      <c r="BW467" s="110"/>
      <c r="BX467" s="110"/>
      <c r="BY467" s="110"/>
      <c r="BZ467" s="110"/>
      <c r="CA467" s="110"/>
      <c r="CB467" s="110"/>
      <c r="CC467" s="110"/>
      <c r="CD467" s="110"/>
    </row>
    <row r="468" spans="1:82" ht="15" x14ac:dyDescent="0.25">
      <c r="A468" s="77">
        <v>1165</v>
      </c>
      <c r="B468" s="77" t="s">
        <v>6066</v>
      </c>
      <c r="C468" s="78" t="s">
        <v>299</v>
      </c>
      <c r="D468" s="99" t="s">
        <v>80</v>
      </c>
      <c r="E468" s="77">
        <v>41109146302</v>
      </c>
      <c r="F468" s="79">
        <v>45973</v>
      </c>
      <c r="G468" s="79">
        <v>45973</v>
      </c>
      <c r="H468" s="101">
        <f t="shared" si="42"/>
        <v>46063</v>
      </c>
      <c r="I468" s="101" t="s">
        <v>290</v>
      </c>
      <c r="J468" s="77" t="s">
        <v>337</v>
      </c>
      <c r="K468" s="77" t="s">
        <v>337</v>
      </c>
      <c r="L468" s="77" t="s">
        <v>1506</v>
      </c>
      <c r="M468" s="102" t="str">
        <f t="shared" si="43"/>
        <v>FLORES FLORES RICARDO</v>
      </c>
      <c r="N468" s="102" t="s">
        <v>6057</v>
      </c>
      <c r="O468" s="78" t="s">
        <v>6058</v>
      </c>
      <c r="P468" s="77" t="s">
        <v>1953</v>
      </c>
      <c r="Q468" s="79">
        <v>33528</v>
      </c>
      <c r="R468" s="77">
        <f t="shared" si="44"/>
        <v>17</v>
      </c>
      <c r="S468" s="77">
        <f t="shared" si="45"/>
        <v>10</v>
      </c>
      <c r="T468" s="77">
        <f t="shared" si="46"/>
        <v>1991</v>
      </c>
      <c r="U468" s="103">
        <f t="shared" ca="1" si="47"/>
        <v>35.010958904109586</v>
      </c>
      <c r="V468" s="102" t="s">
        <v>452</v>
      </c>
      <c r="W468" s="102" t="s">
        <v>6059</v>
      </c>
      <c r="X468" s="77" t="s">
        <v>454</v>
      </c>
      <c r="Y468" s="77" t="s">
        <v>77</v>
      </c>
      <c r="Z468" s="109" t="s">
        <v>73</v>
      </c>
      <c r="AA468" s="109" t="s">
        <v>311</v>
      </c>
      <c r="AB468" s="109" t="s">
        <v>312</v>
      </c>
      <c r="AC468" s="77" t="s">
        <v>313</v>
      </c>
      <c r="AD468" s="77" t="s">
        <v>314</v>
      </c>
      <c r="AE468" s="77">
        <v>90</v>
      </c>
      <c r="AF468" s="13" t="s">
        <v>315</v>
      </c>
      <c r="AG468" s="12" t="s">
        <v>291</v>
      </c>
      <c r="AH468" s="78" t="s">
        <v>316</v>
      </c>
      <c r="AI468" s="77" t="s">
        <v>317</v>
      </c>
      <c r="AJ468" s="77" t="s">
        <v>5229</v>
      </c>
      <c r="AK468" s="78" t="s">
        <v>6060</v>
      </c>
      <c r="AL468" s="93" t="s">
        <v>6061</v>
      </c>
      <c r="AM468" s="78" t="s">
        <v>6062</v>
      </c>
      <c r="AN468" s="78" t="s">
        <v>461</v>
      </c>
      <c r="AO468" s="78" t="s">
        <v>398</v>
      </c>
      <c r="AP468" s="78" t="s">
        <v>398</v>
      </c>
      <c r="AQ468" s="78" t="s">
        <v>6063</v>
      </c>
      <c r="AR468" s="77">
        <v>145</v>
      </c>
      <c r="AS468" s="77" t="s">
        <v>581</v>
      </c>
      <c r="AT468" s="78" t="s">
        <v>483</v>
      </c>
      <c r="AU468" s="78" t="s">
        <v>483</v>
      </c>
      <c r="AV468" s="77">
        <v>78116</v>
      </c>
      <c r="AW468" s="77" t="s">
        <v>3416</v>
      </c>
      <c r="AX468" s="78" t="s">
        <v>329</v>
      </c>
      <c r="AY468" s="125" t="s">
        <v>3416</v>
      </c>
      <c r="AZ468" s="78"/>
      <c r="BA468" s="78"/>
      <c r="BB468" s="137"/>
      <c r="BC468" s="78"/>
      <c r="BD468" s="78" t="s">
        <v>6062</v>
      </c>
      <c r="BE468" s="78" t="s">
        <v>461</v>
      </c>
      <c r="BF468" s="78" t="s">
        <v>6064</v>
      </c>
      <c r="BG468" s="77" t="s">
        <v>6065</v>
      </c>
      <c r="BH468" s="78" t="s">
        <v>3815</v>
      </c>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row>
    <row r="469" spans="1:82" s="116" customFormat="1" ht="15" x14ac:dyDescent="0.25">
      <c r="A469" s="125">
        <v>977</v>
      </c>
      <c r="B469" s="125" t="s">
        <v>6081</v>
      </c>
      <c r="C469" s="110" t="s">
        <v>335</v>
      </c>
      <c r="D469" s="125" t="s">
        <v>116</v>
      </c>
      <c r="E469" s="125" t="s">
        <v>6069</v>
      </c>
      <c r="F469" s="127">
        <v>45979</v>
      </c>
      <c r="G469" s="127">
        <v>45979</v>
      </c>
      <c r="H469" s="113">
        <f t="shared" si="42"/>
        <v>46069</v>
      </c>
      <c r="I469" s="113" t="s">
        <v>290</v>
      </c>
      <c r="J469" s="125" t="s">
        <v>6070</v>
      </c>
      <c r="K469" s="125" t="s">
        <v>6071</v>
      </c>
      <c r="L469" s="125" t="s">
        <v>6072</v>
      </c>
      <c r="M469" s="128" t="str">
        <f t="shared" si="43"/>
        <v>GUIZAR CAMARILLO ULISES HILARIO</v>
      </c>
      <c r="N469" s="128" t="s">
        <v>6079</v>
      </c>
      <c r="O469" s="110" t="s">
        <v>6080</v>
      </c>
      <c r="P469" s="125" t="s">
        <v>1953</v>
      </c>
      <c r="Q469" s="127">
        <v>38947</v>
      </c>
      <c r="R469" s="125">
        <f t="shared" si="44"/>
        <v>18</v>
      </c>
      <c r="S469" s="125">
        <f t="shared" si="45"/>
        <v>8</v>
      </c>
      <c r="T469" s="125">
        <f t="shared" si="46"/>
        <v>2006</v>
      </c>
      <c r="U469" s="142">
        <f t="shared" ca="1" si="47"/>
        <v>20.164383561643834</v>
      </c>
      <c r="V469" s="128" t="s">
        <v>389</v>
      </c>
      <c r="W469" s="128" t="s">
        <v>6073</v>
      </c>
      <c r="X469" s="125" t="s">
        <v>454</v>
      </c>
      <c r="Y469" s="125" t="s">
        <v>5951</v>
      </c>
      <c r="Z469" s="109" t="s">
        <v>118</v>
      </c>
      <c r="AA469" s="109" t="s">
        <v>2276</v>
      </c>
      <c r="AB469" s="109" t="s">
        <v>348</v>
      </c>
      <c r="AC469" s="125" t="s">
        <v>313</v>
      </c>
      <c r="AD469" s="125" t="s">
        <v>314</v>
      </c>
      <c r="AE469" s="125">
        <v>90</v>
      </c>
      <c r="AF469" s="114" t="s">
        <v>350</v>
      </c>
      <c r="AG469" s="125" t="s">
        <v>290</v>
      </c>
      <c r="AH469" s="110" t="s">
        <v>351</v>
      </c>
      <c r="AI469" s="125" t="s">
        <v>317</v>
      </c>
      <c r="AJ469" s="125" t="s">
        <v>318</v>
      </c>
      <c r="AK469" s="110" t="s">
        <v>6074</v>
      </c>
      <c r="AL469" s="97" t="s">
        <v>6075</v>
      </c>
      <c r="AM469" s="110" t="s">
        <v>6076</v>
      </c>
      <c r="AN469" s="110" t="s">
        <v>325</v>
      </c>
      <c r="AO469" s="110" t="s">
        <v>398</v>
      </c>
      <c r="AP469" s="110" t="s">
        <v>398</v>
      </c>
      <c r="AQ469" s="110" t="s">
        <v>6077</v>
      </c>
      <c r="AR469" s="125">
        <v>219</v>
      </c>
      <c r="AS469" s="125" t="s">
        <v>581</v>
      </c>
      <c r="AT469" s="110" t="s">
        <v>5660</v>
      </c>
      <c r="AU469" s="110" t="s">
        <v>583</v>
      </c>
      <c r="AV469" s="125">
        <v>45314</v>
      </c>
      <c r="AW469" s="125" t="s">
        <v>3416</v>
      </c>
      <c r="AX469" s="110" t="s">
        <v>329</v>
      </c>
      <c r="AY469" s="125" t="s">
        <v>3416</v>
      </c>
      <c r="AZ469" s="110"/>
      <c r="BA469" s="110"/>
      <c r="BB469" s="138"/>
      <c r="BC469" s="110"/>
      <c r="BD469" s="110" t="s">
        <v>6078</v>
      </c>
      <c r="BE469" s="110" t="s">
        <v>325</v>
      </c>
      <c r="BF469" s="110" t="s">
        <v>6074</v>
      </c>
      <c r="BG469" s="125" t="s">
        <v>333</v>
      </c>
      <c r="BH469" s="110"/>
      <c r="BI469" s="110"/>
      <c r="BJ469" s="110"/>
      <c r="BK469" s="110"/>
      <c r="BL469" s="110"/>
      <c r="BM469" s="110"/>
      <c r="BN469" s="110"/>
      <c r="BO469" s="110"/>
      <c r="BP469" s="110"/>
      <c r="BQ469" s="110"/>
      <c r="BR469" s="110"/>
      <c r="BS469" s="110"/>
      <c r="BT469" s="110"/>
      <c r="BU469" s="110"/>
      <c r="BV469" s="110"/>
      <c r="BW469" s="110"/>
      <c r="BX469" s="110"/>
      <c r="BY469" s="110"/>
      <c r="BZ469" s="110"/>
      <c r="CA469" s="110"/>
      <c r="CB469" s="110"/>
      <c r="CC469" s="110"/>
      <c r="CD469" s="110"/>
    </row>
    <row r="470" spans="1:82" s="116" customFormat="1" ht="15" x14ac:dyDescent="0.25">
      <c r="A470" s="125">
        <v>895</v>
      </c>
      <c r="B470" s="125" t="s">
        <v>5098</v>
      </c>
      <c r="C470" s="128" t="s">
        <v>335</v>
      </c>
      <c r="D470" s="125" t="s">
        <v>116</v>
      </c>
      <c r="E470" s="111" t="s">
        <v>6689</v>
      </c>
      <c r="F470" s="127">
        <v>45979</v>
      </c>
      <c r="G470" s="127">
        <v>45979</v>
      </c>
      <c r="H470" s="113">
        <f t="shared" si="42"/>
        <v>46069</v>
      </c>
      <c r="I470" s="113" t="s">
        <v>290</v>
      </c>
      <c r="J470" s="125" t="s">
        <v>5102</v>
      </c>
      <c r="K470" s="125" t="s">
        <v>5103</v>
      </c>
      <c r="L470" s="125" t="s">
        <v>5104</v>
      </c>
      <c r="M470" s="128" t="str">
        <f t="shared" si="43"/>
        <v>CARRANZA SANTACRUZ ADRIAN SALVADOR</v>
      </c>
      <c r="N470" s="128" t="s">
        <v>7095</v>
      </c>
      <c r="O470" s="128" t="s">
        <v>5109</v>
      </c>
      <c r="P470" s="125" t="s">
        <v>1953</v>
      </c>
      <c r="Q470" s="112">
        <v>37232</v>
      </c>
      <c r="R470" s="125">
        <f t="shared" si="44"/>
        <v>7</v>
      </c>
      <c r="S470" s="125">
        <f t="shared" si="45"/>
        <v>12</v>
      </c>
      <c r="T470" s="125">
        <f t="shared" si="46"/>
        <v>2001</v>
      </c>
      <c r="U470" s="142">
        <f t="shared" ca="1" si="47"/>
        <v>24.863013698630137</v>
      </c>
      <c r="V470" s="125" t="s">
        <v>452</v>
      </c>
      <c r="W470" s="128" t="s">
        <v>5110</v>
      </c>
      <c r="X470" s="125" t="s">
        <v>693</v>
      </c>
      <c r="Y470" s="125" t="s">
        <v>5951</v>
      </c>
      <c r="Z470" s="109" t="s">
        <v>118</v>
      </c>
      <c r="AA470" s="109" t="s">
        <v>2276</v>
      </c>
      <c r="AB470" s="109" t="s">
        <v>348</v>
      </c>
      <c r="AC470" s="125" t="s">
        <v>313</v>
      </c>
      <c r="AD470" s="125" t="s">
        <v>314</v>
      </c>
      <c r="AE470" s="125">
        <v>90</v>
      </c>
      <c r="AF470" s="114" t="s">
        <v>350</v>
      </c>
      <c r="AG470" s="125" t="s">
        <v>290</v>
      </c>
      <c r="AH470" s="128" t="s">
        <v>351</v>
      </c>
      <c r="AI470" s="125" t="s">
        <v>317</v>
      </c>
      <c r="AJ470" s="125" t="s">
        <v>318</v>
      </c>
      <c r="AK470" s="128" t="s">
        <v>6082</v>
      </c>
      <c r="AL470" s="147" t="s">
        <v>6083</v>
      </c>
      <c r="AM470" s="128" t="s">
        <v>6084</v>
      </c>
      <c r="AN470" s="128" t="s">
        <v>325</v>
      </c>
      <c r="AO470" s="110" t="s">
        <v>398</v>
      </c>
      <c r="AP470" s="128" t="s">
        <v>398</v>
      </c>
      <c r="AQ470" s="128" t="s">
        <v>6085</v>
      </c>
      <c r="AR470" s="125">
        <v>181</v>
      </c>
      <c r="AS470" s="125" t="s">
        <v>581</v>
      </c>
      <c r="AT470" s="128" t="s">
        <v>5660</v>
      </c>
      <c r="AU470" s="128" t="s">
        <v>583</v>
      </c>
      <c r="AV470" s="125">
        <v>45314</v>
      </c>
      <c r="AW470" s="125" t="s">
        <v>3416</v>
      </c>
      <c r="AX470" s="128" t="s">
        <v>329</v>
      </c>
      <c r="AY470" s="125" t="s">
        <v>3416</v>
      </c>
      <c r="AZ470" s="128"/>
      <c r="BA470" s="128"/>
      <c r="BB470" s="148"/>
      <c r="BC470" s="128"/>
      <c r="BD470" s="128" t="s">
        <v>6084</v>
      </c>
      <c r="BE470" s="128" t="s">
        <v>325</v>
      </c>
      <c r="BF470" s="128" t="s">
        <v>6082</v>
      </c>
      <c r="BG470" s="128" t="s">
        <v>333</v>
      </c>
      <c r="BH470" s="128" t="s">
        <v>327</v>
      </c>
      <c r="BI470" s="128">
        <v>1</v>
      </c>
      <c r="BJ470" s="128"/>
      <c r="BK470" s="114" t="s">
        <v>3911</v>
      </c>
      <c r="BL470" s="128" t="s">
        <v>3919</v>
      </c>
      <c r="BM470" s="128"/>
      <c r="BN470" s="128"/>
      <c r="BO470" s="128"/>
      <c r="BP470" s="128"/>
      <c r="BQ470" s="128"/>
      <c r="BR470" s="128"/>
      <c r="BS470" s="128"/>
      <c r="BT470" s="128"/>
      <c r="BU470" s="128"/>
      <c r="BV470" s="128"/>
      <c r="BW470" s="128"/>
      <c r="BX470" s="128"/>
      <c r="BY470" s="128"/>
      <c r="BZ470" s="128"/>
      <c r="CA470" s="128"/>
      <c r="CB470" s="125"/>
      <c r="CC470" s="125"/>
      <c r="CD470" s="110"/>
    </row>
    <row r="471" spans="1:82" ht="15" x14ac:dyDescent="0.25">
      <c r="A471" s="77">
        <v>898</v>
      </c>
      <c r="B471" s="77" t="s">
        <v>5116</v>
      </c>
      <c r="C471" s="102" t="s">
        <v>335</v>
      </c>
      <c r="D471" s="77" t="s">
        <v>86</v>
      </c>
      <c r="E471" s="99" t="s">
        <v>6692</v>
      </c>
      <c r="F471" s="79">
        <v>45980</v>
      </c>
      <c r="G471" s="79">
        <v>45980</v>
      </c>
      <c r="H471" s="101">
        <f t="shared" si="42"/>
        <v>46010</v>
      </c>
      <c r="I471" s="101" t="s">
        <v>290</v>
      </c>
      <c r="J471" s="77" t="s">
        <v>6086</v>
      </c>
      <c r="K471" s="77" t="s">
        <v>4312</v>
      </c>
      <c r="L471" s="77" t="s">
        <v>706</v>
      </c>
      <c r="M471" s="102" t="str">
        <f t="shared" si="43"/>
        <v>IZAGUIRRE SANTILLAN MIGUEL ANGEL</v>
      </c>
      <c r="N471" s="102" t="s">
        <v>7098</v>
      </c>
      <c r="O471" s="102" t="s">
        <v>5122</v>
      </c>
      <c r="P471" s="77" t="s">
        <v>1953</v>
      </c>
      <c r="Q471" s="100">
        <v>36718</v>
      </c>
      <c r="R471" s="77">
        <f t="shared" si="44"/>
        <v>11</v>
      </c>
      <c r="S471" s="77">
        <f t="shared" si="45"/>
        <v>7</v>
      </c>
      <c r="T471" s="77">
        <f t="shared" si="46"/>
        <v>2000</v>
      </c>
      <c r="U471" s="103">
        <f t="shared" ca="1" si="47"/>
        <v>26.271232876712329</v>
      </c>
      <c r="V471" s="102" t="s">
        <v>389</v>
      </c>
      <c r="W471" s="102" t="s">
        <v>6087</v>
      </c>
      <c r="X471" s="77" t="s">
        <v>454</v>
      </c>
      <c r="Y471" s="12" t="s">
        <v>150</v>
      </c>
      <c r="Z471" s="12" t="s">
        <v>153</v>
      </c>
      <c r="AA471" s="12" t="s">
        <v>347</v>
      </c>
      <c r="AB471" s="12" t="s">
        <v>842</v>
      </c>
      <c r="AC471" s="12" t="s">
        <v>313</v>
      </c>
      <c r="AD471" s="12" t="s">
        <v>314</v>
      </c>
      <c r="AE471" s="77">
        <v>30</v>
      </c>
      <c r="AF471" s="13" t="s">
        <v>315</v>
      </c>
      <c r="AG471" s="77" t="s">
        <v>290</v>
      </c>
      <c r="AH471" s="104" t="s">
        <v>1329</v>
      </c>
      <c r="AI471" s="77" t="s">
        <v>317</v>
      </c>
      <c r="AJ471" s="77" t="s">
        <v>318</v>
      </c>
      <c r="AK471" s="78" t="s">
        <v>6088</v>
      </c>
      <c r="AL471" s="93" t="s">
        <v>5132</v>
      </c>
      <c r="AM471" s="78" t="s">
        <v>6089</v>
      </c>
      <c r="AN471" s="78" t="s">
        <v>325</v>
      </c>
      <c r="AO471" s="78" t="s">
        <v>398</v>
      </c>
      <c r="AP471" s="78" t="s">
        <v>398</v>
      </c>
      <c r="AQ471" s="78" t="s">
        <v>6090</v>
      </c>
      <c r="AR471" s="77">
        <v>305</v>
      </c>
      <c r="AS471" s="77" t="s">
        <v>642</v>
      </c>
      <c r="AT471" s="78" t="s">
        <v>482</v>
      </c>
      <c r="AU471" s="78" t="s">
        <v>483</v>
      </c>
      <c r="AV471" s="77">
        <v>78430</v>
      </c>
      <c r="AW471" s="77" t="s">
        <v>3416</v>
      </c>
      <c r="AX471" s="78" t="s">
        <v>329</v>
      </c>
      <c r="AY471" s="125" t="s">
        <v>3416</v>
      </c>
      <c r="AZ471" s="78"/>
      <c r="BA471" s="78"/>
      <c r="BB471" s="137"/>
      <c r="BC471" s="78"/>
      <c r="BD471" s="78" t="s">
        <v>6091</v>
      </c>
      <c r="BE471" s="78" t="s">
        <v>325</v>
      </c>
      <c r="BF471" s="78" t="s">
        <v>6092</v>
      </c>
      <c r="BG471" s="77"/>
      <c r="BH471" s="78" t="s">
        <v>362</v>
      </c>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row>
    <row r="472" spans="1:82" s="116" customFormat="1" ht="15" x14ac:dyDescent="0.25">
      <c r="A472" s="109">
        <v>978</v>
      </c>
      <c r="B472" s="125" t="s">
        <v>6245</v>
      </c>
      <c r="C472" s="114" t="s">
        <v>564</v>
      </c>
      <c r="D472" s="109" t="s">
        <v>81</v>
      </c>
      <c r="E472" s="125" t="s">
        <v>6093</v>
      </c>
      <c r="F472" s="127">
        <v>45980</v>
      </c>
      <c r="G472" s="127">
        <v>45980</v>
      </c>
      <c r="H472" s="113">
        <f t="shared" si="42"/>
        <v>46070</v>
      </c>
      <c r="I472" s="113" t="s">
        <v>290</v>
      </c>
      <c r="J472" s="125" t="s">
        <v>590</v>
      </c>
      <c r="K472" s="125" t="s">
        <v>793</v>
      </c>
      <c r="L472" s="125" t="s">
        <v>6094</v>
      </c>
      <c r="M472" s="128" t="str">
        <f t="shared" si="43"/>
        <v>PEREZ LOPEZ JOJAN FELIPE</v>
      </c>
      <c r="N472" s="128" t="s">
        <v>6095</v>
      </c>
      <c r="O472" s="110" t="s">
        <v>6096</v>
      </c>
      <c r="P472" s="125" t="s">
        <v>1953</v>
      </c>
      <c r="Q472" s="127">
        <v>37119</v>
      </c>
      <c r="R472" s="125">
        <f t="shared" si="44"/>
        <v>16</v>
      </c>
      <c r="S472" s="125">
        <f t="shared" si="45"/>
        <v>8</v>
      </c>
      <c r="T472" s="125">
        <f t="shared" si="46"/>
        <v>2001</v>
      </c>
      <c r="U472" s="142">
        <f t="shared" ca="1" si="47"/>
        <v>25.172602739726027</v>
      </c>
      <c r="V472" s="128" t="s">
        <v>452</v>
      </c>
      <c r="W472" s="128" t="s">
        <v>6097</v>
      </c>
      <c r="X472" s="125" t="s">
        <v>472</v>
      </c>
      <c r="Y472" s="125" t="s">
        <v>115</v>
      </c>
      <c r="Z472" s="109" t="s">
        <v>260</v>
      </c>
      <c r="AA472" s="125" t="s">
        <v>532</v>
      </c>
      <c r="AB472" s="109" t="s">
        <v>574</v>
      </c>
      <c r="AC472" s="125" t="s">
        <v>313</v>
      </c>
      <c r="AD472" s="125" t="s">
        <v>314</v>
      </c>
      <c r="AE472" s="125">
        <v>90</v>
      </c>
      <c r="AF472" s="114" t="s">
        <v>710</v>
      </c>
      <c r="AG472" s="125" t="s">
        <v>290</v>
      </c>
      <c r="AH472" s="110" t="s">
        <v>575</v>
      </c>
      <c r="AI472" s="125" t="s">
        <v>317</v>
      </c>
      <c r="AJ472" s="125" t="s">
        <v>318</v>
      </c>
      <c r="AK472" s="110" t="s">
        <v>5761</v>
      </c>
      <c r="AL472" s="97" t="s">
        <v>5762</v>
      </c>
      <c r="AM472" s="110" t="s">
        <v>6098</v>
      </c>
      <c r="AN472" s="110" t="s">
        <v>439</v>
      </c>
      <c r="AO472" s="110" t="s">
        <v>398</v>
      </c>
      <c r="AP472" s="110" t="s">
        <v>398</v>
      </c>
      <c r="AQ472" s="110" t="s">
        <v>6099</v>
      </c>
      <c r="AR472" s="125">
        <v>108</v>
      </c>
      <c r="AS472" s="125" t="s">
        <v>581</v>
      </c>
      <c r="AT472" s="110" t="s">
        <v>624</v>
      </c>
      <c r="AU472" s="110" t="s">
        <v>583</v>
      </c>
      <c r="AV472" s="125">
        <v>45685</v>
      </c>
      <c r="AW472" s="125" t="s">
        <v>3416</v>
      </c>
      <c r="AX472" s="110" t="s">
        <v>329</v>
      </c>
      <c r="AY472" s="125" t="s">
        <v>3416</v>
      </c>
      <c r="AZ472" s="110"/>
      <c r="BA472" s="110"/>
      <c r="BB472" s="138"/>
      <c r="BC472" s="110"/>
      <c r="BD472" s="110" t="s">
        <v>6100</v>
      </c>
      <c r="BE472" s="110" t="s">
        <v>478</v>
      </c>
      <c r="BF472" s="110" t="s">
        <v>6101</v>
      </c>
      <c r="BG472" s="125" t="s">
        <v>333</v>
      </c>
      <c r="BH472" s="110" t="s">
        <v>334</v>
      </c>
      <c r="BI472" s="110">
        <v>2</v>
      </c>
      <c r="BJ472" s="110"/>
      <c r="BK472" s="110" t="s">
        <v>571</v>
      </c>
      <c r="BL472" s="110">
        <v>4</v>
      </c>
      <c r="BM472" s="110"/>
      <c r="BN472" s="110" t="s">
        <v>571</v>
      </c>
      <c r="BO472" s="110">
        <v>1</v>
      </c>
      <c r="BP472" s="110"/>
      <c r="BQ472" s="110"/>
      <c r="BR472" s="110"/>
      <c r="BS472" s="110"/>
      <c r="BT472" s="110"/>
      <c r="BU472" s="110"/>
      <c r="BV472" s="110"/>
      <c r="BW472" s="110"/>
      <c r="BX472" s="110"/>
      <c r="BY472" s="110"/>
      <c r="BZ472" s="110"/>
      <c r="CA472" s="110"/>
      <c r="CB472" s="110"/>
      <c r="CC472" s="110"/>
      <c r="CD472" s="110"/>
    </row>
    <row r="473" spans="1:82" s="116" customFormat="1" ht="15" x14ac:dyDescent="0.25">
      <c r="A473" s="125">
        <v>979</v>
      </c>
      <c r="B473" s="125" t="s">
        <v>6102</v>
      </c>
      <c r="C473" s="110" t="s">
        <v>363</v>
      </c>
      <c r="D473" s="125" t="s">
        <v>232</v>
      </c>
      <c r="E473" s="125" t="s">
        <v>6106</v>
      </c>
      <c r="F473" s="127">
        <v>45985</v>
      </c>
      <c r="G473" s="127">
        <v>45985</v>
      </c>
      <c r="H473" s="113">
        <f t="shared" si="42"/>
        <v>46075</v>
      </c>
      <c r="I473" s="113" t="s">
        <v>291</v>
      </c>
      <c r="J473" s="125" t="s">
        <v>4531</v>
      </c>
      <c r="K473" s="125" t="s">
        <v>6107</v>
      </c>
      <c r="L473" s="125" t="s">
        <v>6108</v>
      </c>
      <c r="M473" s="128" t="str">
        <f t="shared" si="43"/>
        <v>CASTRO CEPEDA ALAN GERARDO</v>
      </c>
      <c r="N473" s="128" t="s">
        <v>6109</v>
      </c>
      <c r="O473" s="110" t="s">
        <v>6110</v>
      </c>
      <c r="P473" s="125" t="s">
        <v>1953</v>
      </c>
      <c r="Q473" s="127">
        <v>33954</v>
      </c>
      <c r="R473" s="125">
        <f t="shared" si="44"/>
        <v>16</v>
      </c>
      <c r="S473" s="125">
        <f t="shared" si="45"/>
        <v>12</v>
      </c>
      <c r="T473" s="125">
        <f t="shared" si="46"/>
        <v>1992</v>
      </c>
      <c r="U473" s="142">
        <f t="shared" ca="1" si="47"/>
        <v>33.843835616438355</v>
      </c>
      <c r="V473" s="128" t="s">
        <v>389</v>
      </c>
      <c r="W473" s="128" t="s">
        <v>6111</v>
      </c>
      <c r="X473" s="125" t="s">
        <v>5808</v>
      </c>
      <c r="Y473" s="125" t="s">
        <v>5976</v>
      </c>
      <c r="Z473" s="109" t="s">
        <v>93</v>
      </c>
      <c r="AA473" s="109" t="s">
        <v>636</v>
      </c>
      <c r="AB473" s="109" t="s">
        <v>1428</v>
      </c>
      <c r="AC473" s="125" t="s">
        <v>313</v>
      </c>
      <c r="AD473" s="125" t="s">
        <v>314</v>
      </c>
      <c r="AE473" s="125">
        <v>90</v>
      </c>
      <c r="AF473" s="128" t="s">
        <v>375</v>
      </c>
      <c r="AG473" s="125" t="s">
        <v>291</v>
      </c>
      <c r="AH473" s="110" t="s">
        <v>473</v>
      </c>
      <c r="AI473" s="125" t="s">
        <v>317</v>
      </c>
      <c r="AJ473" s="125" t="s">
        <v>318</v>
      </c>
      <c r="AK473" s="110" t="s">
        <v>6112</v>
      </c>
      <c r="AL473" s="97" t="s">
        <v>6113</v>
      </c>
      <c r="AM473" s="110" t="s">
        <v>6114</v>
      </c>
      <c r="AN473" s="110" t="s">
        <v>3579</v>
      </c>
      <c r="AO473" s="110" t="s">
        <v>398</v>
      </c>
      <c r="AP473" s="110" t="s">
        <v>398</v>
      </c>
      <c r="AQ473" s="110" t="s">
        <v>6115</v>
      </c>
      <c r="AR473" s="125">
        <v>637</v>
      </c>
      <c r="AS473" s="125" t="s">
        <v>581</v>
      </c>
      <c r="AT473" s="110" t="s">
        <v>483</v>
      </c>
      <c r="AU473" s="110" t="s">
        <v>483</v>
      </c>
      <c r="AV473" s="125">
        <v>78339</v>
      </c>
      <c r="AW473" s="125" t="s">
        <v>3416</v>
      </c>
      <c r="AX473" s="110" t="s">
        <v>329</v>
      </c>
      <c r="AY473" s="125" t="s">
        <v>3416</v>
      </c>
      <c r="AZ473" s="110"/>
      <c r="BA473" s="110"/>
      <c r="BB473" s="138"/>
      <c r="BC473" s="110"/>
      <c r="BD473" s="110" t="s">
        <v>6114</v>
      </c>
      <c r="BE473" s="110" t="s">
        <v>3579</v>
      </c>
      <c r="BF473" s="110" t="s">
        <v>6116</v>
      </c>
      <c r="BG473" s="125" t="s">
        <v>6117</v>
      </c>
      <c r="BH473" s="110" t="s">
        <v>398</v>
      </c>
      <c r="BI473" s="110"/>
      <c r="BJ473" s="110"/>
      <c r="BK473" s="110"/>
      <c r="BL473" s="110"/>
      <c r="BM473" s="110"/>
      <c r="BN473" s="110"/>
      <c r="BO473" s="110"/>
      <c r="BP473" s="110"/>
      <c r="BQ473" s="110"/>
      <c r="BR473" s="110"/>
      <c r="BS473" s="110"/>
      <c r="BT473" s="110"/>
      <c r="BU473" s="110"/>
      <c r="BV473" s="110"/>
      <c r="BW473" s="110"/>
      <c r="BX473" s="110"/>
      <c r="BY473" s="110"/>
      <c r="BZ473" s="110"/>
      <c r="CA473" s="110"/>
      <c r="CB473" s="110"/>
      <c r="CC473" s="110"/>
      <c r="CD473" s="110"/>
    </row>
    <row r="474" spans="1:82" ht="15" x14ac:dyDescent="0.25">
      <c r="A474" s="12">
        <v>980</v>
      </c>
      <c r="B474" s="77" t="s">
        <v>6103</v>
      </c>
      <c r="C474" s="78" t="s">
        <v>363</v>
      </c>
      <c r="D474" s="12" t="s">
        <v>7242</v>
      </c>
      <c r="E474" s="77">
        <v>45008122561</v>
      </c>
      <c r="F474" s="79">
        <v>45985</v>
      </c>
      <c r="G474" s="79">
        <v>45985</v>
      </c>
      <c r="H474" s="101">
        <f t="shared" si="42"/>
        <v>46075</v>
      </c>
      <c r="I474" s="101" t="s">
        <v>291</v>
      </c>
      <c r="J474" s="77" t="s">
        <v>1121</v>
      </c>
      <c r="K474" s="77" t="s">
        <v>6118</v>
      </c>
      <c r="L474" s="77" t="s">
        <v>1703</v>
      </c>
      <c r="M474" s="102" t="str">
        <f t="shared" si="43"/>
        <v>LOZANO CURTO JOSE LUIS</v>
      </c>
      <c r="N474" s="102" t="s">
        <v>6119</v>
      </c>
      <c r="O474" s="78" t="s">
        <v>6120</v>
      </c>
      <c r="P474" s="77" t="s">
        <v>1953</v>
      </c>
      <c r="Q474" s="79">
        <v>29946</v>
      </c>
      <c r="R474" s="77">
        <f t="shared" si="44"/>
        <v>26</v>
      </c>
      <c r="S474" s="77">
        <f t="shared" si="45"/>
        <v>12</v>
      </c>
      <c r="T474" s="77">
        <f t="shared" si="46"/>
        <v>1981</v>
      </c>
      <c r="U474" s="103">
        <f t="shared" ca="1" si="47"/>
        <v>44.824657534246576</v>
      </c>
      <c r="V474" s="102" t="s">
        <v>342</v>
      </c>
      <c r="W474" s="102" t="s">
        <v>6121</v>
      </c>
      <c r="X474" s="77" t="s">
        <v>5808</v>
      </c>
      <c r="Y474" s="77" t="s">
        <v>216</v>
      </c>
      <c r="Z474" s="109" t="s">
        <v>246</v>
      </c>
      <c r="AA474" s="109" t="s">
        <v>857</v>
      </c>
      <c r="AB474" s="109" t="s">
        <v>1428</v>
      </c>
      <c r="AC474" s="109" t="s">
        <v>313</v>
      </c>
      <c r="AD474" s="109" t="s">
        <v>314</v>
      </c>
      <c r="AE474" s="109">
        <v>90</v>
      </c>
      <c r="AF474" s="114" t="s">
        <v>375</v>
      </c>
      <c r="AG474" s="109" t="s">
        <v>291</v>
      </c>
      <c r="AH474" s="115" t="s">
        <v>2348</v>
      </c>
      <c r="AI474" s="109" t="s">
        <v>317</v>
      </c>
      <c r="AJ474" s="109" t="s">
        <v>318</v>
      </c>
      <c r="AK474" s="78" t="s">
        <v>6122</v>
      </c>
      <c r="AL474" s="93" t="s">
        <v>6123</v>
      </c>
      <c r="AM474" s="78" t="s">
        <v>6124</v>
      </c>
      <c r="AN474" s="78" t="s">
        <v>381</v>
      </c>
      <c r="AO474" s="78" t="s">
        <v>398</v>
      </c>
      <c r="AP474" s="78" t="s">
        <v>398</v>
      </c>
      <c r="AQ474" s="78" t="s">
        <v>6125</v>
      </c>
      <c r="AR474" s="77">
        <v>4215</v>
      </c>
      <c r="AS474" s="77" t="s">
        <v>642</v>
      </c>
      <c r="AT474" s="78" t="s">
        <v>483</v>
      </c>
      <c r="AU474" s="78" t="s">
        <v>483</v>
      </c>
      <c r="AV474" s="77">
        <v>78280</v>
      </c>
      <c r="AW474" s="77" t="s">
        <v>3416</v>
      </c>
      <c r="AX474" s="78" t="s">
        <v>329</v>
      </c>
      <c r="AY474" s="125" t="s">
        <v>3416</v>
      </c>
      <c r="AZ474" s="78"/>
      <c r="BA474" s="78"/>
      <c r="BB474" s="137"/>
      <c r="BC474" s="78"/>
      <c r="BD474" s="78" t="s">
        <v>6124</v>
      </c>
      <c r="BE474" s="78" t="s">
        <v>381</v>
      </c>
      <c r="BF474" s="78" t="s">
        <v>6126</v>
      </c>
      <c r="BG474" s="77" t="s">
        <v>488</v>
      </c>
      <c r="BH474" s="78" t="s">
        <v>334</v>
      </c>
      <c r="BI474" s="78">
        <v>2</v>
      </c>
      <c r="BJ474" s="78"/>
      <c r="BK474" s="12" t="s">
        <v>571</v>
      </c>
      <c r="BL474" s="78"/>
      <c r="BM474" s="78"/>
      <c r="BN474" s="12" t="s">
        <v>571</v>
      </c>
      <c r="BO474" s="78"/>
      <c r="BP474" s="78"/>
      <c r="BQ474" s="78"/>
      <c r="BR474" s="78"/>
      <c r="BS474" s="78"/>
      <c r="BT474" s="78"/>
      <c r="BU474" s="78"/>
      <c r="BV474" s="78"/>
      <c r="BW474" s="78"/>
      <c r="BX474" s="78"/>
      <c r="BY474" s="78"/>
      <c r="BZ474" s="78"/>
      <c r="CA474" s="78"/>
      <c r="CB474" s="78"/>
      <c r="CC474" s="78"/>
      <c r="CD474" s="78"/>
    </row>
    <row r="475" spans="1:82" s="116" customFormat="1" ht="15" x14ac:dyDescent="0.25">
      <c r="A475" s="125">
        <v>981</v>
      </c>
      <c r="B475" s="125" t="s">
        <v>6104</v>
      </c>
      <c r="C475" s="110" t="s">
        <v>363</v>
      </c>
      <c r="D475" s="125" t="s">
        <v>292</v>
      </c>
      <c r="E475" s="125">
        <v>25159727400</v>
      </c>
      <c r="F475" s="127">
        <v>45985</v>
      </c>
      <c r="G475" s="127">
        <v>45985</v>
      </c>
      <c r="H475" s="113">
        <f t="shared" si="42"/>
        <v>46075</v>
      </c>
      <c r="I475" s="113" t="s">
        <v>291</v>
      </c>
      <c r="J475" s="125" t="s">
        <v>6127</v>
      </c>
      <c r="K475" s="125" t="s">
        <v>4401</v>
      </c>
      <c r="L475" s="125" t="s">
        <v>6128</v>
      </c>
      <c r="M475" s="128" t="str">
        <f t="shared" si="43"/>
        <v>CASIANO MORENO VICTOR ALEJANDRO</v>
      </c>
      <c r="N475" s="128" t="s">
        <v>6129</v>
      </c>
      <c r="O475" s="110" t="s">
        <v>6130</v>
      </c>
      <c r="P475" s="125" t="s">
        <v>1953</v>
      </c>
      <c r="Q475" s="127">
        <v>35770</v>
      </c>
      <c r="R475" s="125">
        <f t="shared" si="44"/>
        <v>6</v>
      </c>
      <c r="S475" s="125">
        <f t="shared" si="45"/>
        <v>12</v>
      </c>
      <c r="T475" s="125">
        <f t="shared" si="46"/>
        <v>1997</v>
      </c>
      <c r="U475" s="142">
        <f t="shared" ca="1" si="47"/>
        <v>28.86849315068493</v>
      </c>
      <c r="V475" s="128" t="s">
        <v>389</v>
      </c>
      <c r="W475" s="128" t="s">
        <v>6131</v>
      </c>
      <c r="X475" s="125" t="s">
        <v>693</v>
      </c>
      <c r="Y475" s="125" t="s">
        <v>216</v>
      </c>
      <c r="Z475" s="109" t="s">
        <v>246</v>
      </c>
      <c r="AA475" s="109" t="s">
        <v>857</v>
      </c>
      <c r="AB475" s="109" t="s">
        <v>1428</v>
      </c>
      <c r="AC475" s="125" t="s">
        <v>313</v>
      </c>
      <c r="AD475" s="125" t="s">
        <v>314</v>
      </c>
      <c r="AE475" s="125">
        <v>90</v>
      </c>
      <c r="AF475" s="114" t="s">
        <v>292</v>
      </c>
      <c r="AG475" s="109" t="s">
        <v>290</v>
      </c>
      <c r="AH475" s="115" t="s">
        <v>5474</v>
      </c>
      <c r="AI475" s="109" t="s">
        <v>317</v>
      </c>
      <c r="AJ475" s="109" t="s">
        <v>318</v>
      </c>
      <c r="AK475" s="110" t="s">
        <v>6132</v>
      </c>
      <c r="AL475" s="97" t="s">
        <v>6133</v>
      </c>
      <c r="AM475" s="110" t="s">
        <v>6134</v>
      </c>
      <c r="AN475" s="110" t="s">
        <v>325</v>
      </c>
      <c r="AO475" s="110" t="s">
        <v>398</v>
      </c>
      <c r="AP475" s="110" t="s">
        <v>398</v>
      </c>
      <c r="AQ475" s="110" t="s">
        <v>6135</v>
      </c>
      <c r="AR475" s="125">
        <v>28</v>
      </c>
      <c r="AS475" s="125" t="s">
        <v>699</v>
      </c>
      <c r="AT475" s="110" t="s">
        <v>5650</v>
      </c>
      <c r="AU475" s="110" t="s">
        <v>5651</v>
      </c>
      <c r="AV475" s="125">
        <v>63730</v>
      </c>
      <c r="AW475" s="125" t="s">
        <v>3416</v>
      </c>
      <c r="AX475" s="110" t="s">
        <v>329</v>
      </c>
      <c r="AY475" s="125" t="s">
        <v>3416</v>
      </c>
      <c r="AZ475" s="110"/>
      <c r="BA475" s="110"/>
      <c r="BB475" s="138"/>
      <c r="BC475" s="110"/>
      <c r="BD475" s="110" t="s">
        <v>6134</v>
      </c>
      <c r="BE475" s="110" t="s">
        <v>325</v>
      </c>
      <c r="BF475" s="110" t="s">
        <v>6136</v>
      </c>
      <c r="BG475" s="125" t="s">
        <v>444</v>
      </c>
      <c r="BH475" s="110"/>
      <c r="BI475" s="110"/>
      <c r="BJ475" s="110"/>
      <c r="BK475" s="110"/>
      <c r="BL475" s="110"/>
      <c r="BM475" s="110"/>
      <c r="BN475" s="110"/>
      <c r="BO475" s="110"/>
      <c r="BP475" s="110"/>
      <c r="BQ475" s="110"/>
      <c r="BR475" s="110"/>
      <c r="BS475" s="110"/>
      <c r="BT475" s="110"/>
      <c r="BU475" s="110"/>
      <c r="BV475" s="110"/>
      <c r="BW475" s="110"/>
      <c r="BX475" s="110"/>
      <c r="BY475" s="110"/>
      <c r="BZ475" s="110"/>
      <c r="CA475" s="110"/>
      <c r="CB475" s="110"/>
      <c r="CC475" s="110"/>
      <c r="CD475" s="110"/>
    </row>
    <row r="476" spans="1:82" ht="15" x14ac:dyDescent="0.25">
      <c r="A476" s="12">
        <v>982</v>
      </c>
      <c r="B476" s="77" t="s">
        <v>6105</v>
      </c>
      <c r="C476" s="102" t="s">
        <v>335</v>
      </c>
      <c r="D476" s="77" t="s">
        <v>86</v>
      </c>
      <c r="E476" s="77" t="s">
        <v>6137</v>
      </c>
      <c r="F476" s="79">
        <v>45985</v>
      </c>
      <c r="G476" s="79">
        <v>45985</v>
      </c>
      <c r="H476" s="101">
        <f t="shared" si="42"/>
        <v>46075</v>
      </c>
      <c r="I476" s="101" t="s">
        <v>291</v>
      </c>
      <c r="J476" s="77" t="s">
        <v>507</v>
      </c>
      <c r="K476" s="77" t="s">
        <v>793</v>
      </c>
      <c r="L476" s="77" t="s">
        <v>6138</v>
      </c>
      <c r="M476" s="102" t="str">
        <f t="shared" si="43"/>
        <v>MARTINEZ LOPEZ MANUEL ALEJANDRO</v>
      </c>
      <c r="N476" s="102" t="s">
        <v>6139</v>
      </c>
      <c r="O476" s="78" t="s">
        <v>6140</v>
      </c>
      <c r="P476" s="77" t="s">
        <v>1953</v>
      </c>
      <c r="Q476" s="79">
        <v>35844</v>
      </c>
      <c r="R476" s="77">
        <f t="shared" si="44"/>
        <v>18</v>
      </c>
      <c r="S476" s="77">
        <f t="shared" si="45"/>
        <v>2</v>
      </c>
      <c r="T476" s="77">
        <f t="shared" si="46"/>
        <v>1998</v>
      </c>
      <c r="U476" s="103">
        <f t="shared" ca="1" si="47"/>
        <v>28.665753424657535</v>
      </c>
      <c r="V476" s="102" t="s">
        <v>389</v>
      </c>
      <c r="W476" s="102" t="s">
        <v>6141</v>
      </c>
      <c r="X476" s="77" t="s">
        <v>5808</v>
      </c>
      <c r="Y476" s="120" t="s">
        <v>219</v>
      </c>
      <c r="Z476" s="109" t="s">
        <v>152</v>
      </c>
      <c r="AA476" s="109" t="s">
        <v>2271</v>
      </c>
      <c r="AB476" s="109" t="s">
        <v>2295</v>
      </c>
      <c r="AC476" s="109" t="s">
        <v>313</v>
      </c>
      <c r="AD476" s="109" t="s">
        <v>314</v>
      </c>
      <c r="AE476" s="109">
        <v>90</v>
      </c>
      <c r="AF476" s="114" t="s">
        <v>315</v>
      </c>
      <c r="AG476" s="109" t="s">
        <v>291</v>
      </c>
      <c r="AH476" s="115" t="s">
        <v>843</v>
      </c>
      <c r="AI476" s="109" t="s">
        <v>317</v>
      </c>
      <c r="AJ476" s="109" t="s">
        <v>318</v>
      </c>
      <c r="AK476" s="78" t="s">
        <v>6142</v>
      </c>
      <c r="AL476" s="93" t="s">
        <v>6143</v>
      </c>
      <c r="AM476" s="78" t="s">
        <v>6144</v>
      </c>
      <c r="AN476" s="78" t="s">
        <v>325</v>
      </c>
      <c r="AO476" s="78" t="s">
        <v>398</v>
      </c>
      <c r="AP476" s="78" t="s">
        <v>398</v>
      </c>
      <c r="AQ476" s="140" t="s">
        <v>6145</v>
      </c>
      <c r="AR476" s="77">
        <v>506</v>
      </c>
      <c r="AS476" s="77" t="s">
        <v>642</v>
      </c>
      <c r="AT476" s="78" t="s">
        <v>482</v>
      </c>
      <c r="AU476" s="78" t="s">
        <v>483</v>
      </c>
      <c r="AV476" s="77">
        <v>78438</v>
      </c>
      <c r="AW476" s="77" t="s">
        <v>3416</v>
      </c>
      <c r="AX476" s="78" t="s">
        <v>329</v>
      </c>
      <c r="AY476" s="125" t="s">
        <v>3416</v>
      </c>
      <c r="AZ476" s="78"/>
      <c r="BA476" s="78"/>
      <c r="BB476" s="137"/>
      <c r="BC476" s="78"/>
      <c r="BD476" s="78" t="s">
        <v>6144</v>
      </c>
      <c r="BE476" s="78" t="s">
        <v>325</v>
      </c>
      <c r="BF476" s="78" t="s">
        <v>6146</v>
      </c>
      <c r="BG476" s="77"/>
      <c r="BH476" s="78" t="s">
        <v>334</v>
      </c>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row>
    <row r="477" spans="1:82" ht="15" x14ac:dyDescent="0.25">
      <c r="A477" s="77">
        <v>983</v>
      </c>
      <c r="B477" s="12" t="s">
        <v>7273</v>
      </c>
      <c r="C477" s="104" t="s">
        <v>1390</v>
      </c>
      <c r="D477" s="107" t="s">
        <v>281</v>
      </c>
      <c r="E477" s="77">
        <v>64169648728</v>
      </c>
      <c r="F477" s="79">
        <v>45985</v>
      </c>
      <c r="G477" s="79">
        <v>45985</v>
      </c>
      <c r="H477" s="101">
        <f t="shared" si="42"/>
        <v>46075</v>
      </c>
      <c r="I477" s="101" t="s">
        <v>291</v>
      </c>
      <c r="J477" s="77" t="s">
        <v>5840</v>
      </c>
      <c r="K477" s="77" t="s">
        <v>6147</v>
      </c>
      <c r="L477" s="77" t="s">
        <v>6148</v>
      </c>
      <c r="M477" s="102" t="str">
        <f t="shared" si="43"/>
        <v>MORALES  ALFARO ARANZA DAMARI</v>
      </c>
      <c r="N477" s="102" t="s">
        <v>6149</v>
      </c>
      <c r="O477" s="78" t="s">
        <v>6150</v>
      </c>
      <c r="P477" s="77" t="s">
        <v>1954</v>
      </c>
      <c r="Q477" s="79">
        <v>35200</v>
      </c>
      <c r="R477" s="77">
        <f t="shared" si="44"/>
        <v>15</v>
      </c>
      <c r="S477" s="77">
        <f t="shared" si="45"/>
        <v>5</v>
      </c>
      <c r="T477" s="77">
        <f t="shared" si="46"/>
        <v>1996</v>
      </c>
      <c r="U477" s="103">
        <f t="shared" ca="1" si="47"/>
        <v>30.43013698630137</v>
      </c>
      <c r="V477" s="102" t="s">
        <v>1450</v>
      </c>
      <c r="W477" s="102" t="s">
        <v>6151</v>
      </c>
      <c r="X477" s="77" t="s">
        <v>5808</v>
      </c>
      <c r="Y477" s="77" t="s">
        <v>6152</v>
      </c>
      <c r="Z477" s="12" t="s">
        <v>286</v>
      </c>
      <c r="AA477" s="12" t="s">
        <v>636</v>
      </c>
      <c r="AB477" s="12" t="s">
        <v>2315</v>
      </c>
      <c r="AC477" s="77" t="s">
        <v>313</v>
      </c>
      <c r="AD477" s="77" t="s">
        <v>314</v>
      </c>
      <c r="AE477" s="77">
        <v>90</v>
      </c>
      <c r="AF477" s="13" t="s">
        <v>375</v>
      </c>
      <c r="AG477" s="12" t="s">
        <v>291</v>
      </c>
      <c r="AH477" s="104" t="s">
        <v>1398</v>
      </c>
      <c r="AI477" s="12" t="s">
        <v>317</v>
      </c>
      <c r="AJ477" s="12" t="s">
        <v>318</v>
      </c>
      <c r="AK477" s="78" t="s">
        <v>6153</v>
      </c>
      <c r="AL477" s="93" t="s">
        <v>6154</v>
      </c>
      <c r="AM477" s="78" t="s">
        <v>6155</v>
      </c>
      <c r="AN477" s="78" t="s">
        <v>3178</v>
      </c>
      <c r="AO477" s="78" t="s">
        <v>398</v>
      </c>
      <c r="AP477" s="78" t="s">
        <v>398</v>
      </c>
      <c r="AQ477" s="78" t="s">
        <v>6158</v>
      </c>
      <c r="AR477" s="77">
        <v>130</v>
      </c>
      <c r="AS477" s="77" t="s">
        <v>581</v>
      </c>
      <c r="AT477" s="78" t="s">
        <v>483</v>
      </c>
      <c r="AU477" s="78" t="s">
        <v>483</v>
      </c>
      <c r="AV477" s="77">
        <v>78140</v>
      </c>
      <c r="AW477" s="77" t="s">
        <v>3416</v>
      </c>
      <c r="AX477" s="78" t="s">
        <v>329</v>
      </c>
      <c r="AY477" s="125" t="s">
        <v>3416</v>
      </c>
      <c r="AZ477" s="78"/>
      <c r="BA477" s="78"/>
      <c r="BB477" s="137"/>
      <c r="BC477" s="78"/>
      <c r="BD477" s="78" t="s">
        <v>6155</v>
      </c>
      <c r="BE477" s="78" t="s">
        <v>6156</v>
      </c>
      <c r="BF477" s="78" t="s">
        <v>6157</v>
      </c>
      <c r="BG477" s="77" t="s">
        <v>488</v>
      </c>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row>
    <row r="478" spans="1:82" ht="15" x14ac:dyDescent="0.25">
      <c r="A478" s="77">
        <v>984</v>
      </c>
      <c r="B478" s="77" t="s">
        <v>6246</v>
      </c>
      <c r="C478" s="13" t="s">
        <v>564</v>
      </c>
      <c r="D478" s="107" t="s">
        <v>81</v>
      </c>
      <c r="E478" s="77" t="s">
        <v>6159</v>
      </c>
      <c r="F478" s="79">
        <v>45986</v>
      </c>
      <c r="G478" s="79">
        <v>45986</v>
      </c>
      <c r="H478" s="101">
        <f t="shared" si="42"/>
        <v>46076</v>
      </c>
      <c r="I478" s="101" t="s">
        <v>290</v>
      </c>
      <c r="J478" s="77" t="s">
        <v>6160</v>
      </c>
      <c r="K478" s="77" t="s">
        <v>941</v>
      </c>
      <c r="L478" s="77" t="s">
        <v>1760</v>
      </c>
      <c r="M478" s="102" t="str">
        <f t="shared" si="43"/>
        <v>MELENDEZ DELGADO MISAEL</v>
      </c>
      <c r="N478" s="102" t="s">
        <v>6161</v>
      </c>
      <c r="O478" s="78" t="s">
        <v>6162</v>
      </c>
      <c r="P478" s="77" t="s">
        <v>1953</v>
      </c>
      <c r="Q478" s="79">
        <v>35353</v>
      </c>
      <c r="R478" s="77">
        <f t="shared" si="44"/>
        <v>15</v>
      </c>
      <c r="S478" s="77">
        <f t="shared" si="45"/>
        <v>10</v>
      </c>
      <c r="T478" s="77">
        <f t="shared" si="46"/>
        <v>1996</v>
      </c>
      <c r="U478" s="103">
        <f t="shared" ca="1" si="47"/>
        <v>30.010958904109589</v>
      </c>
      <c r="V478" s="102" t="s">
        <v>342</v>
      </c>
      <c r="W478" s="102" t="s">
        <v>6163</v>
      </c>
      <c r="X478" s="77" t="s">
        <v>454</v>
      </c>
      <c r="Y478" s="77" t="s">
        <v>1498</v>
      </c>
      <c r="Z478" s="12" t="s">
        <v>84</v>
      </c>
      <c r="AA478" s="12" t="s">
        <v>532</v>
      </c>
      <c r="AB478" s="77" t="s">
        <v>574</v>
      </c>
      <c r="AC478" s="77" t="s">
        <v>313</v>
      </c>
      <c r="AD478" s="77" t="s">
        <v>314</v>
      </c>
      <c r="AE478" s="77">
        <v>90</v>
      </c>
      <c r="AF478" s="13" t="s">
        <v>710</v>
      </c>
      <c r="AG478" s="77" t="s">
        <v>290</v>
      </c>
      <c r="AH478" s="78" t="s">
        <v>575</v>
      </c>
      <c r="AI478" s="77" t="s">
        <v>317</v>
      </c>
      <c r="AJ478" s="77" t="s">
        <v>318</v>
      </c>
      <c r="AK478" s="78" t="s">
        <v>6164</v>
      </c>
      <c r="AL478" s="93" t="s">
        <v>6165</v>
      </c>
      <c r="AM478" s="78" t="s">
        <v>6166</v>
      </c>
      <c r="AN478" s="78" t="s">
        <v>381</v>
      </c>
      <c r="AO478" s="78" t="s">
        <v>398</v>
      </c>
      <c r="AP478" s="78" t="s">
        <v>327</v>
      </c>
      <c r="AQ478" s="78" t="s">
        <v>6167</v>
      </c>
      <c r="AR478" s="77">
        <v>2</v>
      </c>
      <c r="AS478" s="77" t="s">
        <v>581</v>
      </c>
      <c r="AT478" s="78" t="s">
        <v>606</v>
      </c>
      <c r="AU478" s="78" t="s">
        <v>583</v>
      </c>
      <c r="AV478" s="77">
        <v>45590</v>
      </c>
      <c r="AW478" s="77" t="s">
        <v>3416</v>
      </c>
      <c r="AX478" s="78" t="s">
        <v>329</v>
      </c>
      <c r="AY478" s="125" t="s">
        <v>3416</v>
      </c>
      <c r="AZ478" s="78"/>
      <c r="BA478" s="78"/>
      <c r="BB478" s="137"/>
      <c r="BC478" s="78"/>
      <c r="BD478" s="78" t="s">
        <v>6168</v>
      </c>
      <c r="BE478" s="78" t="s">
        <v>3185</v>
      </c>
      <c r="BF478" s="78" t="s">
        <v>6169</v>
      </c>
      <c r="BG478" s="77" t="s">
        <v>333</v>
      </c>
      <c r="BH478" s="78" t="s">
        <v>334</v>
      </c>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row>
    <row r="479" spans="1:82" s="116" customFormat="1" ht="15" x14ac:dyDescent="0.25">
      <c r="A479" s="125">
        <v>985</v>
      </c>
      <c r="B479" s="125" t="s">
        <v>6247</v>
      </c>
      <c r="C479" s="110" t="s">
        <v>363</v>
      </c>
      <c r="D479" s="125" t="s">
        <v>292</v>
      </c>
      <c r="E479" s="125" t="s">
        <v>6170</v>
      </c>
      <c r="F479" s="127">
        <v>45987</v>
      </c>
      <c r="G479" s="127">
        <v>45987</v>
      </c>
      <c r="H479" s="113">
        <f t="shared" si="42"/>
        <v>46077</v>
      </c>
      <c r="I479" s="113" t="s">
        <v>290</v>
      </c>
      <c r="J479" s="125" t="s">
        <v>6171</v>
      </c>
      <c r="K479" s="125" t="s">
        <v>384</v>
      </c>
      <c r="L479" s="125" t="s">
        <v>1722</v>
      </c>
      <c r="M479" s="128" t="str">
        <f t="shared" si="43"/>
        <v>SOTELO  SANCHEZ SERGIO</v>
      </c>
      <c r="N479" s="128" t="s">
        <v>6172</v>
      </c>
      <c r="O479" s="110" t="s">
        <v>6173</v>
      </c>
      <c r="P479" s="125" t="s">
        <v>1953</v>
      </c>
      <c r="Q479" s="127">
        <v>31753</v>
      </c>
      <c r="R479" s="125">
        <f t="shared" si="44"/>
        <v>7</v>
      </c>
      <c r="S479" s="125">
        <f t="shared" si="45"/>
        <v>12</v>
      </c>
      <c r="T479" s="125">
        <f t="shared" si="46"/>
        <v>1986</v>
      </c>
      <c r="U479" s="142">
        <f t="shared" ca="1" si="47"/>
        <v>39.873972602739727</v>
      </c>
      <c r="V479" s="128" t="s">
        <v>389</v>
      </c>
      <c r="W479" s="128" t="s">
        <v>6174</v>
      </c>
      <c r="X479" s="125" t="s">
        <v>454</v>
      </c>
      <c r="Y479" s="136" t="s">
        <v>391</v>
      </c>
      <c r="Z479" s="125"/>
      <c r="AA479" s="110" t="s">
        <v>2276</v>
      </c>
      <c r="AB479" s="125" t="s">
        <v>5085</v>
      </c>
      <c r="AC479" s="125" t="s">
        <v>313</v>
      </c>
      <c r="AD479" s="125" t="s">
        <v>314</v>
      </c>
      <c r="AE479" s="125">
        <v>90</v>
      </c>
      <c r="AF479" s="114" t="s">
        <v>292</v>
      </c>
      <c r="AG479" s="125" t="s">
        <v>290</v>
      </c>
      <c r="AH479" s="110" t="s">
        <v>5474</v>
      </c>
      <c r="AI479" s="109" t="s">
        <v>317</v>
      </c>
      <c r="AJ479" s="109" t="s">
        <v>318</v>
      </c>
      <c r="AK479" s="110" t="s">
        <v>6175</v>
      </c>
      <c r="AL479" s="97" t="s">
        <v>6176</v>
      </c>
      <c r="AM479" s="110" t="s">
        <v>6177</v>
      </c>
      <c r="AN479" s="110" t="s">
        <v>325</v>
      </c>
      <c r="AO479" s="110" t="s">
        <v>398</v>
      </c>
      <c r="AP479" s="110" t="s">
        <v>398</v>
      </c>
      <c r="AQ479" s="110" t="s">
        <v>6178</v>
      </c>
      <c r="AR479" s="125">
        <v>197</v>
      </c>
      <c r="AS479" s="125" t="s">
        <v>699</v>
      </c>
      <c r="AT479" s="110" t="s">
        <v>6179</v>
      </c>
      <c r="AU479" s="110" t="s">
        <v>5651</v>
      </c>
      <c r="AV479" s="125">
        <v>63173</v>
      </c>
      <c r="AW479" s="125" t="s">
        <v>3416</v>
      </c>
      <c r="AX479" s="110" t="s">
        <v>329</v>
      </c>
      <c r="AY479" s="125" t="s">
        <v>3416</v>
      </c>
      <c r="AZ479" s="110"/>
      <c r="BA479" s="110"/>
      <c r="BB479" s="138"/>
      <c r="BC479" s="110"/>
      <c r="BD479" s="110" t="s">
        <v>6177</v>
      </c>
      <c r="BE479" s="110" t="s">
        <v>325</v>
      </c>
      <c r="BF479" s="110" t="s">
        <v>6180</v>
      </c>
      <c r="BG479" s="125" t="s">
        <v>333</v>
      </c>
      <c r="BH479" s="110"/>
      <c r="BI479" s="110"/>
      <c r="BJ479" s="110"/>
      <c r="BK479" s="110"/>
      <c r="BL479" s="110"/>
      <c r="BM479" s="110"/>
      <c r="BN479" s="110"/>
      <c r="BO479" s="110"/>
      <c r="BP479" s="110"/>
      <c r="BQ479" s="110"/>
      <c r="BR479" s="110"/>
      <c r="BS479" s="110"/>
      <c r="BT479" s="110"/>
      <c r="BU479" s="110"/>
      <c r="BV479" s="110"/>
      <c r="BW479" s="110"/>
      <c r="BX479" s="110"/>
      <c r="BY479" s="110"/>
      <c r="BZ479" s="110"/>
      <c r="CA479" s="110"/>
      <c r="CB479" s="110"/>
      <c r="CC479" s="110"/>
      <c r="CD479" s="110"/>
    </row>
    <row r="480" spans="1:82" s="116" customFormat="1" ht="15" x14ac:dyDescent="0.25">
      <c r="A480" s="125">
        <v>986</v>
      </c>
      <c r="B480" s="125" t="s">
        <v>6181</v>
      </c>
      <c r="C480" s="128" t="s">
        <v>335</v>
      </c>
      <c r="D480" s="125" t="s">
        <v>116</v>
      </c>
      <c r="E480" s="125">
        <v>74917461027</v>
      </c>
      <c r="F480" s="127">
        <v>45992</v>
      </c>
      <c r="G480" s="127">
        <v>45992</v>
      </c>
      <c r="H480" s="113">
        <f t="shared" si="42"/>
        <v>46082</v>
      </c>
      <c r="I480" s="113" t="s">
        <v>291</v>
      </c>
      <c r="J480" s="125" t="s">
        <v>6182</v>
      </c>
      <c r="K480" s="125" t="s">
        <v>704</v>
      </c>
      <c r="L480" s="125" t="s">
        <v>6183</v>
      </c>
      <c r="M480" s="128" t="str">
        <f t="shared" si="43"/>
        <v>HARO GONZALEZ YOLANDA</v>
      </c>
      <c r="N480" s="128" t="s">
        <v>6184</v>
      </c>
      <c r="O480" s="110" t="s">
        <v>6185</v>
      </c>
      <c r="P480" s="125" t="s">
        <v>1954</v>
      </c>
      <c r="Q480" s="127">
        <v>27304</v>
      </c>
      <c r="R480" s="125">
        <f t="shared" si="44"/>
        <v>2</v>
      </c>
      <c r="S480" s="125">
        <f t="shared" si="45"/>
        <v>10</v>
      </c>
      <c r="T480" s="125">
        <f t="shared" si="46"/>
        <v>1974</v>
      </c>
      <c r="U480" s="142">
        <f t="shared" ca="1" si="47"/>
        <v>52.063013698630137</v>
      </c>
      <c r="V480" s="128" t="s">
        <v>308</v>
      </c>
      <c r="W480" s="128" t="s">
        <v>6186</v>
      </c>
      <c r="X480" s="125" t="s">
        <v>5808</v>
      </c>
      <c r="Y480" s="125" t="s">
        <v>216</v>
      </c>
      <c r="Z480" s="109" t="s">
        <v>214</v>
      </c>
      <c r="AA480" s="109" t="s">
        <v>857</v>
      </c>
      <c r="AB480" s="109" t="s">
        <v>2306</v>
      </c>
      <c r="AC480" s="109" t="s">
        <v>313</v>
      </c>
      <c r="AD480" s="109" t="s">
        <v>314</v>
      </c>
      <c r="AE480" s="109">
        <v>90</v>
      </c>
      <c r="AF480" s="114" t="s">
        <v>350</v>
      </c>
      <c r="AG480" s="125" t="s">
        <v>291</v>
      </c>
      <c r="AH480" s="110" t="s">
        <v>351</v>
      </c>
      <c r="AI480" s="125" t="s">
        <v>317</v>
      </c>
      <c r="AJ480" s="125" t="s">
        <v>318</v>
      </c>
      <c r="AK480" s="110" t="s">
        <v>6187</v>
      </c>
      <c r="AL480" s="97" t="s">
        <v>6188</v>
      </c>
      <c r="AM480" s="110" t="s">
        <v>6189</v>
      </c>
      <c r="AN480" s="110" t="s">
        <v>439</v>
      </c>
      <c r="AO480" s="110" t="s">
        <v>398</v>
      </c>
      <c r="AP480" s="110" t="s">
        <v>398</v>
      </c>
      <c r="AQ480" s="110" t="s">
        <v>6190</v>
      </c>
      <c r="AR480" s="125">
        <v>1152</v>
      </c>
      <c r="AS480" s="125" t="s">
        <v>6191</v>
      </c>
      <c r="AT480" s="110" t="s">
        <v>116</v>
      </c>
      <c r="AU480" s="110" t="s">
        <v>583</v>
      </c>
      <c r="AV480" s="125">
        <v>44860</v>
      </c>
      <c r="AW480" s="125" t="s">
        <v>3416</v>
      </c>
      <c r="AX480" s="110" t="s">
        <v>329</v>
      </c>
      <c r="AY480" s="125" t="s">
        <v>3416</v>
      </c>
      <c r="AZ480" s="110"/>
      <c r="BA480" s="110"/>
      <c r="BB480" s="138"/>
      <c r="BC480" s="110"/>
      <c r="BD480" s="110" t="s">
        <v>6192</v>
      </c>
      <c r="BE480" s="110" t="s">
        <v>439</v>
      </c>
      <c r="BF480" s="110">
        <v>3334620391</v>
      </c>
      <c r="BG480" s="125"/>
      <c r="BH480" s="110"/>
      <c r="BI480" s="110"/>
      <c r="BJ480" s="110"/>
      <c r="BK480" s="114" t="s">
        <v>3911</v>
      </c>
      <c r="BL480" s="110">
        <v>25</v>
      </c>
      <c r="BM480" s="110"/>
      <c r="BN480" s="114" t="s">
        <v>3911</v>
      </c>
      <c r="BO480" s="110">
        <v>25</v>
      </c>
      <c r="BP480" s="110"/>
      <c r="BQ480" s="110"/>
      <c r="BR480" s="110"/>
      <c r="BS480" s="110"/>
      <c r="BT480" s="110"/>
      <c r="BU480" s="110"/>
      <c r="BV480" s="110"/>
      <c r="BW480" s="110"/>
      <c r="BX480" s="110"/>
      <c r="BY480" s="110"/>
      <c r="BZ480" s="110"/>
      <c r="CA480" s="110"/>
      <c r="CB480" s="110"/>
      <c r="CC480" s="110"/>
      <c r="CD480" s="110"/>
    </row>
    <row r="481" spans="1:82" s="116" customFormat="1" ht="15" x14ac:dyDescent="0.25">
      <c r="A481" s="125">
        <v>987</v>
      </c>
      <c r="B481" s="125" t="s">
        <v>6193</v>
      </c>
      <c r="C481" s="128" t="s">
        <v>335</v>
      </c>
      <c r="D481" s="125" t="s">
        <v>127</v>
      </c>
      <c r="E481" s="125">
        <v>44220502619</v>
      </c>
      <c r="F481" s="127">
        <v>45999</v>
      </c>
      <c r="G481" s="127">
        <v>45999</v>
      </c>
      <c r="H481" s="113">
        <f t="shared" si="42"/>
        <v>46089</v>
      </c>
      <c r="I481" s="113" t="s">
        <v>290</v>
      </c>
      <c r="J481" s="125" t="s">
        <v>6194</v>
      </c>
      <c r="K481" s="125" t="s">
        <v>6195</v>
      </c>
      <c r="L481" s="125" t="s">
        <v>6196</v>
      </c>
      <c r="M481" s="128" t="str">
        <f t="shared" si="43"/>
        <v>BARAJAS MENDOZA  SAMUEL ALEJANDRO</v>
      </c>
      <c r="N481" s="128" t="s">
        <v>6197</v>
      </c>
      <c r="O481" s="110" t="s">
        <v>6198</v>
      </c>
      <c r="P481" s="125" t="s">
        <v>1953</v>
      </c>
      <c r="Q481" s="127">
        <v>38565</v>
      </c>
      <c r="R481" s="125">
        <f t="shared" si="44"/>
        <v>1</v>
      </c>
      <c r="S481" s="125">
        <f t="shared" si="45"/>
        <v>8</v>
      </c>
      <c r="T481" s="125">
        <f t="shared" si="46"/>
        <v>2005</v>
      </c>
      <c r="U481" s="142">
        <f t="shared" ca="1" si="47"/>
        <v>21.210958904109589</v>
      </c>
      <c r="V481" s="128" t="s">
        <v>452</v>
      </c>
      <c r="W481" s="128" t="s">
        <v>6199</v>
      </c>
      <c r="X481" s="125" t="s">
        <v>454</v>
      </c>
      <c r="Y481" s="109" t="s">
        <v>83</v>
      </c>
      <c r="Z481" s="109" t="s">
        <v>84</v>
      </c>
      <c r="AA481" s="109" t="s">
        <v>347</v>
      </c>
      <c r="AB481" s="109" t="s">
        <v>2289</v>
      </c>
      <c r="AC481" s="125" t="s">
        <v>313</v>
      </c>
      <c r="AD481" s="125" t="s">
        <v>314</v>
      </c>
      <c r="AE481" s="125">
        <v>90</v>
      </c>
      <c r="AF481" s="114" t="s">
        <v>413</v>
      </c>
      <c r="AG481" s="109" t="s">
        <v>290</v>
      </c>
      <c r="AH481" s="115" t="s">
        <v>2339</v>
      </c>
      <c r="AI481" s="109" t="s">
        <v>317</v>
      </c>
      <c r="AJ481" s="109" t="s">
        <v>318</v>
      </c>
      <c r="AK481" s="110" t="s">
        <v>6200</v>
      </c>
      <c r="AL481" s="97" t="s">
        <v>6201</v>
      </c>
      <c r="AM481" s="110" t="s">
        <v>6202</v>
      </c>
      <c r="AN481" s="110" t="s">
        <v>478</v>
      </c>
      <c r="AO481" s="110" t="s">
        <v>398</v>
      </c>
      <c r="AP481" s="110" t="s">
        <v>327</v>
      </c>
      <c r="AQ481" s="110" t="s">
        <v>6203</v>
      </c>
      <c r="AR481" s="125">
        <v>144</v>
      </c>
      <c r="AS481" s="125" t="s">
        <v>3372</v>
      </c>
      <c r="AT481" s="110" t="s">
        <v>127</v>
      </c>
      <c r="AU481" s="110" t="s">
        <v>483</v>
      </c>
      <c r="AV481" s="125">
        <v>78716</v>
      </c>
      <c r="AW481" s="125" t="s">
        <v>3416</v>
      </c>
      <c r="AX481" s="110" t="s">
        <v>329</v>
      </c>
      <c r="AY481" s="125" t="s">
        <v>3416</v>
      </c>
      <c r="AZ481" s="110"/>
      <c r="BA481" s="110"/>
      <c r="BB481" s="138"/>
      <c r="BC481" s="110"/>
      <c r="BD481" s="110" t="s">
        <v>6202</v>
      </c>
      <c r="BE481" s="110" t="s">
        <v>478</v>
      </c>
      <c r="BF481" s="110" t="s">
        <v>6204</v>
      </c>
      <c r="BG481" s="125"/>
      <c r="BH481" s="110"/>
      <c r="BI481" s="110">
        <v>1</v>
      </c>
      <c r="BJ481" s="110"/>
      <c r="BK481" s="109" t="s">
        <v>571</v>
      </c>
      <c r="BL481" s="110">
        <v>3</v>
      </c>
      <c r="BM481" s="110"/>
      <c r="BN481" s="110"/>
      <c r="BO481" s="110"/>
      <c r="BP481" s="110"/>
      <c r="BQ481" s="110"/>
      <c r="BR481" s="110"/>
      <c r="BS481" s="110"/>
      <c r="BT481" s="110"/>
      <c r="BU481" s="110"/>
      <c r="BV481" s="110"/>
      <c r="BW481" s="110"/>
      <c r="BX481" s="110"/>
      <c r="BY481" s="110"/>
      <c r="BZ481" s="110"/>
      <c r="CA481" s="110"/>
      <c r="CB481" s="110"/>
      <c r="CC481" s="110"/>
      <c r="CD481" s="110"/>
    </row>
    <row r="482" spans="1:82" s="116" customFormat="1" ht="15" x14ac:dyDescent="0.25">
      <c r="A482" s="125">
        <v>988</v>
      </c>
      <c r="B482" s="125" t="s">
        <v>6205</v>
      </c>
      <c r="C482" s="110" t="s">
        <v>363</v>
      </c>
      <c r="D482" s="125" t="s">
        <v>292</v>
      </c>
      <c r="E482" s="125">
        <v>55856729193</v>
      </c>
      <c r="F482" s="127">
        <v>45999</v>
      </c>
      <c r="G482" s="127">
        <v>45999</v>
      </c>
      <c r="H482" s="113">
        <f t="shared" si="42"/>
        <v>46089</v>
      </c>
      <c r="I482" s="113" t="s">
        <v>290</v>
      </c>
      <c r="J482" s="125" t="s">
        <v>6206</v>
      </c>
      <c r="K482" s="125" t="s">
        <v>4351</v>
      </c>
      <c r="L482" s="125" t="s">
        <v>1703</v>
      </c>
      <c r="M482" s="128" t="str">
        <f t="shared" si="43"/>
        <v>SERRATOS MALDONADO JOSE LUIS</v>
      </c>
      <c r="N482" s="128" t="s">
        <v>6207</v>
      </c>
      <c r="O482" s="110" t="s">
        <v>6208</v>
      </c>
      <c r="P482" s="125" t="s">
        <v>1953</v>
      </c>
      <c r="Q482" s="127">
        <v>24519</v>
      </c>
      <c r="R482" s="125">
        <f t="shared" si="44"/>
        <v>16</v>
      </c>
      <c r="S482" s="125">
        <f t="shared" si="45"/>
        <v>2</v>
      </c>
      <c r="T482" s="125">
        <f t="shared" si="46"/>
        <v>1967</v>
      </c>
      <c r="U482" s="142">
        <f t="shared" ca="1" si="47"/>
        <v>59.69315068493151</v>
      </c>
      <c r="V482" s="128" t="s">
        <v>452</v>
      </c>
      <c r="W482" s="128" t="s">
        <v>6209</v>
      </c>
      <c r="X482" s="125" t="s">
        <v>472</v>
      </c>
      <c r="Y482" s="109" t="s">
        <v>91</v>
      </c>
      <c r="Z482" s="109"/>
      <c r="AA482" s="114" t="s">
        <v>2276</v>
      </c>
      <c r="AB482" s="109" t="s">
        <v>5085</v>
      </c>
      <c r="AC482" s="125" t="s">
        <v>313</v>
      </c>
      <c r="AD482" s="125" t="s">
        <v>314</v>
      </c>
      <c r="AE482" s="125">
        <v>90</v>
      </c>
      <c r="AF482" s="114" t="s">
        <v>292</v>
      </c>
      <c r="AG482" s="109" t="s">
        <v>290</v>
      </c>
      <c r="AH482" s="115" t="s">
        <v>5474</v>
      </c>
      <c r="AI482" s="109" t="s">
        <v>317</v>
      </c>
      <c r="AJ482" s="109" t="s">
        <v>318</v>
      </c>
      <c r="AK482" s="110" t="s">
        <v>6210</v>
      </c>
      <c r="AL482" s="97" t="s">
        <v>6211</v>
      </c>
      <c r="AM482" s="110" t="s">
        <v>6212</v>
      </c>
      <c r="AN482" s="110" t="s">
        <v>478</v>
      </c>
      <c r="AO482" s="110" t="s">
        <v>398</v>
      </c>
      <c r="AP482" s="110" t="s">
        <v>398</v>
      </c>
      <c r="AQ482" s="110" t="s">
        <v>6213</v>
      </c>
      <c r="AR482" s="125">
        <v>55</v>
      </c>
      <c r="AS482" s="125">
        <v>3</v>
      </c>
      <c r="AT482" s="110" t="s">
        <v>6214</v>
      </c>
      <c r="AU482" s="110" t="s">
        <v>5672</v>
      </c>
      <c r="AV482" s="125">
        <v>44500</v>
      </c>
      <c r="AW482" s="125" t="s">
        <v>3416</v>
      </c>
      <c r="AX482" s="110" t="s">
        <v>329</v>
      </c>
      <c r="AY482" s="125" t="s">
        <v>3416</v>
      </c>
      <c r="AZ482" s="110"/>
      <c r="BA482" s="110"/>
      <c r="BB482" s="138"/>
      <c r="BC482" s="110"/>
      <c r="BD482" s="110" t="s">
        <v>6212</v>
      </c>
      <c r="BE482" s="110" t="s">
        <v>478</v>
      </c>
      <c r="BF482" s="110">
        <v>3222007629</v>
      </c>
      <c r="BG482" s="125" t="s">
        <v>488</v>
      </c>
      <c r="BH482" s="110"/>
      <c r="BI482" s="110"/>
      <c r="BJ482" s="110"/>
      <c r="BK482" s="110" t="s">
        <v>571</v>
      </c>
      <c r="BL482" s="110">
        <v>34</v>
      </c>
      <c r="BM482" s="110"/>
      <c r="BN482" s="110" t="s">
        <v>571</v>
      </c>
      <c r="BO482" s="110">
        <v>32</v>
      </c>
      <c r="BP482" s="110"/>
      <c r="BQ482" s="110"/>
      <c r="BR482" s="110"/>
      <c r="BS482" s="110"/>
      <c r="BT482" s="110"/>
      <c r="BU482" s="110"/>
      <c r="BV482" s="110"/>
      <c r="BW482" s="110"/>
      <c r="BX482" s="110"/>
      <c r="BY482" s="110"/>
      <c r="BZ482" s="110"/>
      <c r="CA482" s="110"/>
      <c r="CB482" s="110"/>
      <c r="CC482" s="110"/>
      <c r="CD482" s="110"/>
    </row>
    <row r="483" spans="1:82" ht="15" x14ac:dyDescent="0.25">
      <c r="A483" s="77">
        <v>989</v>
      </c>
      <c r="B483" s="77" t="s">
        <v>6215</v>
      </c>
      <c r="C483" s="102" t="s">
        <v>335</v>
      </c>
      <c r="D483" s="77" t="s">
        <v>161</v>
      </c>
      <c r="E483" s="77">
        <v>19230783649</v>
      </c>
      <c r="F483" s="79">
        <v>45999</v>
      </c>
      <c r="G483" s="79">
        <v>45999</v>
      </c>
      <c r="H483" s="101">
        <f t="shared" si="42"/>
        <v>46089</v>
      </c>
      <c r="I483" s="101" t="s">
        <v>290</v>
      </c>
      <c r="J483" s="77" t="s">
        <v>5496</v>
      </c>
      <c r="K483" s="77" t="s">
        <v>1004</v>
      </c>
      <c r="L483" s="77" t="s">
        <v>6216</v>
      </c>
      <c r="M483" s="102" t="str">
        <f t="shared" si="43"/>
        <v>PADILLA JIMENEZ BRANDON JESUS</v>
      </c>
      <c r="N483" s="102" t="s">
        <v>6217</v>
      </c>
      <c r="O483" s="78" t="s">
        <v>6223</v>
      </c>
      <c r="P483" s="77" t="s">
        <v>1953</v>
      </c>
      <c r="Q483" s="79">
        <v>39375</v>
      </c>
      <c r="R483" s="77">
        <f t="shared" si="44"/>
        <v>20</v>
      </c>
      <c r="S483" s="77">
        <f t="shared" si="45"/>
        <v>10</v>
      </c>
      <c r="T483" s="77">
        <f t="shared" si="46"/>
        <v>2007</v>
      </c>
      <c r="U483" s="103">
        <f t="shared" ca="1" si="47"/>
        <v>18.991780821917807</v>
      </c>
      <c r="V483" s="102" t="s">
        <v>389</v>
      </c>
      <c r="W483" s="102" t="s">
        <v>6218</v>
      </c>
      <c r="X483" s="77" t="s">
        <v>454</v>
      </c>
      <c r="Y483" s="77" t="s">
        <v>5083</v>
      </c>
      <c r="Z483" s="12" t="s">
        <v>164</v>
      </c>
      <c r="AA483" s="12" t="s">
        <v>347</v>
      </c>
      <c r="AB483" s="12" t="s">
        <v>2297</v>
      </c>
      <c r="AC483" s="77" t="s">
        <v>313</v>
      </c>
      <c r="AD483" s="77" t="s">
        <v>314</v>
      </c>
      <c r="AE483" s="77">
        <v>90</v>
      </c>
      <c r="AF483" s="13" t="s">
        <v>2330</v>
      </c>
      <c r="AG483" s="12" t="s">
        <v>290</v>
      </c>
      <c r="AH483" s="78" t="s">
        <v>2343</v>
      </c>
      <c r="AI483" s="12" t="s">
        <v>317</v>
      </c>
      <c r="AJ483" s="12" t="s">
        <v>318</v>
      </c>
      <c r="AK483" s="78" t="s">
        <v>6219</v>
      </c>
      <c r="AL483" s="93" t="s">
        <v>6224</v>
      </c>
      <c r="AM483" s="78" t="s">
        <v>6220</v>
      </c>
      <c r="AN483" s="78" t="s">
        <v>325</v>
      </c>
      <c r="AO483" s="78" t="s">
        <v>398</v>
      </c>
      <c r="AP483" s="78" t="s">
        <v>398</v>
      </c>
      <c r="AQ483" s="78" t="s">
        <v>6225</v>
      </c>
      <c r="AR483" s="77" t="s">
        <v>983</v>
      </c>
      <c r="AS483" s="77" t="s">
        <v>581</v>
      </c>
      <c r="AT483" s="78" t="s">
        <v>3376</v>
      </c>
      <c r="AU483" s="78" t="s">
        <v>483</v>
      </c>
      <c r="AV483" s="77">
        <v>79250</v>
      </c>
      <c r="AW483" s="77" t="s">
        <v>3416</v>
      </c>
      <c r="AX483" s="78" t="s">
        <v>329</v>
      </c>
      <c r="AY483" s="125" t="s">
        <v>3416</v>
      </c>
      <c r="AZ483" s="78"/>
      <c r="BA483" s="78"/>
      <c r="BB483" s="137"/>
      <c r="BC483" s="78"/>
      <c r="BD483" s="78" t="s">
        <v>6221</v>
      </c>
      <c r="BE483" s="78" t="s">
        <v>325</v>
      </c>
      <c r="BF483" s="78" t="s">
        <v>6222</v>
      </c>
      <c r="BG483" s="77"/>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row>
    <row r="484" spans="1:82" x14ac:dyDescent="0.2">
      <c r="A484" s="77">
        <v>990</v>
      </c>
      <c r="B484" s="77" t="s">
        <v>6226</v>
      </c>
      <c r="C484" s="78" t="s">
        <v>363</v>
      </c>
      <c r="D484" s="77" t="s">
        <v>86</v>
      </c>
      <c r="E484" s="77">
        <v>41079016428</v>
      </c>
      <c r="F484" s="79">
        <v>46006</v>
      </c>
      <c r="G484" s="79">
        <v>46006</v>
      </c>
      <c r="H484" s="101">
        <f t="shared" si="42"/>
        <v>46096</v>
      </c>
      <c r="I484" s="101" t="s">
        <v>290</v>
      </c>
      <c r="J484" s="77" t="s">
        <v>4385</v>
      </c>
      <c r="K484" s="77" t="s">
        <v>507</v>
      </c>
      <c r="L484" s="77" t="s">
        <v>883</v>
      </c>
      <c r="M484" s="102" t="str">
        <f t="shared" si="43"/>
        <v>ROCHA MARTINEZ ARMANDO</v>
      </c>
      <c r="N484" s="102" t="s">
        <v>6227</v>
      </c>
      <c r="O484" s="78" t="s">
        <v>6228</v>
      </c>
      <c r="P484" s="77" t="s">
        <v>1953</v>
      </c>
      <c r="Q484" s="79">
        <v>32936</v>
      </c>
      <c r="R484" s="77">
        <f t="shared" si="44"/>
        <v>4</v>
      </c>
      <c r="S484" s="77">
        <f t="shared" si="45"/>
        <v>3</v>
      </c>
      <c r="T484" s="77">
        <f t="shared" si="46"/>
        <v>1990</v>
      </c>
      <c r="U484" s="103">
        <f t="shared" ca="1" si="47"/>
        <v>36.632876712328766</v>
      </c>
      <c r="V484" s="102" t="s">
        <v>452</v>
      </c>
      <c r="W484" s="102" t="s">
        <v>6229</v>
      </c>
      <c r="X484" s="77" t="s">
        <v>530</v>
      </c>
      <c r="Y484" s="77" t="s">
        <v>391</v>
      </c>
      <c r="Z484" s="77" t="s">
        <v>88</v>
      </c>
      <c r="AA484" s="77" t="s">
        <v>392</v>
      </c>
      <c r="AB484" s="77" t="s">
        <v>374</v>
      </c>
      <c r="AC484" s="77" t="s">
        <v>313</v>
      </c>
      <c r="AD484" s="77" t="s">
        <v>314</v>
      </c>
      <c r="AE484" s="77">
        <v>90</v>
      </c>
      <c r="AF484" s="102" t="s">
        <v>375</v>
      </c>
      <c r="AG484" s="77" t="s">
        <v>291</v>
      </c>
      <c r="AH484" s="78" t="s">
        <v>473</v>
      </c>
      <c r="AI484" s="77" t="s">
        <v>317</v>
      </c>
      <c r="AJ484" s="77" t="s">
        <v>318</v>
      </c>
      <c r="AK484" s="78" t="s">
        <v>6230</v>
      </c>
      <c r="AL484" s="78"/>
      <c r="AM484" s="78" t="s">
        <v>6231</v>
      </c>
      <c r="AN484" s="78" t="s">
        <v>461</v>
      </c>
      <c r="AO484" s="78" t="s">
        <v>398</v>
      </c>
      <c r="AP484" s="78" t="s">
        <v>398</v>
      </c>
      <c r="AQ484" s="78" t="s">
        <v>6232</v>
      </c>
      <c r="AR484" s="77">
        <v>153</v>
      </c>
      <c r="AS484" s="77" t="s">
        <v>581</v>
      </c>
      <c r="AT484" s="78" t="s">
        <v>483</v>
      </c>
      <c r="AU484" s="78" t="s">
        <v>483</v>
      </c>
      <c r="AV484" s="77">
        <v>78395</v>
      </c>
      <c r="AW484" s="77" t="s">
        <v>3416</v>
      </c>
      <c r="AX484" s="78" t="s">
        <v>329</v>
      </c>
      <c r="AY484" s="125" t="s">
        <v>3416</v>
      </c>
      <c r="AZ484" s="78"/>
      <c r="BA484" s="78"/>
      <c r="BB484" s="137"/>
      <c r="BC484" s="78"/>
      <c r="BD484" s="78" t="s">
        <v>6231</v>
      </c>
      <c r="BE484" s="78" t="s">
        <v>461</v>
      </c>
      <c r="BF484" s="78" t="s">
        <v>6233</v>
      </c>
      <c r="BG484" s="77"/>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row>
    <row r="485" spans="1:82" s="116" customFormat="1" ht="15" x14ac:dyDescent="0.25">
      <c r="A485" s="125">
        <v>991</v>
      </c>
      <c r="B485" s="125" t="s">
        <v>6234</v>
      </c>
      <c r="C485" s="128" t="s">
        <v>335</v>
      </c>
      <c r="D485" s="125" t="s">
        <v>116</v>
      </c>
      <c r="E485" s="125">
        <v>17149882700</v>
      </c>
      <c r="F485" s="127">
        <v>46006</v>
      </c>
      <c r="G485" s="127">
        <v>46006</v>
      </c>
      <c r="H485" s="113">
        <f t="shared" si="42"/>
        <v>46096</v>
      </c>
      <c r="I485" s="113" t="s">
        <v>290</v>
      </c>
      <c r="J485" s="125" t="s">
        <v>6235</v>
      </c>
      <c r="K485" s="125" t="s">
        <v>6160</v>
      </c>
      <c r="L485" s="125" t="s">
        <v>6236</v>
      </c>
      <c r="M485" s="128" t="str">
        <f t="shared" si="43"/>
        <v>BAÑUELOS MELENDEZ ANGEL DAVID</v>
      </c>
      <c r="N485" s="128" t="s">
        <v>6237</v>
      </c>
      <c r="O485" s="110" t="s">
        <v>6238</v>
      </c>
      <c r="P485" s="125" t="s">
        <v>1953</v>
      </c>
      <c r="Q485" s="127">
        <v>36024</v>
      </c>
      <c r="R485" s="125">
        <f t="shared" si="44"/>
        <v>17</v>
      </c>
      <c r="S485" s="125">
        <f t="shared" si="45"/>
        <v>8</v>
      </c>
      <c r="T485" s="125">
        <f t="shared" si="46"/>
        <v>1998</v>
      </c>
      <c r="U485" s="142">
        <f t="shared" ca="1" si="47"/>
        <v>28.172602739726027</v>
      </c>
      <c r="V485" s="128" t="s">
        <v>452</v>
      </c>
      <c r="W485" s="128" t="s">
        <v>6239</v>
      </c>
      <c r="X485" s="125" t="s">
        <v>996</v>
      </c>
      <c r="Y485" s="125" t="s">
        <v>5710</v>
      </c>
      <c r="Z485" s="109"/>
      <c r="AA485" s="109" t="s">
        <v>532</v>
      </c>
      <c r="AB485" s="109" t="s">
        <v>348</v>
      </c>
      <c r="AC485" s="125" t="s">
        <v>313</v>
      </c>
      <c r="AD485" s="125" t="s">
        <v>314</v>
      </c>
      <c r="AE485" s="125">
        <v>90</v>
      </c>
      <c r="AF485" s="114" t="s">
        <v>350</v>
      </c>
      <c r="AG485" s="125" t="s">
        <v>290</v>
      </c>
      <c r="AH485" s="110" t="s">
        <v>351</v>
      </c>
      <c r="AI485" s="125" t="s">
        <v>317</v>
      </c>
      <c r="AJ485" s="125" t="s">
        <v>318</v>
      </c>
      <c r="AK485" s="110" t="s">
        <v>6240</v>
      </c>
      <c r="AL485" s="97" t="s">
        <v>6241</v>
      </c>
      <c r="AM485" s="110" t="s">
        <v>6242</v>
      </c>
      <c r="AN485" s="110" t="s">
        <v>478</v>
      </c>
      <c r="AO485" s="110" t="s">
        <v>327</v>
      </c>
      <c r="AP485" s="110" t="s">
        <v>398</v>
      </c>
      <c r="AQ485" s="110" t="s">
        <v>6243</v>
      </c>
      <c r="AR485" s="125">
        <v>18</v>
      </c>
      <c r="AS485" s="125" t="s">
        <v>642</v>
      </c>
      <c r="AT485" s="110" t="s">
        <v>6244</v>
      </c>
      <c r="AU485" s="110" t="s">
        <v>1132</v>
      </c>
      <c r="AV485" s="125">
        <v>45019</v>
      </c>
      <c r="AW485" s="125" t="s">
        <v>3416</v>
      </c>
      <c r="AX485" s="110" t="s">
        <v>329</v>
      </c>
      <c r="AY485" s="125" t="s">
        <v>3416</v>
      </c>
      <c r="AZ485" s="110"/>
      <c r="BA485" s="110"/>
      <c r="BB485" s="138"/>
      <c r="BC485" s="110"/>
      <c r="BD485" s="110" t="s">
        <v>6242</v>
      </c>
      <c r="BE485" s="110" t="s">
        <v>478</v>
      </c>
      <c r="BF485" s="110" t="s">
        <v>6240</v>
      </c>
      <c r="BG485" s="125" t="s">
        <v>333</v>
      </c>
      <c r="BH485" s="110" t="s">
        <v>398</v>
      </c>
      <c r="BI485" s="110">
        <v>1</v>
      </c>
      <c r="BJ485" s="110"/>
      <c r="BK485" s="109" t="s">
        <v>3946</v>
      </c>
      <c r="BL485" s="110">
        <v>2</v>
      </c>
      <c r="BM485" s="110"/>
      <c r="BN485" s="110"/>
      <c r="BO485" s="110"/>
      <c r="BP485" s="110"/>
      <c r="BQ485" s="110"/>
      <c r="BR485" s="110"/>
      <c r="BS485" s="110"/>
      <c r="BT485" s="110"/>
      <c r="BU485" s="110"/>
      <c r="BV485" s="110"/>
      <c r="BW485" s="110"/>
      <c r="BX485" s="110"/>
      <c r="BY485" s="110"/>
      <c r="BZ485" s="110"/>
      <c r="CA485" s="110"/>
      <c r="CB485" s="110"/>
      <c r="CC485" s="110"/>
      <c r="CD485" s="110"/>
    </row>
    <row r="486" spans="1:82" ht="13.9" customHeight="1" x14ac:dyDescent="0.2">
      <c r="A486" s="12">
        <v>735</v>
      </c>
      <c r="B486" s="12" t="s">
        <v>4000</v>
      </c>
      <c r="C486" s="104" t="s">
        <v>564</v>
      </c>
      <c r="D486" s="107" t="s">
        <v>81</v>
      </c>
      <c r="E486" s="99" t="s">
        <v>6610</v>
      </c>
      <c r="F486" s="100">
        <v>46007</v>
      </c>
      <c r="G486" s="100">
        <v>46007</v>
      </c>
      <c r="H486" s="101">
        <f t="shared" si="42"/>
        <v>46097</v>
      </c>
      <c r="I486" s="101" t="s">
        <v>290</v>
      </c>
      <c r="J486" s="12" t="s">
        <v>4327</v>
      </c>
      <c r="K486" s="12" t="s">
        <v>4317</v>
      </c>
      <c r="L486" s="12" t="s">
        <v>1725</v>
      </c>
      <c r="M486" s="102" t="str">
        <f t="shared" si="43"/>
        <v>VARGAS DIAZ PRUDENCIO</v>
      </c>
      <c r="N486" s="102" t="s">
        <v>7016</v>
      </c>
      <c r="O486" s="102" t="s">
        <v>4582</v>
      </c>
      <c r="P486" s="12" t="s">
        <v>1953</v>
      </c>
      <c r="Q486" s="100">
        <v>31895</v>
      </c>
      <c r="R486" s="77">
        <f t="shared" si="44"/>
        <v>28</v>
      </c>
      <c r="S486" s="77">
        <f t="shared" si="45"/>
        <v>4</v>
      </c>
      <c r="T486" s="77">
        <f t="shared" si="46"/>
        <v>1987</v>
      </c>
      <c r="U486" s="103">
        <f t="shared" ca="1" si="47"/>
        <v>39.484931506849314</v>
      </c>
      <c r="V486" s="13" t="s">
        <v>342</v>
      </c>
      <c r="W486" s="13" t="s">
        <v>1993</v>
      </c>
      <c r="X486" s="12" t="s">
        <v>472</v>
      </c>
      <c r="Y486" s="12" t="s">
        <v>83</v>
      </c>
      <c r="Z486" s="12" t="s">
        <v>84</v>
      </c>
      <c r="AA486" s="12" t="s">
        <v>532</v>
      </c>
      <c r="AB486" s="12" t="s">
        <v>574</v>
      </c>
      <c r="AC486" s="12" t="s">
        <v>313</v>
      </c>
      <c r="AD486" s="12" t="s">
        <v>314</v>
      </c>
      <c r="AE486" s="12">
        <v>90</v>
      </c>
      <c r="AF486" s="13" t="s">
        <v>710</v>
      </c>
      <c r="AG486" s="12" t="s">
        <v>290</v>
      </c>
      <c r="AH486" s="104" t="s">
        <v>575</v>
      </c>
      <c r="AI486" s="12" t="s">
        <v>317</v>
      </c>
      <c r="AJ486" s="12" t="s">
        <v>318</v>
      </c>
      <c r="AK486" s="13" t="s">
        <v>6248</v>
      </c>
      <c r="AL486" s="92" t="s">
        <v>2900</v>
      </c>
      <c r="AM486" s="12" t="s">
        <v>2382</v>
      </c>
      <c r="AN486" s="12" t="s">
        <v>381</v>
      </c>
      <c r="AO486" s="12" t="s">
        <v>327</v>
      </c>
      <c r="AP486" s="12"/>
      <c r="AQ486" s="12" t="s">
        <v>5178</v>
      </c>
      <c r="AR486" s="12">
        <v>6</v>
      </c>
      <c r="AS486" s="12" t="s">
        <v>328</v>
      </c>
      <c r="AT486" s="12" t="s">
        <v>3378</v>
      </c>
      <c r="AU486" s="12" t="s">
        <v>1066</v>
      </c>
      <c r="AV486" s="12">
        <v>53790</v>
      </c>
      <c r="AW486" s="77" t="s">
        <v>3416</v>
      </c>
      <c r="AX486" s="12" t="s">
        <v>329</v>
      </c>
      <c r="AY486" s="125" t="s">
        <v>3416</v>
      </c>
      <c r="AZ486" s="12"/>
      <c r="BA486" s="12"/>
      <c r="BB486" s="12"/>
      <c r="BC486" s="12"/>
      <c r="BD486" s="12" t="s">
        <v>2382</v>
      </c>
      <c r="BE486" s="12" t="s">
        <v>381</v>
      </c>
      <c r="BF486" s="12">
        <v>3327934375</v>
      </c>
      <c r="BG486" s="12" t="s">
        <v>333</v>
      </c>
      <c r="BH486" s="12" t="s">
        <v>334</v>
      </c>
      <c r="BI486" s="12" t="s">
        <v>3831</v>
      </c>
      <c r="BJ486" s="12" t="s">
        <v>3888</v>
      </c>
      <c r="BK486" s="12" t="s">
        <v>571</v>
      </c>
      <c r="BL486" s="105">
        <v>12</v>
      </c>
      <c r="BM486" s="12"/>
      <c r="BN486" s="12" t="s">
        <v>571</v>
      </c>
      <c r="BO486" s="105">
        <v>10</v>
      </c>
      <c r="BP486" s="12"/>
      <c r="BQ486" s="13" t="s">
        <v>3911</v>
      </c>
      <c r="BR486" s="12">
        <v>3</v>
      </c>
      <c r="BS486" s="12"/>
      <c r="BT486" s="12">
        <v>0</v>
      </c>
      <c r="BU486" s="12">
        <v>0</v>
      </c>
      <c r="BV486" s="12"/>
      <c r="BW486" s="12">
        <v>0</v>
      </c>
      <c r="BX486" s="12">
        <v>0</v>
      </c>
      <c r="BY486" s="12"/>
      <c r="BZ486" s="12">
        <v>0</v>
      </c>
      <c r="CA486" s="12"/>
      <c r="CB486" s="12"/>
      <c r="CC486" s="12"/>
      <c r="CD486" s="78"/>
    </row>
    <row r="487" spans="1:82" s="116" customFormat="1" ht="15" x14ac:dyDescent="0.25">
      <c r="A487" s="125">
        <v>992</v>
      </c>
      <c r="B487" s="125" t="s">
        <v>6249</v>
      </c>
      <c r="C487" s="115" t="s">
        <v>564</v>
      </c>
      <c r="D487" s="109" t="s">
        <v>81</v>
      </c>
      <c r="E487" s="134" t="s">
        <v>6817</v>
      </c>
      <c r="F487" s="127">
        <v>46007</v>
      </c>
      <c r="G487" s="127">
        <v>46007</v>
      </c>
      <c r="H487" s="113">
        <f t="shared" si="42"/>
        <v>46097</v>
      </c>
      <c r="I487" s="113" t="s">
        <v>290</v>
      </c>
      <c r="J487" s="125" t="s">
        <v>6250</v>
      </c>
      <c r="K487" s="125" t="s">
        <v>6251</v>
      </c>
      <c r="L487" s="125" t="s">
        <v>491</v>
      </c>
      <c r="M487" s="128" t="str">
        <f t="shared" si="43"/>
        <v>MIGUEL  CUEVAS CARLOS ALBERTO</v>
      </c>
      <c r="N487" s="128" t="s">
        <v>6252</v>
      </c>
      <c r="O487" s="110" t="s">
        <v>6253</v>
      </c>
      <c r="P487" s="125" t="s">
        <v>1953</v>
      </c>
      <c r="Q487" s="127">
        <v>35046</v>
      </c>
      <c r="R487" s="125">
        <f t="shared" si="44"/>
        <v>13</v>
      </c>
      <c r="S487" s="125">
        <f t="shared" si="45"/>
        <v>12</v>
      </c>
      <c r="T487" s="125">
        <f t="shared" si="46"/>
        <v>1995</v>
      </c>
      <c r="U487" s="142">
        <f t="shared" ca="1" si="47"/>
        <v>30.852054794520548</v>
      </c>
      <c r="V487" s="128" t="s">
        <v>389</v>
      </c>
      <c r="W487" s="128" t="s">
        <v>6254</v>
      </c>
      <c r="X487" s="125" t="s">
        <v>472</v>
      </c>
      <c r="Y487" s="125" t="s">
        <v>115</v>
      </c>
      <c r="Z487" s="109" t="s">
        <v>84</v>
      </c>
      <c r="AA487" s="109" t="s">
        <v>532</v>
      </c>
      <c r="AB487" s="109" t="s">
        <v>574</v>
      </c>
      <c r="AC487" s="125" t="s">
        <v>313</v>
      </c>
      <c r="AD487" s="125" t="s">
        <v>314</v>
      </c>
      <c r="AE487" s="125">
        <v>90</v>
      </c>
      <c r="AF487" s="114" t="s">
        <v>710</v>
      </c>
      <c r="AG487" s="109" t="s">
        <v>290</v>
      </c>
      <c r="AH487" s="115" t="s">
        <v>575</v>
      </c>
      <c r="AI487" s="109" t="s">
        <v>317</v>
      </c>
      <c r="AJ487" s="109" t="s">
        <v>318</v>
      </c>
      <c r="AK487" s="110" t="s">
        <v>6255</v>
      </c>
      <c r="AL487" s="97" t="s">
        <v>6256</v>
      </c>
      <c r="AM487" s="110" t="s">
        <v>6257</v>
      </c>
      <c r="AN487" s="110" t="s">
        <v>401</v>
      </c>
      <c r="AO487" s="110" t="s">
        <v>398</v>
      </c>
      <c r="AP487" s="110" t="s">
        <v>398</v>
      </c>
      <c r="AQ487" s="110" t="s">
        <v>6258</v>
      </c>
      <c r="AR487" s="125">
        <v>18</v>
      </c>
      <c r="AS487" s="125" t="s">
        <v>642</v>
      </c>
      <c r="AT487" s="110" t="s">
        <v>624</v>
      </c>
      <c r="AU487" s="110" t="s">
        <v>583</v>
      </c>
      <c r="AV487" s="125">
        <v>45694</v>
      </c>
      <c r="AW487" s="125" t="s">
        <v>3416</v>
      </c>
      <c r="AX487" s="110" t="s">
        <v>329</v>
      </c>
      <c r="AY487" s="125" t="s">
        <v>3416</v>
      </c>
      <c r="AZ487" s="110"/>
      <c r="BA487" s="110"/>
      <c r="BB487" s="138"/>
      <c r="BC487" s="110"/>
      <c r="BD487" s="110" t="s">
        <v>6259</v>
      </c>
      <c r="BE487" s="110" t="s">
        <v>3185</v>
      </c>
      <c r="BF487" s="110" t="s">
        <v>6260</v>
      </c>
      <c r="BG487" s="125" t="s">
        <v>333</v>
      </c>
      <c r="BH487" s="110" t="s">
        <v>334</v>
      </c>
      <c r="BI487" s="110">
        <v>3</v>
      </c>
      <c r="BJ487" s="110"/>
      <c r="BK487" s="109" t="s">
        <v>571</v>
      </c>
      <c r="BL487" s="110">
        <v>7</v>
      </c>
      <c r="BM487" s="110"/>
      <c r="BN487" s="109" t="s">
        <v>571</v>
      </c>
      <c r="BO487" s="110">
        <v>4</v>
      </c>
      <c r="BP487" s="110"/>
      <c r="BQ487" s="109" t="s">
        <v>571</v>
      </c>
      <c r="BR487" s="110" t="s">
        <v>6261</v>
      </c>
      <c r="BS487" s="110"/>
      <c r="BT487" s="110"/>
      <c r="BU487" s="110"/>
      <c r="BV487" s="110"/>
      <c r="BW487" s="110"/>
      <c r="BX487" s="110"/>
      <c r="BY487" s="110"/>
      <c r="BZ487" s="110"/>
      <c r="CA487" s="110"/>
      <c r="CB487" s="110"/>
      <c r="CC487" s="110"/>
      <c r="CD487" s="110"/>
    </row>
    <row r="488" spans="1:82" s="116" customFormat="1" ht="15" x14ac:dyDescent="0.25">
      <c r="A488" s="125">
        <v>993</v>
      </c>
      <c r="B488" s="125" t="s">
        <v>6262</v>
      </c>
      <c r="C488" s="115" t="s">
        <v>564</v>
      </c>
      <c r="D488" s="109" t="s">
        <v>81</v>
      </c>
      <c r="E488" s="134" t="s">
        <v>6263</v>
      </c>
      <c r="F488" s="127">
        <v>46013</v>
      </c>
      <c r="G488" s="127">
        <v>46013</v>
      </c>
      <c r="H488" s="113">
        <f t="shared" si="42"/>
        <v>46103</v>
      </c>
      <c r="I488" s="113" t="s">
        <v>291</v>
      </c>
      <c r="J488" s="125" t="s">
        <v>366</v>
      </c>
      <c r="K488" s="125" t="s">
        <v>5496</v>
      </c>
      <c r="L488" s="125" t="s">
        <v>6264</v>
      </c>
      <c r="M488" s="128" t="str">
        <f t="shared" si="43"/>
        <v>HERNANDEZ PADILLA OSCAR ALEXANDERS</v>
      </c>
      <c r="N488" s="128" t="s">
        <v>6265</v>
      </c>
      <c r="O488" s="110" t="s">
        <v>6266</v>
      </c>
      <c r="P488" s="125" t="s">
        <v>1953</v>
      </c>
      <c r="Q488" s="127">
        <v>35060</v>
      </c>
      <c r="R488" s="125">
        <f t="shared" si="44"/>
        <v>27</v>
      </c>
      <c r="S488" s="125">
        <f t="shared" si="45"/>
        <v>12</v>
      </c>
      <c r="T488" s="125">
        <f t="shared" si="46"/>
        <v>1995</v>
      </c>
      <c r="U488" s="142">
        <f t="shared" ca="1" si="47"/>
        <v>30.813698630136987</v>
      </c>
      <c r="V488" s="128" t="s">
        <v>452</v>
      </c>
      <c r="W488" s="128" t="s">
        <v>6267</v>
      </c>
      <c r="X488" s="125" t="s">
        <v>693</v>
      </c>
      <c r="Y488" s="125" t="s">
        <v>234</v>
      </c>
      <c r="Z488" s="109" t="s">
        <v>259</v>
      </c>
      <c r="AA488" s="109" t="s">
        <v>636</v>
      </c>
      <c r="AB488" s="109" t="s">
        <v>637</v>
      </c>
      <c r="AC488" s="125" t="s">
        <v>313</v>
      </c>
      <c r="AD488" s="125" t="s">
        <v>314</v>
      </c>
      <c r="AE488" s="125">
        <v>90</v>
      </c>
      <c r="AF488" s="114" t="s">
        <v>350</v>
      </c>
      <c r="AG488" s="109" t="s">
        <v>290</v>
      </c>
      <c r="AH488" s="115" t="s">
        <v>575</v>
      </c>
      <c r="AI488" s="109" t="s">
        <v>317</v>
      </c>
      <c r="AJ488" s="109" t="s">
        <v>318</v>
      </c>
      <c r="AK488" s="110" t="s">
        <v>6268</v>
      </c>
      <c r="AL488" s="97" t="s">
        <v>6269</v>
      </c>
      <c r="AM488" s="110" t="s">
        <v>6270</v>
      </c>
      <c r="AN488" s="110" t="s">
        <v>478</v>
      </c>
      <c r="AO488" s="110" t="s">
        <v>327</v>
      </c>
      <c r="AP488" s="110" t="s">
        <v>398</v>
      </c>
      <c r="AQ488" s="110" t="s">
        <v>6271</v>
      </c>
      <c r="AR488" s="125">
        <v>13</v>
      </c>
      <c r="AS488" s="125" t="s">
        <v>3372</v>
      </c>
      <c r="AT488" s="110" t="s">
        <v>606</v>
      </c>
      <c r="AU488" s="110" t="s">
        <v>583</v>
      </c>
      <c r="AV488" s="125">
        <v>45530</v>
      </c>
      <c r="AW488" s="125" t="s">
        <v>3416</v>
      </c>
      <c r="AX488" s="110" t="s">
        <v>329</v>
      </c>
      <c r="AY488" s="125" t="s">
        <v>3416</v>
      </c>
      <c r="AZ488" s="110"/>
      <c r="BA488" s="110"/>
      <c r="BB488" s="138"/>
      <c r="BC488" s="110"/>
      <c r="BD488" s="110" t="s">
        <v>6270</v>
      </c>
      <c r="BE488" s="110" t="s">
        <v>478</v>
      </c>
      <c r="BF488" s="110" t="s">
        <v>6272</v>
      </c>
      <c r="BG488" s="125" t="s">
        <v>333</v>
      </c>
      <c r="BH488" s="110"/>
      <c r="BI488" s="110">
        <v>1</v>
      </c>
      <c r="BJ488" s="110"/>
      <c r="BK488" s="110" t="s">
        <v>3911</v>
      </c>
      <c r="BL488" s="110">
        <v>1</v>
      </c>
      <c r="BM488" s="110"/>
      <c r="BN488" s="110"/>
      <c r="BO488" s="110"/>
      <c r="BP488" s="110"/>
      <c r="BQ488" s="110"/>
      <c r="BR488" s="110"/>
      <c r="BS488" s="110"/>
      <c r="BT488" s="110"/>
      <c r="BU488" s="110"/>
      <c r="BV488" s="110"/>
      <c r="BW488" s="110"/>
      <c r="BX488" s="110"/>
      <c r="BY488" s="110"/>
      <c r="BZ488" s="110"/>
      <c r="CA488" s="110"/>
      <c r="CB488" s="110"/>
      <c r="CC488" s="110"/>
      <c r="CD488" s="110"/>
    </row>
    <row r="489" spans="1:82" s="116" customFormat="1" ht="15" x14ac:dyDescent="0.25">
      <c r="A489" s="125">
        <v>994</v>
      </c>
      <c r="B489" s="125" t="s">
        <v>6273</v>
      </c>
      <c r="C489" s="128" t="s">
        <v>335</v>
      </c>
      <c r="D489" s="125" t="s">
        <v>116</v>
      </c>
      <c r="E489" s="125">
        <v>16129395345</v>
      </c>
      <c r="F489" s="127">
        <v>46013</v>
      </c>
      <c r="G489" s="127">
        <v>46013</v>
      </c>
      <c r="H489" s="113">
        <f t="shared" si="42"/>
        <v>46103</v>
      </c>
      <c r="I489" s="113" t="s">
        <v>290</v>
      </c>
      <c r="J489" s="125" t="s">
        <v>337</v>
      </c>
      <c r="K489" s="125" t="s">
        <v>6274</v>
      </c>
      <c r="L489" s="125" t="s">
        <v>1892</v>
      </c>
      <c r="M489" s="128" t="str">
        <f t="shared" si="43"/>
        <v>FLORES CONSUELO DAVID</v>
      </c>
      <c r="N489" s="128" t="s">
        <v>6275</v>
      </c>
      <c r="O489" s="110" t="s">
        <v>6276</v>
      </c>
      <c r="P489" s="125" t="s">
        <v>1953</v>
      </c>
      <c r="Q489" s="127">
        <v>34272</v>
      </c>
      <c r="R489" s="125">
        <f t="shared" si="44"/>
        <v>30</v>
      </c>
      <c r="S489" s="125">
        <f t="shared" si="45"/>
        <v>10</v>
      </c>
      <c r="T489" s="125">
        <f t="shared" si="46"/>
        <v>1993</v>
      </c>
      <c r="U489" s="142">
        <f t="shared" ca="1" si="47"/>
        <v>32.972602739726028</v>
      </c>
      <c r="V489" s="128" t="s">
        <v>452</v>
      </c>
      <c r="W489" s="128" t="s">
        <v>6277</v>
      </c>
      <c r="X489" s="125" t="s">
        <v>454</v>
      </c>
      <c r="Y489" s="125" t="s">
        <v>5951</v>
      </c>
      <c r="Z489" s="109" t="s">
        <v>118</v>
      </c>
      <c r="AA489" s="109" t="s">
        <v>2276</v>
      </c>
      <c r="AB489" s="109" t="s">
        <v>348</v>
      </c>
      <c r="AC489" s="125" t="s">
        <v>313</v>
      </c>
      <c r="AD489" s="125" t="s">
        <v>314</v>
      </c>
      <c r="AE489" s="125">
        <v>90</v>
      </c>
      <c r="AF489" s="114" t="s">
        <v>350</v>
      </c>
      <c r="AG489" s="125" t="s">
        <v>290</v>
      </c>
      <c r="AH489" s="128" t="s">
        <v>351</v>
      </c>
      <c r="AI489" s="125" t="s">
        <v>317</v>
      </c>
      <c r="AJ489" s="125" t="s">
        <v>318</v>
      </c>
      <c r="AK489" s="110" t="s">
        <v>6278</v>
      </c>
      <c r="AL489" s="97" t="s">
        <v>6279</v>
      </c>
      <c r="AM489" s="110" t="s">
        <v>6280</v>
      </c>
      <c r="AN489" s="110" t="s">
        <v>478</v>
      </c>
      <c r="AO489" s="110" t="s">
        <v>398</v>
      </c>
      <c r="AP489" s="110" t="s">
        <v>327</v>
      </c>
      <c r="AQ489" s="110" t="s">
        <v>6282</v>
      </c>
      <c r="AR489" s="125">
        <v>11</v>
      </c>
      <c r="AS489" s="125" t="s">
        <v>581</v>
      </c>
      <c r="AT489" s="110" t="s">
        <v>6283</v>
      </c>
      <c r="AU489" s="110" t="s">
        <v>5025</v>
      </c>
      <c r="AV489" s="125">
        <v>23454</v>
      </c>
      <c r="AW489" s="125" t="s">
        <v>3416</v>
      </c>
      <c r="AX489" s="110" t="s">
        <v>329</v>
      </c>
      <c r="AY489" s="125" t="s">
        <v>3416</v>
      </c>
      <c r="AZ489" s="110"/>
      <c r="BA489" s="110"/>
      <c r="BB489" s="138"/>
      <c r="BC489" s="110"/>
      <c r="BD489" s="110" t="s">
        <v>6280</v>
      </c>
      <c r="BE489" s="110" t="s">
        <v>478</v>
      </c>
      <c r="BF489" s="110" t="s">
        <v>6281</v>
      </c>
      <c r="BG489" s="125" t="s">
        <v>333</v>
      </c>
      <c r="BH489" s="110" t="s">
        <v>398</v>
      </c>
      <c r="BI489" s="110">
        <v>2</v>
      </c>
      <c r="BJ489" s="110"/>
      <c r="BK489" s="110" t="s">
        <v>571</v>
      </c>
      <c r="BL489" s="110">
        <v>12</v>
      </c>
      <c r="BM489" s="110"/>
      <c r="BN489" s="110" t="s">
        <v>571</v>
      </c>
      <c r="BO489" s="110">
        <v>1</v>
      </c>
      <c r="BP489" s="110"/>
      <c r="BQ489" s="110"/>
      <c r="BR489" s="110"/>
      <c r="BS489" s="110"/>
      <c r="BT489" s="110"/>
      <c r="BU489" s="110"/>
      <c r="BV489" s="110"/>
      <c r="BW489" s="110"/>
      <c r="BX489" s="110"/>
      <c r="BY489" s="110"/>
      <c r="BZ489" s="110"/>
      <c r="CA489" s="110"/>
      <c r="CB489" s="110"/>
      <c r="CC489" s="110"/>
      <c r="CD489" s="110"/>
    </row>
    <row r="490" spans="1:82" s="116" customFormat="1" ht="15" x14ac:dyDescent="0.25">
      <c r="A490" s="125">
        <v>1186</v>
      </c>
      <c r="B490" s="125" t="s">
        <v>6294</v>
      </c>
      <c r="C490" s="110" t="s">
        <v>299</v>
      </c>
      <c r="D490" s="111" t="s">
        <v>80</v>
      </c>
      <c r="E490" s="125">
        <v>41018345516</v>
      </c>
      <c r="F490" s="127">
        <v>46013</v>
      </c>
      <c r="G490" s="127">
        <v>46013</v>
      </c>
      <c r="H490" s="113">
        <f t="shared" si="42"/>
        <v>46103</v>
      </c>
      <c r="I490" s="113" t="s">
        <v>291</v>
      </c>
      <c r="J490" s="125" t="s">
        <v>6284</v>
      </c>
      <c r="K490" s="125" t="s">
        <v>5787</v>
      </c>
      <c r="L490" s="125" t="s">
        <v>1877</v>
      </c>
      <c r="M490" s="128" t="str">
        <f t="shared" si="43"/>
        <v>ZUSTAITA LERMA SANDRA</v>
      </c>
      <c r="N490" s="128" t="s">
        <v>6285</v>
      </c>
      <c r="O490" s="110" t="s">
        <v>6286</v>
      </c>
      <c r="P490" s="125" t="s">
        <v>1954</v>
      </c>
      <c r="Q490" s="127">
        <v>30462</v>
      </c>
      <c r="R490" s="125">
        <f t="shared" si="44"/>
        <v>26</v>
      </c>
      <c r="S490" s="125">
        <f t="shared" si="45"/>
        <v>5</v>
      </c>
      <c r="T490" s="125">
        <f t="shared" si="46"/>
        <v>1983</v>
      </c>
      <c r="U490" s="142">
        <f t="shared" ca="1" si="47"/>
        <v>43.410958904109592</v>
      </c>
      <c r="V490" s="128" t="s">
        <v>1450</v>
      </c>
      <c r="W490" s="128" t="s">
        <v>6287</v>
      </c>
      <c r="X490" s="125" t="s">
        <v>5808</v>
      </c>
      <c r="Y490" s="123" t="s">
        <v>200</v>
      </c>
      <c r="Z490" s="109" t="s">
        <v>196</v>
      </c>
      <c r="AA490" s="109" t="s">
        <v>2273</v>
      </c>
      <c r="AB490" s="109" t="s">
        <v>2288</v>
      </c>
      <c r="AC490" s="125" t="s">
        <v>313</v>
      </c>
      <c r="AD490" s="125" t="s">
        <v>314</v>
      </c>
      <c r="AE490" s="125">
        <v>90</v>
      </c>
      <c r="AF490" s="114" t="s">
        <v>315</v>
      </c>
      <c r="AG490" s="109" t="s">
        <v>291</v>
      </c>
      <c r="AH490" s="110" t="s">
        <v>316</v>
      </c>
      <c r="AI490" s="125" t="s">
        <v>317</v>
      </c>
      <c r="AJ490" s="125" t="s">
        <v>5229</v>
      </c>
      <c r="AK490" s="110" t="s">
        <v>6288</v>
      </c>
      <c r="AL490" s="97" t="s">
        <v>6289</v>
      </c>
      <c r="AM490" s="110" t="s">
        <v>6290</v>
      </c>
      <c r="AN490" s="110" t="s">
        <v>3178</v>
      </c>
      <c r="AO490" s="110" t="s">
        <v>398</v>
      </c>
      <c r="AP490" s="110" t="s">
        <v>398</v>
      </c>
      <c r="AQ490" s="110" t="s">
        <v>6291</v>
      </c>
      <c r="AR490" s="125">
        <v>515</v>
      </c>
      <c r="AS490" s="125" t="s">
        <v>581</v>
      </c>
      <c r="AT490" s="110" t="s">
        <v>3301</v>
      </c>
      <c r="AU490" s="110" t="s">
        <v>681</v>
      </c>
      <c r="AV490" s="125" t="s">
        <v>6293</v>
      </c>
      <c r="AW490" s="125" t="s">
        <v>3416</v>
      </c>
      <c r="AX490" s="110" t="s">
        <v>329</v>
      </c>
      <c r="AY490" s="125" t="s">
        <v>3416</v>
      </c>
      <c r="AZ490" s="110"/>
      <c r="BA490" s="110"/>
      <c r="BB490" s="138"/>
      <c r="BC490" s="110"/>
      <c r="BD490" s="110" t="s">
        <v>6290</v>
      </c>
      <c r="BE490" s="110" t="s">
        <v>3178</v>
      </c>
      <c r="BF490" s="110" t="s">
        <v>6292</v>
      </c>
      <c r="BG490" s="125" t="s">
        <v>333</v>
      </c>
      <c r="BH490" s="110" t="s">
        <v>3815</v>
      </c>
      <c r="BI490" s="110">
        <v>3</v>
      </c>
      <c r="BJ490" s="110"/>
      <c r="BK490" s="110" t="s">
        <v>571</v>
      </c>
      <c r="BL490" s="110">
        <v>23</v>
      </c>
      <c r="BM490" s="110"/>
      <c r="BN490" s="109" t="s">
        <v>3911</v>
      </c>
      <c r="BO490" s="110">
        <v>15</v>
      </c>
      <c r="BP490" s="110"/>
      <c r="BQ490" s="110" t="s">
        <v>571</v>
      </c>
      <c r="BR490" s="110">
        <v>12</v>
      </c>
      <c r="BS490" s="110"/>
      <c r="BT490" s="110"/>
      <c r="BU490" s="110"/>
      <c r="BV490" s="110"/>
      <c r="BW490" s="110"/>
      <c r="BX490" s="110"/>
      <c r="BY490" s="110"/>
      <c r="BZ490" s="110"/>
      <c r="CA490" s="110"/>
      <c r="CB490" s="110"/>
      <c r="CC490" s="110"/>
      <c r="CD490" s="110"/>
    </row>
    <row r="491" spans="1:82" s="116" customFormat="1" ht="15" x14ac:dyDescent="0.25">
      <c r="A491" s="125">
        <v>995</v>
      </c>
      <c r="B491" s="125" t="s">
        <v>6295</v>
      </c>
      <c r="C491" s="110" t="s">
        <v>363</v>
      </c>
      <c r="D491" s="125" t="s">
        <v>86</v>
      </c>
      <c r="E491" s="125">
        <v>17230330395</v>
      </c>
      <c r="F491" s="127">
        <v>46017</v>
      </c>
      <c r="G491" s="127">
        <v>46017</v>
      </c>
      <c r="H491" s="113">
        <f t="shared" si="42"/>
        <v>46107</v>
      </c>
      <c r="I491" s="113" t="s">
        <v>291</v>
      </c>
      <c r="J491" s="125" t="s">
        <v>365</v>
      </c>
      <c r="K491" s="125" t="s">
        <v>1296</v>
      </c>
      <c r="L491" s="125" t="s">
        <v>5346</v>
      </c>
      <c r="M491" s="128" t="str">
        <f t="shared" si="43"/>
        <v xml:space="preserve">RODRIGUEZ  PRECIADO JORGE </v>
      </c>
      <c r="N491" s="128" t="s">
        <v>6296</v>
      </c>
      <c r="O491" s="110" t="s">
        <v>6297</v>
      </c>
      <c r="P491" s="125" t="s">
        <v>1953</v>
      </c>
      <c r="Q491" s="127">
        <v>37622</v>
      </c>
      <c r="R491" s="125">
        <f t="shared" si="44"/>
        <v>1</v>
      </c>
      <c r="S491" s="125">
        <f t="shared" si="45"/>
        <v>1</v>
      </c>
      <c r="T491" s="125">
        <f t="shared" si="46"/>
        <v>2003</v>
      </c>
      <c r="U491" s="142">
        <f t="shared" ca="1" si="47"/>
        <v>23.794520547945204</v>
      </c>
      <c r="V491" s="128" t="s">
        <v>389</v>
      </c>
      <c r="W491" s="128" t="s">
        <v>6298</v>
      </c>
      <c r="X491" s="125" t="s">
        <v>5808</v>
      </c>
      <c r="Y491" s="125" t="s">
        <v>248</v>
      </c>
      <c r="Z491" s="109" t="s">
        <v>93</v>
      </c>
      <c r="AA491" s="109" t="s">
        <v>636</v>
      </c>
      <c r="AB491" s="109" t="s">
        <v>1428</v>
      </c>
      <c r="AC491" s="125" t="s">
        <v>313</v>
      </c>
      <c r="AD491" s="125" t="s">
        <v>314</v>
      </c>
      <c r="AE491" s="125">
        <v>90</v>
      </c>
      <c r="AF491" s="128" t="s">
        <v>375</v>
      </c>
      <c r="AG491" s="125" t="s">
        <v>290</v>
      </c>
      <c r="AH491" s="110" t="s">
        <v>473</v>
      </c>
      <c r="AI491" s="109" t="s">
        <v>317</v>
      </c>
      <c r="AJ491" s="109" t="s">
        <v>318</v>
      </c>
      <c r="AK491" s="110" t="s">
        <v>6299</v>
      </c>
      <c r="AL491" s="97" t="s">
        <v>6300</v>
      </c>
      <c r="AM491" s="110" t="s">
        <v>6301</v>
      </c>
      <c r="AN491" s="110" t="s">
        <v>622</v>
      </c>
      <c r="AO491" s="110" t="s">
        <v>398</v>
      </c>
      <c r="AP491" s="110" t="s">
        <v>398</v>
      </c>
      <c r="AQ491" s="110" t="s">
        <v>6302</v>
      </c>
      <c r="AR491" s="125">
        <v>595</v>
      </c>
      <c r="AS491" s="125" t="s">
        <v>880</v>
      </c>
      <c r="AT491" s="110" t="s">
        <v>483</v>
      </c>
      <c r="AU491" s="110" t="s">
        <v>483</v>
      </c>
      <c r="AV491" s="125">
        <v>78183</v>
      </c>
      <c r="AW491" s="125" t="s">
        <v>3416</v>
      </c>
      <c r="AX491" s="110" t="s">
        <v>329</v>
      </c>
      <c r="AY491" s="125" t="s">
        <v>3416</v>
      </c>
      <c r="AZ491" s="110"/>
      <c r="BA491" s="110"/>
      <c r="BB491" s="138"/>
      <c r="BC491" s="110"/>
      <c r="BD491" s="110" t="s">
        <v>6303</v>
      </c>
      <c r="BE491" s="110" t="s">
        <v>622</v>
      </c>
      <c r="BF491" s="110" t="s">
        <v>6304</v>
      </c>
      <c r="BG491" s="125" t="s">
        <v>488</v>
      </c>
      <c r="BH491" s="110" t="s">
        <v>3815</v>
      </c>
      <c r="BI491" s="110">
        <v>0</v>
      </c>
      <c r="BJ491" s="110"/>
      <c r="BK491" s="110"/>
      <c r="BL491" s="110"/>
      <c r="BM491" s="110"/>
      <c r="BN491" s="110"/>
      <c r="BO491" s="110"/>
      <c r="BP491" s="110"/>
      <c r="BQ491" s="110"/>
      <c r="BR491" s="110"/>
      <c r="BS491" s="110"/>
      <c r="BT491" s="110"/>
      <c r="BU491" s="110"/>
      <c r="BV491" s="110"/>
      <c r="BW491" s="110"/>
      <c r="BX491" s="110"/>
      <c r="BY491" s="110"/>
      <c r="BZ491" s="110"/>
      <c r="CA491" s="110"/>
      <c r="CB491" s="110"/>
      <c r="CC491" s="110"/>
      <c r="CD491" s="110"/>
    </row>
    <row r="492" spans="1:82" s="116" customFormat="1" ht="15" x14ac:dyDescent="0.25">
      <c r="A492" s="125">
        <v>996</v>
      </c>
      <c r="B492" s="125" t="s">
        <v>6305</v>
      </c>
      <c r="C492" s="110" t="s">
        <v>363</v>
      </c>
      <c r="D492" s="109" t="s">
        <v>7242</v>
      </c>
      <c r="E492" s="125">
        <v>26159734834</v>
      </c>
      <c r="F492" s="127">
        <v>46027</v>
      </c>
      <c r="G492" s="127">
        <v>46027</v>
      </c>
      <c r="H492" s="113">
        <f t="shared" si="42"/>
        <v>46117</v>
      </c>
      <c r="I492" s="113" t="s">
        <v>290</v>
      </c>
      <c r="J492" s="125" t="s">
        <v>6306</v>
      </c>
      <c r="K492" s="125" t="s">
        <v>384</v>
      </c>
      <c r="L492" s="125" t="s">
        <v>6307</v>
      </c>
      <c r="M492" s="128" t="str">
        <f t="shared" si="43"/>
        <v>VAZQUEZ  SANCHEZ UZZIEL</v>
      </c>
      <c r="N492" s="128" t="s">
        <v>6308</v>
      </c>
      <c r="O492" s="110" t="s">
        <v>6309</v>
      </c>
      <c r="P492" s="125" t="s">
        <v>1953</v>
      </c>
      <c r="Q492" s="127">
        <v>35658</v>
      </c>
      <c r="R492" s="125">
        <f t="shared" si="44"/>
        <v>16</v>
      </c>
      <c r="S492" s="125">
        <f t="shared" si="45"/>
        <v>8</v>
      </c>
      <c r="T492" s="125">
        <f t="shared" si="46"/>
        <v>1997</v>
      </c>
      <c r="U492" s="142">
        <f t="shared" ca="1" si="47"/>
        <v>29.175342465753424</v>
      </c>
      <c r="V492" s="128" t="s">
        <v>1959</v>
      </c>
      <c r="W492" s="128" t="s">
        <v>6310</v>
      </c>
      <c r="X492" s="125" t="s">
        <v>454</v>
      </c>
      <c r="Y492" s="125" t="s">
        <v>91</v>
      </c>
      <c r="Z492" s="125" t="s">
        <v>88</v>
      </c>
      <c r="AA492" s="125" t="s">
        <v>392</v>
      </c>
      <c r="AB492" s="125" t="s">
        <v>374</v>
      </c>
      <c r="AC492" s="125" t="s">
        <v>313</v>
      </c>
      <c r="AD492" s="125" t="s">
        <v>314</v>
      </c>
      <c r="AE492" s="125">
        <v>90</v>
      </c>
      <c r="AF492" s="128" t="s">
        <v>375</v>
      </c>
      <c r="AG492" s="125" t="s">
        <v>290</v>
      </c>
      <c r="AH492" s="110" t="s">
        <v>473</v>
      </c>
      <c r="AI492" s="109" t="s">
        <v>317</v>
      </c>
      <c r="AJ492" s="109" t="s">
        <v>318</v>
      </c>
      <c r="AK492" s="110" t="s">
        <v>6311</v>
      </c>
      <c r="AL492" s="97" t="s">
        <v>6312</v>
      </c>
      <c r="AM492" s="110" t="s">
        <v>6313</v>
      </c>
      <c r="AN492" s="110" t="s">
        <v>325</v>
      </c>
      <c r="AO492" s="110" t="s">
        <v>398</v>
      </c>
      <c r="AP492" s="110" t="s">
        <v>327</v>
      </c>
      <c r="AQ492" s="110" t="s">
        <v>6314</v>
      </c>
      <c r="AR492" s="125">
        <v>109</v>
      </c>
      <c r="AS492" s="125">
        <v>11</v>
      </c>
      <c r="AT492" s="110" t="s">
        <v>483</v>
      </c>
      <c r="AU492" s="110" t="s">
        <v>483</v>
      </c>
      <c r="AV492" s="125">
        <v>78109</v>
      </c>
      <c r="AW492" s="125" t="s">
        <v>3416</v>
      </c>
      <c r="AX492" s="110" t="s">
        <v>329</v>
      </c>
      <c r="AY492" s="125" t="s">
        <v>3416</v>
      </c>
      <c r="AZ492" s="110"/>
      <c r="BA492" s="110"/>
      <c r="BB492" s="138"/>
      <c r="BC492" s="110"/>
      <c r="BD492" s="110" t="s">
        <v>6313</v>
      </c>
      <c r="BE492" s="110" t="s">
        <v>325</v>
      </c>
      <c r="BF492" s="110" t="s">
        <v>6315</v>
      </c>
      <c r="BG492" s="125" t="s">
        <v>333</v>
      </c>
      <c r="BH492" s="110" t="s">
        <v>334</v>
      </c>
      <c r="BI492" s="110">
        <v>1</v>
      </c>
      <c r="BJ492" s="110"/>
      <c r="BK492" s="110" t="s">
        <v>3946</v>
      </c>
      <c r="BL492" s="110">
        <v>5</v>
      </c>
      <c r="BM492" s="110"/>
      <c r="BN492" s="110"/>
      <c r="BO492" s="110"/>
      <c r="BP492" s="110"/>
      <c r="BQ492" s="110"/>
      <c r="BR492" s="110"/>
      <c r="BS492" s="110"/>
      <c r="BT492" s="110"/>
      <c r="BU492" s="110"/>
      <c r="BV492" s="110"/>
      <c r="BW492" s="110"/>
      <c r="BX492" s="110"/>
      <c r="BY492" s="110"/>
      <c r="BZ492" s="110"/>
      <c r="CA492" s="110"/>
      <c r="CB492" s="110"/>
      <c r="CC492" s="110"/>
      <c r="CD492" s="110"/>
    </row>
    <row r="493" spans="1:82" s="116" customFormat="1" ht="15" x14ac:dyDescent="0.25">
      <c r="A493" s="125">
        <v>997</v>
      </c>
      <c r="B493" s="125" t="s">
        <v>6316</v>
      </c>
      <c r="C493" s="110" t="s">
        <v>363</v>
      </c>
      <c r="D493" s="109" t="s">
        <v>249</v>
      </c>
      <c r="E493" s="125">
        <v>15947624837</v>
      </c>
      <c r="F493" s="127">
        <v>46034</v>
      </c>
      <c r="G493" s="127">
        <v>46034</v>
      </c>
      <c r="H493" s="113">
        <f t="shared" si="42"/>
        <v>46124</v>
      </c>
      <c r="I493" s="113" t="s">
        <v>291</v>
      </c>
      <c r="J493" s="125" t="s">
        <v>6317</v>
      </c>
      <c r="K493" s="125" t="s">
        <v>4363</v>
      </c>
      <c r="L493" s="125" t="s">
        <v>1712</v>
      </c>
      <c r="M493" s="128" t="str">
        <f t="shared" si="43"/>
        <v>NOGUERON OLVERA JORGE ALEJANDRO</v>
      </c>
      <c r="N493" s="128" t="s">
        <v>6318</v>
      </c>
      <c r="O493" s="110" t="s">
        <v>6319</v>
      </c>
      <c r="P493" s="125" t="s">
        <v>1953</v>
      </c>
      <c r="Q493" s="127">
        <v>27830</v>
      </c>
      <c r="R493" s="125">
        <f t="shared" si="44"/>
        <v>11</v>
      </c>
      <c r="S493" s="125">
        <f t="shared" si="45"/>
        <v>3</v>
      </c>
      <c r="T493" s="125">
        <f t="shared" si="46"/>
        <v>1976</v>
      </c>
      <c r="U493" s="142">
        <f t="shared" ca="1" si="47"/>
        <v>50.62191780821918</v>
      </c>
      <c r="V493" s="128" t="s">
        <v>452</v>
      </c>
      <c r="W493" s="128" t="s">
        <v>6320</v>
      </c>
      <c r="X493" s="125" t="s">
        <v>5808</v>
      </c>
      <c r="Y493" s="125" t="s">
        <v>5434</v>
      </c>
      <c r="Z493" s="125"/>
      <c r="AA493" s="110"/>
      <c r="AB493" s="125"/>
      <c r="AC493" s="125" t="s">
        <v>313</v>
      </c>
      <c r="AD493" s="125" t="s">
        <v>314</v>
      </c>
      <c r="AE493" s="125">
        <v>90</v>
      </c>
      <c r="AF493" s="114" t="s">
        <v>375</v>
      </c>
      <c r="AG493" s="125" t="s">
        <v>291</v>
      </c>
      <c r="AH493" s="110" t="s">
        <v>473</v>
      </c>
      <c r="AI493" s="109" t="s">
        <v>317</v>
      </c>
      <c r="AJ493" s="109" t="s">
        <v>318</v>
      </c>
      <c r="AK493" s="110" t="s">
        <v>6321</v>
      </c>
      <c r="AL493" s="97" t="s">
        <v>6322</v>
      </c>
      <c r="AM493" s="110" t="s">
        <v>6323</v>
      </c>
      <c r="AN493" s="110" t="s">
        <v>478</v>
      </c>
      <c r="AO493" s="110" t="s">
        <v>398</v>
      </c>
      <c r="AP493" s="110" t="s">
        <v>398</v>
      </c>
      <c r="AQ493" s="110" t="s">
        <v>6324</v>
      </c>
      <c r="AR493" s="125">
        <v>299</v>
      </c>
      <c r="AS493" s="125" t="s">
        <v>581</v>
      </c>
      <c r="AT493" s="110" t="s">
        <v>6326</v>
      </c>
      <c r="AU493" s="110" t="s">
        <v>6325</v>
      </c>
      <c r="AV493" s="125">
        <v>20908</v>
      </c>
      <c r="AW493" s="125" t="s">
        <v>3416</v>
      </c>
      <c r="AX493" s="110" t="s">
        <v>329</v>
      </c>
      <c r="AY493" s="125" t="s">
        <v>3416</v>
      </c>
      <c r="AZ493" s="110"/>
      <c r="BA493" s="110"/>
      <c r="BB493" s="138"/>
      <c r="BC493" s="110"/>
      <c r="BD493" s="110" t="s">
        <v>6323</v>
      </c>
      <c r="BE493" s="110" t="s">
        <v>478</v>
      </c>
      <c r="BF493" s="110" t="s">
        <v>6327</v>
      </c>
      <c r="BG493" s="125" t="s">
        <v>333</v>
      </c>
      <c r="BH493" s="110" t="s">
        <v>334</v>
      </c>
      <c r="BI493" s="110">
        <v>3</v>
      </c>
      <c r="BJ493" s="110"/>
      <c r="BK493" s="110"/>
      <c r="BL493" s="110"/>
      <c r="BM493" s="110"/>
      <c r="BN493" s="110"/>
      <c r="BO493" s="110"/>
      <c r="BP493" s="110"/>
      <c r="BQ493" s="110"/>
      <c r="BR493" s="110"/>
      <c r="BS493" s="110"/>
      <c r="BT493" s="110"/>
      <c r="BU493" s="110"/>
      <c r="BV493" s="110"/>
      <c r="BW493" s="110"/>
      <c r="BX493" s="110"/>
      <c r="BY493" s="110"/>
      <c r="BZ493" s="110"/>
      <c r="CA493" s="110"/>
      <c r="CB493" s="110"/>
      <c r="CC493" s="110"/>
      <c r="CD493" s="110"/>
    </row>
    <row r="494" spans="1:82" s="116" customFormat="1" ht="15" x14ac:dyDescent="0.25">
      <c r="A494" s="125">
        <v>998</v>
      </c>
      <c r="B494" s="125" t="s">
        <v>6328</v>
      </c>
      <c r="C494" s="110" t="s">
        <v>363</v>
      </c>
      <c r="D494" s="125" t="s">
        <v>6329</v>
      </c>
      <c r="E494" s="125">
        <v>41078900663</v>
      </c>
      <c r="F494" s="127">
        <v>46034</v>
      </c>
      <c r="G494" s="127">
        <v>46034</v>
      </c>
      <c r="H494" s="113">
        <f t="shared" si="42"/>
        <v>46124</v>
      </c>
      <c r="I494" s="113" t="s">
        <v>291</v>
      </c>
      <c r="J494" s="125" t="s">
        <v>5286</v>
      </c>
      <c r="K494" s="125" t="s">
        <v>4384</v>
      </c>
      <c r="L494" s="125" t="s">
        <v>6330</v>
      </c>
      <c r="M494" s="128" t="str">
        <f t="shared" si="43"/>
        <v>CUELLAR VIDALES ALDEMAR</v>
      </c>
      <c r="N494" s="128" t="s">
        <v>6331</v>
      </c>
      <c r="O494" s="110" t="s">
        <v>6332</v>
      </c>
      <c r="P494" s="125" t="s">
        <v>1953</v>
      </c>
      <c r="Q494" s="127">
        <v>32632</v>
      </c>
      <c r="R494" s="125">
        <f t="shared" si="44"/>
        <v>4</v>
      </c>
      <c r="S494" s="125">
        <f t="shared" si="45"/>
        <v>5</v>
      </c>
      <c r="T494" s="125">
        <f t="shared" si="46"/>
        <v>1989</v>
      </c>
      <c r="U494" s="142">
        <f t="shared" ca="1" si="47"/>
        <v>37.465753424657535</v>
      </c>
      <c r="V494" s="128" t="s">
        <v>814</v>
      </c>
      <c r="W494" s="128" t="s">
        <v>6333</v>
      </c>
      <c r="X494" s="125" t="s">
        <v>454</v>
      </c>
      <c r="Y494" s="125" t="s">
        <v>252</v>
      </c>
      <c r="Z494" s="109" t="s">
        <v>93</v>
      </c>
      <c r="AA494" s="109" t="s">
        <v>636</v>
      </c>
      <c r="AB494" s="109" t="s">
        <v>1428</v>
      </c>
      <c r="AC494" s="125" t="s">
        <v>313</v>
      </c>
      <c r="AD494" s="125" t="s">
        <v>314</v>
      </c>
      <c r="AE494" s="125">
        <v>90</v>
      </c>
      <c r="AF494" s="114" t="s">
        <v>375</v>
      </c>
      <c r="AG494" s="125" t="s">
        <v>291</v>
      </c>
      <c r="AH494" s="110" t="s">
        <v>473</v>
      </c>
      <c r="AI494" s="109" t="s">
        <v>317</v>
      </c>
      <c r="AJ494" s="109" t="s">
        <v>318</v>
      </c>
      <c r="AK494" s="110" t="s">
        <v>6334</v>
      </c>
      <c r="AL494" s="97" t="s">
        <v>6335</v>
      </c>
      <c r="AM494" s="110" t="s">
        <v>6336</v>
      </c>
      <c r="AN494" s="110" t="s">
        <v>832</v>
      </c>
      <c r="AO494" s="110" t="s">
        <v>398</v>
      </c>
      <c r="AP494" s="110" t="s">
        <v>398</v>
      </c>
      <c r="AQ494" s="110" t="s">
        <v>6337</v>
      </c>
      <c r="AR494" s="125">
        <v>56</v>
      </c>
      <c r="AS494" s="125">
        <v>20</v>
      </c>
      <c r="AT494" s="110" t="s">
        <v>3376</v>
      </c>
      <c r="AU494" s="110" t="s">
        <v>483</v>
      </c>
      <c r="AV494" s="125">
        <v>78600</v>
      </c>
      <c r="AW494" s="125" t="s">
        <v>3416</v>
      </c>
      <c r="AX494" s="110" t="s">
        <v>329</v>
      </c>
      <c r="AY494" s="125" t="s">
        <v>3416</v>
      </c>
      <c r="AZ494" s="110"/>
      <c r="BA494" s="110"/>
      <c r="BB494" s="138"/>
      <c r="BC494" s="110"/>
      <c r="BD494" s="110" t="s">
        <v>6336</v>
      </c>
      <c r="BE494" s="110" t="s">
        <v>832</v>
      </c>
      <c r="BF494" s="110" t="s">
        <v>6338</v>
      </c>
      <c r="BG494" s="125" t="s">
        <v>333</v>
      </c>
      <c r="BH494" s="110"/>
      <c r="BI494" s="110">
        <v>1</v>
      </c>
      <c r="BJ494" s="110"/>
      <c r="BK494" s="110" t="s">
        <v>3911</v>
      </c>
      <c r="BL494" s="110">
        <v>18</v>
      </c>
      <c r="BM494" s="110"/>
      <c r="BN494" s="110"/>
      <c r="BO494" s="110"/>
      <c r="BP494" s="110"/>
      <c r="BQ494" s="110"/>
      <c r="BR494" s="110"/>
      <c r="BS494" s="110"/>
      <c r="BT494" s="110"/>
      <c r="BU494" s="110"/>
      <c r="BV494" s="110"/>
      <c r="BW494" s="110"/>
      <c r="BX494" s="110"/>
      <c r="BY494" s="110"/>
      <c r="BZ494" s="110"/>
      <c r="CA494" s="110"/>
      <c r="CB494" s="110"/>
      <c r="CC494" s="110"/>
      <c r="CD494" s="110"/>
    </row>
    <row r="495" spans="1:82" s="116" customFormat="1" ht="15" x14ac:dyDescent="0.25">
      <c r="A495" s="125">
        <v>1192</v>
      </c>
      <c r="B495" s="125" t="s">
        <v>6361</v>
      </c>
      <c r="C495" s="110" t="s">
        <v>299</v>
      </c>
      <c r="D495" s="111" t="s">
        <v>80</v>
      </c>
      <c r="E495" s="125">
        <v>41088615988</v>
      </c>
      <c r="F495" s="127">
        <v>46034</v>
      </c>
      <c r="G495" s="127">
        <v>46034</v>
      </c>
      <c r="H495" s="113">
        <f t="shared" si="42"/>
        <v>46124</v>
      </c>
      <c r="I495" s="113" t="s">
        <v>291</v>
      </c>
      <c r="J495" s="125" t="s">
        <v>5369</v>
      </c>
      <c r="K495" s="125" t="s">
        <v>6339</v>
      </c>
      <c r="L495" s="125" t="s">
        <v>5676</v>
      </c>
      <c r="M495" s="128" t="str">
        <f t="shared" si="43"/>
        <v xml:space="preserve">CASTILLO  NEAVE JOSE FRANCISCO </v>
      </c>
      <c r="N495" s="128" t="s">
        <v>6340</v>
      </c>
      <c r="O495" s="110" t="s">
        <v>6341</v>
      </c>
      <c r="P495" s="125" t="s">
        <v>1953</v>
      </c>
      <c r="Q495" s="127">
        <v>31739</v>
      </c>
      <c r="R495" s="125">
        <f t="shared" si="44"/>
        <v>23</v>
      </c>
      <c r="S495" s="125">
        <f t="shared" si="45"/>
        <v>11</v>
      </c>
      <c r="T495" s="125">
        <f t="shared" si="46"/>
        <v>1986</v>
      </c>
      <c r="U495" s="142">
        <f t="shared" ca="1" si="47"/>
        <v>39.912328767123284</v>
      </c>
      <c r="V495" s="128" t="s">
        <v>389</v>
      </c>
      <c r="W495" s="128" t="s">
        <v>6342</v>
      </c>
      <c r="X495" s="125" t="s">
        <v>530</v>
      </c>
      <c r="Y495" s="109" t="s">
        <v>178</v>
      </c>
      <c r="Z495" s="109" t="s">
        <v>174</v>
      </c>
      <c r="AA495" s="109" t="s">
        <v>432</v>
      </c>
      <c r="AB495" s="109" t="s">
        <v>2280</v>
      </c>
      <c r="AC495" s="125" t="s">
        <v>313</v>
      </c>
      <c r="AD495" s="125" t="s">
        <v>314</v>
      </c>
      <c r="AE495" s="125">
        <v>90</v>
      </c>
      <c r="AF495" s="114" t="s">
        <v>315</v>
      </c>
      <c r="AG495" s="109" t="s">
        <v>291</v>
      </c>
      <c r="AH495" s="110" t="s">
        <v>316</v>
      </c>
      <c r="AI495" s="125" t="s">
        <v>317</v>
      </c>
      <c r="AJ495" s="125" t="s">
        <v>5229</v>
      </c>
      <c r="AK495" s="110" t="s">
        <v>6343</v>
      </c>
      <c r="AL495" s="97" t="s">
        <v>6344</v>
      </c>
      <c r="AM495" s="110" t="s">
        <v>6345</v>
      </c>
      <c r="AN495" s="110" t="s">
        <v>5038</v>
      </c>
      <c r="AO495" s="110" t="s">
        <v>398</v>
      </c>
      <c r="AP495" s="110" t="s">
        <v>398</v>
      </c>
      <c r="AQ495" s="110" t="s">
        <v>6346</v>
      </c>
      <c r="AR495" s="125">
        <v>102</v>
      </c>
      <c r="AS495" s="125" t="s">
        <v>581</v>
      </c>
      <c r="AT495" s="110" t="s">
        <v>483</v>
      </c>
      <c r="AU495" s="110" t="s">
        <v>483</v>
      </c>
      <c r="AV495" s="125">
        <v>78137</v>
      </c>
      <c r="AW495" s="125" t="s">
        <v>3416</v>
      </c>
      <c r="AX495" s="110" t="s">
        <v>329</v>
      </c>
      <c r="AY495" s="125" t="s">
        <v>3416</v>
      </c>
      <c r="AZ495" s="110"/>
      <c r="BA495" s="110"/>
      <c r="BB495" s="138"/>
      <c r="BC495" s="110"/>
      <c r="BD495" s="110" t="s">
        <v>6347</v>
      </c>
      <c r="BE495" s="110" t="s">
        <v>622</v>
      </c>
      <c r="BF495" s="110" t="s">
        <v>6348</v>
      </c>
      <c r="BG495" s="125" t="s">
        <v>6065</v>
      </c>
      <c r="BH495" s="110" t="s">
        <v>6349</v>
      </c>
      <c r="BI495" s="110">
        <v>2</v>
      </c>
      <c r="BJ495" s="110"/>
      <c r="BK495" s="110" t="s">
        <v>3911</v>
      </c>
      <c r="BL495" s="110">
        <v>16</v>
      </c>
      <c r="BM495" s="110"/>
      <c r="BN495" s="110" t="s">
        <v>3911</v>
      </c>
      <c r="BO495" s="110">
        <v>14</v>
      </c>
      <c r="BP495" s="110"/>
      <c r="BQ495" s="110"/>
      <c r="BR495" s="110"/>
      <c r="BS495" s="110"/>
      <c r="BT495" s="110"/>
      <c r="BU495" s="110"/>
      <c r="BV495" s="110"/>
      <c r="BW495" s="110"/>
      <c r="BX495" s="110"/>
      <c r="BY495" s="110"/>
      <c r="BZ495" s="110"/>
      <c r="CA495" s="110"/>
      <c r="CB495" s="110"/>
      <c r="CC495" s="110"/>
      <c r="CD495" s="110"/>
    </row>
    <row r="496" spans="1:82" s="116" customFormat="1" ht="15" x14ac:dyDescent="0.25">
      <c r="A496" s="125">
        <v>1193</v>
      </c>
      <c r="B496" s="125" t="s">
        <v>6362</v>
      </c>
      <c r="C496" s="110" t="s">
        <v>299</v>
      </c>
      <c r="D496" s="111" t="s">
        <v>80</v>
      </c>
      <c r="E496" s="125">
        <v>41877114102</v>
      </c>
      <c r="F496" s="127">
        <v>46034</v>
      </c>
      <c r="G496" s="127">
        <v>46034</v>
      </c>
      <c r="H496" s="113">
        <f t="shared" si="42"/>
        <v>46124</v>
      </c>
      <c r="I496" s="113" t="s">
        <v>291</v>
      </c>
      <c r="J496" s="125" t="s">
        <v>6350</v>
      </c>
      <c r="K496" s="125" t="s">
        <v>425</v>
      </c>
      <c r="L496" s="125" t="s">
        <v>6351</v>
      </c>
      <c r="M496" s="128" t="str">
        <f t="shared" si="43"/>
        <v>ROBLEDO SALDAÑA MATIAS</v>
      </c>
      <c r="N496" s="128" t="s">
        <v>6352</v>
      </c>
      <c r="O496" s="110" t="s">
        <v>6353</v>
      </c>
      <c r="P496" s="125" t="s">
        <v>1953</v>
      </c>
      <c r="Q496" s="127">
        <v>26078</v>
      </c>
      <c r="R496" s="125">
        <f t="shared" si="44"/>
        <v>25</v>
      </c>
      <c r="S496" s="125">
        <f t="shared" si="45"/>
        <v>5</v>
      </c>
      <c r="T496" s="125">
        <f t="shared" si="46"/>
        <v>1971</v>
      </c>
      <c r="U496" s="142">
        <f t="shared" ca="1" si="47"/>
        <v>55.421917808219177</v>
      </c>
      <c r="V496" s="128" t="s">
        <v>342</v>
      </c>
      <c r="W496" s="128" t="s">
        <v>6354</v>
      </c>
      <c r="X496" s="125" t="s">
        <v>530</v>
      </c>
      <c r="Y496" s="125" t="s">
        <v>6355</v>
      </c>
      <c r="Z496" s="109" t="s">
        <v>183</v>
      </c>
      <c r="AA496" s="109" t="s">
        <v>311</v>
      </c>
      <c r="AB496" s="109">
        <v>0</v>
      </c>
      <c r="AC496" s="125" t="s">
        <v>313</v>
      </c>
      <c r="AD496" s="125" t="s">
        <v>314</v>
      </c>
      <c r="AE496" s="125">
        <v>90</v>
      </c>
      <c r="AF496" s="114" t="s">
        <v>315</v>
      </c>
      <c r="AG496" s="109" t="s">
        <v>291</v>
      </c>
      <c r="AH496" s="110" t="s">
        <v>316</v>
      </c>
      <c r="AI496" s="125" t="s">
        <v>317</v>
      </c>
      <c r="AJ496" s="125" t="s">
        <v>5229</v>
      </c>
      <c r="AK496" s="110" t="s">
        <v>6356</v>
      </c>
      <c r="AL496" s="97" t="s">
        <v>6357</v>
      </c>
      <c r="AM496" s="110" t="s">
        <v>6358</v>
      </c>
      <c r="AN496" s="110" t="s">
        <v>381</v>
      </c>
      <c r="AO496" s="110" t="s">
        <v>398</v>
      </c>
      <c r="AP496" s="110" t="s">
        <v>398</v>
      </c>
      <c r="AQ496" s="110" t="s">
        <v>6359</v>
      </c>
      <c r="AR496" s="125">
        <v>139</v>
      </c>
      <c r="AS496" s="125" t="s">
        <v>581</v>
      </c>
      <c r="AT496" s="110" t="s">
        <v>483</v>
      </c>
      <c r="AU496" s="110" t="s">
        <v>483</v>
      </c>
      <c r="AV496" s="125">
        <v>78392</v>
      </c>
      <c r="AW496" s="125" t="s">
        <v>3416</v>
      </c>
      <c r="AX496" s="110" t="s">
        <v>329</v>
      </c>
      <c r="AY496" s="125" t="s">
        <v>3416</v>
      </c>
      <c r="AZ496" s="110"/>
      <c r="BA496" s="110"/>
      <c r="BB496" s="138"/>
      <c r="BC496" s="110"/>
      <c r="BD496" s="110" t="s">
        <v>6358</v>
      </c>
      <c r="BE496" s="110" t="s">
        <v>381</v>
      </c>
      <c r="BF496" s="110" t="s">
        <v>6360</v>
      </c>
      <c r="BG496" s="125" t="s">
        <v>333</v>
      </c>
      <c r="BH496" s="110" t="s">
        <v>3814</v>
      </c>
      <c r="BI496" s="110">
        <v>2</v>
      </c>
      <c r="BJ496" s="110"/>
      <c r="BK496" s="110" t="s">
        <v>3946</v>
      </c>
      <c r="BL496" s="110">
        <v>23</v>
      </c>
      <c r="BM496" s="110"/>
      <c r="BN496" s="110" t="s">
        <v>3911</v>
      </c>
      <c r="BO496" s="110">
        <v>15</v>
      </c>
      <c r="BP496" s="110"/>
      <c r="BQ496" s="110"/>
      <c r="BR496" s="110"/>
      <c r="BS496" s="110"/>
      <c r="BT496" s="110"/>
      <c r="BU496" s="110"/>
      <c r="BV496" s="110"/>
      <c r="BW496" s="110"/>
      <c r="BX496" s="110"/>
      <c r="BY496" s="110"/>
      <c r="BZ496" s="110"/>
      <c r="CA496" s="110"/>
      <c r="CB496" s="110"/>
      <c r="CC496" s="110"/>
      <c r="CD496" s="110"/>
    </row>
    <row r="497" spans="1:82" ht="15" x14ac:dyDescent="0.25">
      <c r="A497" s="77">
        <v>999</v>
      </c>
      <c r="B497" s="77" t="s">
        <v>6363</v>
      </c>
      <c r="C497" s="102" t="s">
        <v>335</v>
      </c>
      <c r="D497" s="77" t="s">
        <v>105</v>
      </c>
      <c r="E497" s="77">
        <v>33028630953</v>
      </c>
      <c r="F497" s="79">
        <v>46035</v>
      </c>
      <c r="G497" s="79">
        <v>46035</v>
      </c>
      <c r="H497" s="101">
        <f t="shared" si="42"/>
        <v>46216</v>
      </c>
      <c r="I497" s="101" t="s">
        <v>291</v>
      </c>
      <c r="J497" s="77" t="s">
        <v>6364</v>
      </c>
      <c r="K497" s="77" t="s">
        <v>5329</v>
      </c>
      <c r="L497" s="77" t="s">
        <v>6365</v>
      </c>
      <c r="M497" s="153" t="str">
        <f t="shared" si="43"/>
        <v>GONZALEZ  BELTRAN DAISY AMANDA</v>
      </c>
      <c r="N497" s="102" t="s">
        <v>6366</v>
      </c>
      <c r="O497" s="78" t="s">
        <v>6367</v>
      </c>
      <c r="P497" s="77" t="s">
        <v>1954</v>
      </c>
      <c r="Q497" s="79">
        <v>31605</v>
      </c>
      <c r="R497" s="77">
        <f t="shared" si="44"/>
        <v>12</v>
      </c>
      <c r="S497" s="77">
        <f t="shared" si="45"/>
        <v>7</v>
      </c>
      <c r="T497" s="77">
        <f t="shared" si="46"/>
        <v>1986</v>
      </c>
      <c r="U497" s="103">
        <f t="shared" ca="1" si="47"/>
        <v>40.279452054794518</v>
      </c>
      <c r="V497" s="102" t="s">
        <v>452</v>
      </c>
      <c r="W497" s="102" t="s">
        <v>6368</v>
      </c>
      <c r="X497" s="77" t="s">
        <v>5808</v>
      </c>
      <c r="Y497" s="77" t="s">
        <v>216</v>
      </c>
      <c r="Z497" s="12" t="s">
        <v>227</v>
      </c>
      <c r="AA497" s="12">
        <v>0</v>
      </c>
      <c r="AB497" s="12">
        <v>0</v>
      </c>
      <c r="AC497" s="77" t="s">
        <v>313</v>
      </c>
      <c r="AD497" s="77" t="s">
        <v>314</v>
      </c>
      <c r="AE497" s="77">
        <v>181</v>
      </c>
      <c r="AF497" s="13" t="s">
        <v>859</v>
      </c>
      <c r="AG497" s="12" t="s">
        <v>291</v>
      </c>
      <c r="AH497" s="104" t="s">
        <v>2338</v>
      </c>
      <c r="AI497" s="12" t="s">
        <v>317</v>
      </c>
      <c r="AJ497" s="12" t="s">
        <v>318</v>
      </c>
      <c r="AK497" s="78" t="s">
        <v>6369</v>
      </c>
      <c r="AL497" s="93" t="s">
        <v>6370</v>
      </c>
      <c r="AM497" s="78" t="s">
        <v>6371</v>
      </c>
      <c r="AN497" s="78" t="s">
        <v>832</v>
      </c>
      <c r="AO497" s="78" t="s">
        <v>398</v>
      </c>
      <c r="AP497" s="78" t="s">
        <v>327</v>
      </c>
      <c r="AQ497" s="78" t="s">
        <v>6372</v>
      </c>
      <c r="AR497" s="77">
        <v>535</v>
      </c>
      <c r="AS497" s="77" t="s">
        <v>581</v>
      </c>
      <c r="AT497" s="78" t="s">
        <v>105</v>
      </c>
      <c r="AU497" s="78" t="s">
        <v>105</v>
      </c>
      <c r="AV497" s="77">
        <v>20196</v>
      </c>
      <c r="AW497" s="77" t="s">
        <v>3416</v>
      </c>
      <c r="AX497" s="78" t="s">
        <v>329</v>
      </c>
      <c r="AY497" s="125" t="s">
        <v>3416</v>
      </c>
      <c r="AZ497" s="78"/>
      <c r="BA497" s="78"/>
      <c r="BB497" s="137"/>
      <c r="BC497" s="78"/>
      <c r="BD497" s="78" t="s">
        <v>6373</v>
      </c>
      <c r="BE497" s="78" t="s">
        <v>478</v>
      </c>
      <c r="BF497" s="78" t="s">
        <v>6374</v>
      </c>
      <c r="BG497" s="77"/>
      <c r="BH497" s="78"/>
      <c r="BI497" s="78">
        <v>1</v>
      </c>
      <c r="BJ497" s="78"/>
      <c r="BK497" s="12" t="s">
        <v>3911</v>
      </c>
      <c r="BL497" s="78">
        <v>15</v>
      </c>
      <c r="BM497" s="78"/>
      <c r="BN497" s="78"/>
      <c r="BO497" s="78"/>
      <c r="BP497" s="78"/>
      <c r="BQ497" s="78"/>
      <c r="BR497" s="78"/>
      <c r="BS497" s="78"/>
      <c r="BT497" s="78"/>
      <c r="BU497" s="78"/>
      <c r="BV497" s="78"/>
      <c r="BW497" s="78"/>
      <c r="BX497" s="78"/>
      <c r="BY497" s="78"/>
      <c r="BZ497" s="78"/>
      <c r="CA497" s="78"/>
      <c r="CB497" s="78"/>
      <c r="CC497" s="78"/>
      <c r="CD497" s="78"/>
    </row>
    <row r="498" spans="1:82" s="116" customFormat="1" ht="15" x14ac:dyDescent="0.25">
      <c r="A498" s="125">
        <v>1000</v>
      </c>
      <c r="B498" s="125" t="s">
        <v>6375</v>
      </c>
      <c r="C498" s="128" t="s">
        <v>335</v>
      </c>
      <c r="D498" s="109" t="s">
        <v>228</v>
      </c>
      <c r="E498" s="125">
        <v>10159646016</v>
      </c>
      <c r="F498" s="127">
        <v>46036</v>
      </c>
      <c r="G498" s="127">
        <v>46036</v>
      </c>
      <c r="H498" s="113">
        <f t="shared" si="42"/>
        <v>46126</v>
      </c>
      <c r="I498" s="113" t="s">
        <v>290</v>
      </c>
      <c r="J498" s="125" t="s">
        <v>4539</v>
      </c>
      <c r="K498" s="125" t="s">
        <v>337</v>
      </c>
      <c r="L498" s="125" t="s">
        <v>6376</v>
      </c>
      <c r="M498" s="128" t="str">
        <f t="shared" si="43"/>
        <v>ROSALES FLORES CARLOS ERNESTO</v>
      </c>
      <c r="N498" s="128" t="s">
        <v>6377</v>
      </c>
      <c r="O498" s="110" t="s">
        <v>6378</v>
      </c>
      <c r="P498" s="125" t="s">
        <v>1953</v>
      </c>
      <c r="Q498" s="127">
        <v>35376</v>
      </c>
      <c r="R498" s="125">
        <f t="shared" si="44"/>
        <v>7</v>
      </c>
      <c r="S498" s="125">
        <f t="shared" si="45"/>
        <v>11</v>
      </c>
      <c r="T498" s="125">
        <f t="shared" si="46"/>
        <v>1996</v>
      </c>
      <c r="U498" s="142">
        <f t="shared" ca="1" si="47"/>
        <v>29.947945205479453</v>
      </c>
      <c r="V498" s="128" t="s">
        <v>452</v>
      </c>
      <c r="W498" s="128" t="s">
        <v>6379</v>
      </c>
      <c r="X498" s="125" t="s">
        <v>454</v>
      </c>
      <c r="Y498" s="125" t="s">
        <v>115</v>
      </c>
      <c r="Z498" s="125" t="s">
        <v>149</v>
      </c>
      <c r="AA498" s="125" t="s">
        <v>347</v>
      </c>
      <c r="AB498" s="125" t="s">
        <v>2293</v>
      </c>
      <c r="AC498" s="125" t="s">
        <v>313</v>
      </c>
      <c r="AD498" s="125" t="s">
        <v>314</v>
      </c>
      <c r="AE498" s="125">
        <v>90</v>
      </c>
      <c r="AF498" s="114" t="s">
        <v>949</v>
      </c>
      <c r="AG498" s="125" t="s">
        <v>290</v>
      </c>
      <c r="AH498" s="110" t="s">
        <v>950</v>
      </c>
      <c r="AI498" s="125" t="s">
        <v>317</v>
      </c>
      <c r="AJ498" s="125" t="s">
        <v>318</v>
      </c>
      <c r="AK498" s="110" t="s">
        <v>6380</v>
      </c>
      <c r="AL498" s="97" t="s">
        <v>6381</v>
      </c>
      <c r="AM498" s="110" t="s">
        <v>6382</v>
      </c>
      <c r="AN498" s="110" t="s">
        <v>478</v>
      </c>
      <c r="AO498" s="110" t="s">
        <v>398</v>
      </c>
      <c r="AP498" s="110" t="s">
        <v>398</v>
      </c>
      <c r="AQ498" s="110" t="s">
        <v>6383</v>
      </c>
      <c r="AR498" s="125">
        <v>108</v>
      </c>
      <c r="AS498" s="125" t="s">
        <v>581</v>
      </c>
      <c r="AT498" s="110" t="s">
        <v>228</v>
      </c>
      <c r="AU498" s="110" t="s">
        <v>483</v>
      </c>
      <c r="AV498" s="125">
        <v>79613</v>
      </c>
      <c r="AW498" s="125" t="s">
        <v>3416</v>
      </c>
      <c r="AX498" s="110" t="s">
        <v>329</v>
      </c>
      <c r="AY498" s="125" t="s">
        <v>3416</v>
      </c>
      <c r="AZ498" s="110"/>
      <c r="BA498" s="110"/>
      <c r="BB498" s="138"/>
      <c r="BC498" s="110"/>
      <c r="BD498" s="110" t="s">
        <v>6382</v>
      </c>
      <c r="BE498" s="110" t="s">
        <v>478</v>
      </c>
      <c r="BF498" s="110" t="s">
        <v>6384</v>
      </c>
      <c r="BG498" s="125"/>
      <c r="BH498" s="110"/>
      <c r="BI498" s="110">
        <v>3</v>
      </c>
      <c r="BJ498" s="110"/>
      <c r="BK498" s="109" t="s">
        <v>3911</v>
      </c>
      <c r="BL498" s="110">
        <v>5</v>
      </c>
      <c r="BM498" s="110"/>
      <c r="BN498" s="109" t="s">
        <v>3946</v>
      </c>
      <c r="BO498" s="110">
        <v>3</v>
      </c>
      <c r="BP498" s="110"/>
      <c r="BQ498" s="109" t="s">
        <v>3911</v>
      </c>
      <c r="BR498" s="110" t="s">
        <v>6385</v>
      </c>
      <c r="BS498" s="110"/>
      <c r="BT498" s="110"/>
      <c r="BU498" s="110"/>
      <c r="BV498" s="110"/>
      <c r="BW498" s="110"/>
      <c r="BX498" s="110"/>
      <c r="BY498" s="110"/>
      <c r="BZ498" s="110"/>
      <c r="CA498" s="110"/>
      <c r="CB498" s="110"/>
      <c r="CC498" s="110"/>
      <c r="CD498" s="110"/>
    </row>
    <row r="499" spans="1:82" ht="15" x14ac:dyDescent="0.25">
      <c r="A499" s="77">
        <v>1001</v>
      </c>
      <c r="B499" s="77" t="s">
        <v>6386</v>
      </c>
      <c r="C499" s="78" t="s">
        <v>363</v>
      </c>
      <c r="D499" s="77" t="s">
        <v>86</v>
      </c>
      <c r="E499" s="77" t="s">
        <v>6388</v>
      </c>
      <c r="F499" s="79">
        <v>46041</v>
      </c>
      <c r="G499" s="79">
        <v>46041</v>
      </c>
      <c r="H499" s="101">
        <f t="shared" si="42"/>
        <v>46131</v>
      </c>
      <c r="I499" s="101" t="s">
        <v>290</v>
      </c>
      <c r="J499" s="77" t="s">
        <v>6389</v>
      </c>
      <c r="K499" s="77" t="s">
        <v>1239</v>
      </c>
      <c r="L499" s="77" t="s">
        <v>1703</v>
      </c>
      <c r="M499" s="102" t="str">
        <f t="shared" si="43"/>
        <v>BONILLA VAZQUEZ JOSE LUIS</v>
      </c>
      <c r="N499" s="102" t="s">
        <v>6390</v>
      </c>
      <c r="O499" s="78" t="s">
        <v>6391</v>
      </c>
      <c r="P499" s="77" t="s">
        <v>1953</v>
      </c>
      <c r="Q499" s="79">
        <v>34106</v>
      </c>
      <c r="R499" s="77">
        <f t="shared" si="44"/>
        <v>17</v>
      </c>
      <c r="S499" s="77">
        <f t="shared" si="45"/>
        <v>5</v>
      </c>
      <c r="T499" s="77">
        <f t="shared" si="46"/>
        <v>1993</v>
      </c>
      <c r="U499" s="103">
        <f t="shared" ca="1" si="47"/>
        <v>33.42739726027397</v>
      </c>
      <c r="V499" s="102" t="s">
        <v>452</v>
      </c>
      <c r="W499" s="102" t="s">
        <v>6392</v>
      </c>
      <c r="X499" s="77" t="s">
        <v>454</v>
      </c>
      <c r="Y499" s="77" t="s">
        <v>91</v>
      </c>
      <c r="Z499" s="139" t="s">
        <v>88</v>
      </c>
      <c r="AA499" s="139" t="s">
        <v>392</v>
      </c>
      <c r="AB499" s="139" t="s">
        <v>374</v>
      </c>
      <c r="AC499" s="77" t="s">
        <v>313</v>
      </c>
      <c r="AD499" s="77" t="s">
        <v>314</v>
      </c>
      <c r="AE499" s="77">
        <v>90</v>
      </c>
      <c r="AF499" s="13" t="s">
        <v>375</v>
      </c>
      <c r="AG499" s="77" t="s">
        <v>290</v>
      </c>
      <c r="AH499" s="78" t="s">
        <v>473</v>
      </c>
      <c r="AI499" s="12" t="s">
        <v>317</v>
      </c>
      <c r="AJ499" s="12" t="s">
        <v>318</v>
      </c>
      <c r="AK499" s="78" t="s">
        <v>6393</v>
      </c>
      <c r="AL499" s="93" t="s">
        <v>6394</v>
      </c>
      <c r="AM499" s="78" t="s">
        <v>6395</v>
      </c>
      <c r="AN499" s="78" t="s">
        <v>478</v>
      </c>
      <c r="AO499" s="78" t="s">
        <v>398</v>
      </c>
      <c r="AP499" s="78" t="s">
        <v>398</v>
      </c>
      <c r="AQ499" s="78" t="s">
        <v>6396</v>
      </c>
      <c r="AR499" s="77">
        <v>514</v>
      </c>
      <c r="AS499" s="77" t="s">
        <v>581</v>
      </c>
      <c r="AT499" s="78" t="s">
        <v>482</v>
      </c>
      <c r="AU499" s="78" t="s">
        <v>483</v>
      </c>
      <c r="AV499" s="77">
        <v>78436</v>
      </c>
      <c r="AW499" s="77" t="s">
        <v>3416</v>
      </c>
      <c r="AX499" s="78" t="s">
        <v>329</v>
      </c>
      <c r="AY499" s="125" t="s">
        <v>3416</v>
      </c>
      <c r="AZ499" s="78"/>
      <c r="BA499" s="78"/>
      <c r="BB499" s="137"/>
      <c r="BC499" s="78"/>
      <c r="BD499" s="78" t="s">
        <v>6395</v>
      </c>
      <c r="BE499" s="78" t="s">
        <v>478</v>
      </c>
      <c r="BF499" s="78" t="s">
        <v>6397</v>
      </c>
      <c r="BG499" s="77" t="s">
        <v>1349</v>
      </c>
      <c r="BH499" s="78" t="s">
        <v>3815</v>
      </c>
      <c r="BI499" s="78">
        <v>2</v>
      </c>
      <c r="BJ499" s="78"/>
      <c r="BK499" s="78" t="s">
        <v>3911</v>
      </c>
      <c r="BL499" s="78">
        <v>11</v>
      </c>
      <c r="BM499" s="78"/>
      <c r="BN499" s="78" t="s">
        <v>3911</v>
      </c>
      <c r="BO499" s="78">
        <v>4</v>
      </c>
      <c r="BP499" s="78"/>
      <c r="BQ499" s="78"/>
      <c r="BR499" s="78"/>
      <c r="BS499" s="78"/>
      <c r="BT499" s="78"/>
      <c r="BU499" s="78"/>
      <c r="BV499" s="78"/>
      <c r="BW499" s="78"/>
      <c r="BX499" s="78"/>
      <c r="BY499" s="78"/>
      <c r="BZ499" s="78"/>
      <c r="CA499" s="78"/>
      <c r="CB499" s="78"/>
      <c r="CC499" s="78"/>
      <c r="CD499" s="78"/>
    </row>
    <row r="500" spans="1:82" s="116" customFormat="1" ht="15" x14ac:dyDescent="0.25">
      <c r="A500" s="125">
        <v>1002</v>
      </c>
      <c r="B500" s="125" t="s">
        <v>6387</v>
      </c>
      <c r="C500" s="128" t="s">
        <v>335</v>
      </c>
      <c r="D500" s="125" t="s">
        <v>105</v>
      </c>
      <c r="E500" s="125">
        <v>26200178262</v>
      </c>
      <c r="F500" s="127">
        <v>46041</v>
      </c>
      <c r="G500" s="127">
        <v>46041</v>
      </c>
      <c r="H500" s="113">
        <f t="shared" si="42"/>
        <v>46131</v>
      </c>
      <c r="I500" s="113" t="s">
        <v>291</v>
      </c>
      <c r="J500" s="125" t="s">
        <v>960</v>
      </c>
      <c r="K500" s="125" t="s">
        <v>5551</v>
      </c>
      <c r="L500" s="125" t="s">
        <v>6398</v>
      </c>
      <c r="M500" s="128" t="str">
        <f t="shared" si="43"/>
        <v>TORRES MONTES CARLOS DANIEL</v>
      </c>
      <c r="N500" s="128" t="s">
        <v>6399</v>
      </c>
      <c r="O500" s="110" t="s">
        <v>6400</v>
      </c>
      <c r="P500" s="125" t="s">
        <v>1953</v>
      </c>
      <c r="Q500" s="127">
        <v>36973</v>
      </c>
      <c r="R500" s="125">
        <f t="shared" si="44"/>
        <v>23</v>
      </c>
      <c r="S500" s="125">
        <f t="shared" si="45"/>
        <v>3</v>
      </c>
      <c r="T500" s="125">
        <f t="shared" si="46"/>
        <v>2001</v>
      </c>
      <c r="U500" s="142">
        <f t="shared" ca="1" si="47"/>
        <v>25.572602739726026</v>
      </c>
      <c r="V500" s="128" t="s">
        <v>389</v>
      </c>
      <c r="W500" s="128" t="s">
        <v>6401</v>
      </c>
      <c r="X500" s="125" t="s">
        <v>5808</v>
      </c>
      <c r="Y500" s="120" t="s">
        <v>222</v>
      </c>
      <c r="Z500" s="109" t="s">
        <v>227</v>
      </c>
      <c r="AA500" s="109" t="s">
        <v>857</v>
      </c>
      <c r="AB500" s="109" t="s">
        <v>858</v>
      </c>
      <c r="AC500" s="125" t="s">
        <v>313</v>
      </c>
      <c r="AD500" s="125" t="s">
        <v>314</v>
      </c>
      <c r="AE500" s="125">
        <v>90</v>
      </c>
      <c r="AF500" s="114" t="s">
        <v>859</v>
      </c>
      <c r="AG500" s="109" t="s">
        <v>291</v>
      </c>
      <c r="AH500" s="115" t="s">
        <v>2338</v>
      </c>
      <c r="AI500" s="109" t="s">
        <v>317</v>
      </c>
      <c r="AJ500" s="109" t="s">
        <v>318</v>
      </c>
      <c r="AK500" s="110" t="s">
        <v>6402</v>
      </c>
      <c r="AL500" s="97" t="s">
        <v>6403</v>
      </c>
      <c r="AM500" s="110" t="s">
        <v>6404</v>
      </c>
      <c r="AN500" s="110" t="s">
        <v>325</v>
      </c>
      <c r="AO500" s="110" t="s">
        <v>398</v>
      </c>
      <c r="AP500" s="110" t="s">
        <v>398</v>
      </c>
      <c r="AQ500" s="110" t="s">
        <v>6405</v>
      </c>
      <c r="AR500" s="125">
        <v>704</v>
      </c>
      <c r="AS500" s="125" t="s">
        <v>581</v>
      </c>
      <c r="AT500" s="110" t="s">
        <v>105</v>
      </c>
      <c r="AU500" s="110" t="s">
        <v>105</v>
      </c>
      <c r="AV500" s="125">
        <v>20260</v>
      </c>
      <c r="AW500" s="125" t="s">
        <v>3416</v>
      </c>
      <c r="AX500" s="110" t="s">
        <v>329</v>
      </c>
      <c r="AY500" s="125" t="s">
        <v>3416</v>
      </c>
      <c r="AZ500" s="110"/>
      <c r="BA500" s="110"/>
      <c r="BB500" s="138"/>
      <c r="BC500" s="110"/>
      <c r="BD500" s="110" t="s">
        <v>6404</v>
      </c>
      <c r="BE500" s="110" t="s">
        <v>325</v>
      </c>
      <c r="BF500" s="110" t="s">
        <v>6406</v>
      </c>
      <c r="BG500" s="125"/>
      <c r="BH500" s="110"/>
      <c r="BI500" s="110"/>
      <c r="BJ500" s="110"/>
      <c r="BK500" s="110"/>
      <c r="BL500" s="110"/>
      <c r="BM500" s="110"/>
      <c r="BN500" s="110"/>
      <c r="BO500" s="110"/>
      <c r="BP500" s="110"/>
      <c r="BQ500" s="110"/>
      <c r="BR500" s="110"/>
      <c r="BS500" s="110"/>
      <c r="BT500" s="110"/>
      <c r="BU500" s="110"/>
      <c r="BV500" s="110"/>
      <c r="BW500" s="110"/>
      <c r="BX500" s="110"/>
      <c r="BY500" s="110"/>
      <c r="BZ500" s="110"/>
      <c r="CA500" s="110"/>
      <c r="CB500" s="110"/>
      <c r="CC500" s="110"/>
      <c r="CD500" s="110"/>
    </row>
    <row r="501" spans="1:82" ht="15" x14ac:dyDescent="0.25">
      <c r="A501" s="77">
        <v>1003</v>
      </c>
      <c r="B501" s="77" t="s">
        <v>6407</v>
      </c>
      <c r="C501" s="102" t="s">
        <v>335</v>
      </c>
      <c r="D501" s="77" t="s">
        <v>116</v>
      </c>
      <c r="E501" s="77">
        <v>31139002021</v>
      </c>
      <c r="F501" s="79">
        <v>46042</v>
      </c>
      <c r="G501" s="79">
        <v>46042</v>
      </c>
      <c r="H501" s="101">
        <f t="shared" si="42"/>
        <v>46132</v>
      </c>
      <c r="I501" s="101" t="s">
        <v>290</v>
      </c>
      <c r="J501" s="77" t="s">
        <v>337</v>
      </c>
      <c r="K501" s="77" t="s">
        <v>6408</v>
      </c>
      <c r="L501" s="77" t="s">
        <v>1938</v>
      </c>
      <c r="M501" s="102" t="str">
        <f t="shared" si="43"/>
        <v>FLORES SOSA LUIS ENRIQUE</v>
      </c>
      <c r="N501" s="102" t="s">
        <v>6409</v>
      </c>
      <c r="O501" s="78" t="s">
        <v>6410</v>
      </c>
      <c r="P501" s="77" t="s">
        <v>1953</v>
      </c>
      <c r="Q501" s="79">
        <v>33207</v>
      </c>
      <c r="R501" s="77">
        <f t="shared" si="44"/>
        <v>30</v>
      </c>
      <c r="S501" s="77">
        <f t="shared" si="45"/>
        <v>11</v>
      </c>
      <c r="T501" s="77">
        <f t="shared" si="46"/>
        <v>1990</v>
      </c>
      <c r="U501" s="103">
        <f t="shared" ca="1" si="47"/>
        <v>35.890410958904113</v>
      </c>
      <c r="V501" s="102" t="s">
        <v>452</v>
      </c>
      <c r="W501" s="102" t="s">
        <v>6411</v>
      </c>
      <c r="X501" s="77" t="s">
        <v>6412</v>
      </c>
      <c r="Y501" s="77" t="s">
        <v>617</v>
      </c>
      <c r="Z501" s="12" t="s">
        <v>118</v>
      </c>
      <c r="AA501" s="12" t="s">
        <v>2276</v>
      </c>
      <c r="AB501" s="12" t="s">
        <v>348</v>
      </c>
      <c r="AC501" s="77" t="s">
        <v>313</v>
      </c>
      <c r="AD501" s="77" t="s">
        <v>314</v>
      </c>
      <c r="AE501" s="77">
        <v>90</v>
      </c>
      <c r="AF501" s="13" t="s">
        <v>350</v>
      </c>
      <c r="AG501" s="77" t="s">
        <v>290</v>
      </c>
      <c r="AH501" s="102" t="s">
        <v>351</v>
      </c>
      <c r="AI501" s="77" t="s">
        <v>317</v>
      </c>
      <c r="AJ501" s="77" t="s">
        <v>318</v>
      </c>
      <c r="AK501" s="102" t="s">
        <v>6413</v>
      </c>
      <c r="AL501" s="93" t="s">
        <v>6414</v>
      </c>
      <c r="AM501" s="78" t="s">
        <v>6415</v>
      </c>
      <c r="AN501" s="78" t="s">
        <v>478</v>
      </c>
      <c r="AO501" s="78" t="s">
        <v>398</v>
      </c>
      <c r="AP501" s="78" t="s">
        <v>398</v>
      </c>
      <c r="AQ501" s="78" t="s">
        <v>6416</v>
      </c>
      <c r="AR501" s="77">
        <v>10</v>
      </c>
      <c r="AS501" s="77" t="s">
        <v>581</v>
      </c>
      <c r="AT501" s="78" t="s">
        <v>6417</v>
      </c>
      <c r="AU501" s="78" t="s">
        <v>583</v>
      </c>
      <c r="AV501" s="77">
        <v>45221</v>
      </c>
      <c r="AW501" s="77" t="s">
        <v>3416</v>
      </c>
      <c r="AX501" s="78" t="s">
        <v>329</v>
      </c>
      <c r="AY501" s="125" t="s">
        <v>3416</v>
      </c>
      <c r="AZ501" s="78"/>
      <c r="BA501" s="78"/>
      <c r="BB501" s="137"/>
      <c r="BC501" s="78"/>
      <c r="BD501" s="78" t="s">
        <v>6415</v>
      </c>
      <c r="BE501" s="78" t="s">
        <v>478</v>
      </c>
      <c r="BF501" s="78" t="s">
        <v>6418</v>
      </c>
      <c r="BG501" s="77" t="s">
        <v>333</v>
      </c>
      <c r="BH501" s="78" t="s">
        <v>398</v>
      </c>
      <c r="BI501" s="78">
        <v>2</v>
      </c>
      <c r="BJ501" s="78"/>
      <c r="BK501" s="13" t="s">
        <v>3911</v>
      </c>
      <c r="BL501" s="78" t="s">
        <v>6419</v>
      </c>
      <c r="BM501" s="78"/>
      <c r="BN501" s="13" t="s">
        <v>3911</v>
      </c>
      <c r="BO501" s="78">
        <v>2</v>
      </c>
      <c r="BP501" s="78"/>
      <c r="BQ501" s="78"/>
      <c r="BR501" s="78"/>
      <c r="BS501" s="78"/>
      <c r="BT501" s="78"/>
      <c r="BU501" s="78"/>
      <c r="BV501" s="78"/>
      <c r="BW501" s="78"/>
      <c r="BX501" s="78"/>
      <c r="BY501" s="78"/>
      <c r="BZ501" s="78"/>
      <c r="CA501" s="78"/>
      <c r="CB501" s="78"/>
      <c r="CC501" s="78"/>
      <c r="CD501" s="78"/>
    </row>
    <row r="502" spans="1:82" ht="15" x14ac:dyDescent="0.25">
      <c r="A502" s="77">
        <v>1198</v>
      </c>
      <c r="B502" s="77" t="s">
        <v>6429</v>
      </c>
      <c r="C502" s="78" t="s">
        <v>299</v>
      </c>
      <c r="D502" s="99" t="s">
        <v>80</v>
      </c>
      <c r="E502" s="77">
        <v>76997600333</v>
      </c>
      <c r="F502" s="79">
        <v>46041</v>
      </c>
      <c r="G502" s="79">
        <v>46041</v>
      </c>
      <c r="H502" s="101">
        <f t="shared" si="42"/>
        <v>46131</v>
      </c>
      <c r="I502" s="101" t="s">
        <v>291</v>
      </c>
      <c r="J502" s="77" t="s">
        <v>960</v>
      </c>
      <c r="K502" s="77" t="s">
        <v>1079</v>
      </c>
      <c r="L502" s="77" t="s">
        <v>6420</v>
      </c>
      <c r="M502" s="102" t="str">
        <f t="shared" si="43"/>
        <v>TORRES CASTILLO GRISELDA</v>
      </c>
      <c r="N502" s="102" t="s">
        <v>6421</v>
      </c>
      <c r="O502" s="78" t="s">
        <v>6422</v>
      </c>
      <c r="P502" s="77" t="s">
        <v>1954</v>
      </c>
      <c r="Q502" s="79">
        <v>27821</v>
      </c>
      <c r="R502" s="77">
        <f t="shared" si="44"/>
        <v>2</v>
      </c>
      <c r="S502" s="77">
        <f t="shared" si="45"/>
        <v>3</v>
      </c>
      <c r="T502" s="77">
        <f t="shared" si="46"/>
        <v>1976</v>
      </c>
      <c r="U502" s="103">
        <f t="shared" ca="1" si="47"/>
        <v>50.646575342465752</v>
      </c>
      <c r="V502" s="102" t="s">
        <v>1450</v>
      </c>
      <c r="W502" s="102" t="s">
        <v>6423</v>
      </c>
      <c r="X502" s="77" t="s">
        <v>5808</v>
      </c>
      <c r="Y502" s="141" t="s">
        <v>191</v>
      </c>
      <c r="Z502" s="12" t="s">
        <v>170</v>
      </c>
      <c r="AA502" s="12" t="s">
        <v>636</v>
      </c>
      <c r="AB502" s="12" t="s">
        <v>1368</v>
      </c>
      <c r="AC502" s="77" t="s">
        <v>313</v>
      </c>
      <c r="AD502" s="77" t="s">
        <v>314</v>
      </c>
      <c r="AE502" s="77">
        <v>90</v>
      </c>
      <c r="AF502" s="13" t="s">
        <v>315</v>
      </c>
      <c r="AG502" s="12" t="s">
        <v>291</v>
      </c>
      <c r="AH502" s="78" t="s">
        <v>316</v>
      </c>
      <c r="AI502" s="77" t="s">
        <v>317</v>
      </c>
      <c r="AJ502" s="77" t="s">
        <v>5229</v>
      </c>
      <c r="AK502" s="78" t="s">
        <v>6424</v>
      </c>
      <c r="AL502" s="93" t="s">
        <v>6425</v>
      </c>
      <c r="AM502" s="78" t="s">
        <v>6426</v>
      </c>
      <c r="AN502" s="78" t="s">
        <v>1531</v>
      </c>
      <c r="AO502" s="78" t="s">
        <v>398</v>
      </c>
      <c r="AP502" s="78" t="s">
        <v>327</v>
      </c>
      <c r="AQ502" s="78" t="s">
        <v>6427</v>
      </c>
      <c r="AR502" s="77">
        <v>1150</v>
      </c>
      <c r="AS502" s="77" t="s">
        <v>642</v>
      </c>
      <c r="AT502" s="78" t="s">
        <v>483</v>
      </c>
      <c r="AU502" s="78" t="s">
        <v>483</v>
      </c>
      <c r="AV502" s="77">
        <v>78319</v>
      </c>
      <c r="AW502" s="77" t="s">
        <v>3416</v>
      </c>
      <c r="AX502" s="78" t="s">
        <v>329</v>
      </c>
      <c r="AY502" s="125" t="s">
        <v>3416</v>
      </c>
      <c r="AZ502" s="78"/>
      <c r="BA502" s="78"/>
      <c r="BB502" s="137"/>
      <c r="BC502" s="78"/>
      <c r="BD502" s="78" t="s">
        <v>6428</v>
      </c>
      <c r="BE502" s="78" t="s">
        <v>3185</v>
      </c>
      <c r="BF502" s="78" t="s">
        <v>2749</v>
      </c>
      <c r="BG502" s="77" t="s">
        <v>333</v>
      </c>
      <c r="BH502" s="78" t="s">
        <v>3815</v>
      </c>
      <c r="BI502" s="78">
        <v>2</v>
      </c>
      <c r="BJ502" s="78"/>
      <c r="BK502" s="78" t="s">
        <v>3946</v>
      </c>
      <c r="BL502" s="78">
        <v>22</v>
      </c>
      <c r="BM502" s="78"/>
      <c r="BN502" s="78" t="s">
        <v>3946</v>
      </c>
      <c r="BO502" s="78">
        <v>18</v>
      </c>
      <c r="BP502" s="78"/>
      <c r="BQ502" s="78"/>
      <c r="BR502" s="78"/>
      <c r="BS502" s="78"/>
      <c r="BT502" s="78"/>
      <c r="BU502" s="78"/>
      <c r="BV502" s="78"/>
      <c r="BW502" s="78"/>
      <c r="BX502" s="78"/>
      <c r="BY502" s="78"/>
      <c r="BZ502" s="78"/>
      <c r="CA502" s="78"/>
      <c r="CB502" s="78"/>
      <c r="CC502" s="78"/>
      <c r="CD502" s="78"/>
    </row>
    <row r="503" spans="1:82" s="116" customFormat="1" ht="15" x14ac:dyDescent="0.25">
      <c r="A503" s="125">
        <v>1004</v>
      </c>
      <c r="B503" s="125" t="s">
        <v>6430</v>
      </c>
      <c r="C503" s="128" t="s">
        <v>335</v>
      </c>
      <c r="D503" s="125" t="s">
        <v>116</v>
      </c>
      <c r="E503" s="125">
        <v>25179770695</v>
      </c>
      <c r="F503" s="127">
        <v>46048</v>
      </c>
      <c r="G503" s="127">
        <v>46048</v>
      </c>
      <c r="H503" s="113">
        <f t="shared" si="42"/>
        <v>46138</v>
      </c>
      <c r="I503" s="113" t="s">
        <v>290</v>
      </c>
      <c r="J503" s="125" t="s">
        <v>1307</v>
      </c>
      <c r="K503" s="125" t="s">
        <v>6431</v>
      </c>
      <c r="L503" s="125" t="s">
        <v>6432</v>
      </c>
      <c r="M503" s="128" t="str">
        <f t="shared" si="43"/>
        <v>DIAZ  COVARRUBIAS  LUIS FERNANDO</v>
      </c>
      <c r="N503" s="128" t="s">
        <v>6433</v>
      </c>
      <c r="O503" s="110" t="s">
        <v>6434</v>
      </c>
      <c r="P503" s="125" t="s">
        <v>1953</v>
      </c>
      <c r="Q503" s="127">
        <v>28375</v>
      </c>
      <c r="R503" s="125">
        <f t="shared" si="44"/>
        <v>7</v>
      </c>
      <c r="S503" s="125">
        <f t="shared" si="45"/>
        <v>9</v>
      </c>
      <c r="T503" s="125">
        <f t="shared" si="46"/>
        <v>1977</v>
      </c>
      <c r="U503" s="142">
        <f t="shared" ca="1" si="47"/>
        <v>49.128767123287673</v>
      </c>
      <c r="V503" s="128" t="s">
        <v>452</v>
      </c>
      <c r="W503" s="128" t="s">
        <v>6435</v>
      </c>
      <c r="X503" s="125" t="s">
        <v>472</v>
      </c>
      <c r="Y503" s="125" t="s">
        <v>617</v>
      </c>
      <c r="Z503" s="109" t="s">
        <v>118</v>
      </c>
      <c r="AA503" s="109" t="s">
        <v>2276</v>
      </c>
      <c r="AB503" s="109" t="s">
        <v>348</v>
      </c>
      <c r="AC503" s="125" t="s">
        <v>313</v>
      </c>
      <c r="AD503" s="125" t="s">
        <v>314</v>
      </c>
      <c r="AE503" s="125">
        <v>90</v>
      </c>
      <c r="AF503" s="114" t="s">
        <v>350</v>
      </c>
      <c r="AG503" s="125" t="s">
        <v>290</v>
      </c>
      <c r="AH503" s="128" t="s">
        <v>351</v>
      </c>
      <c r="AI503" s="125" t="s">
        <v>317</v>
      </c>
      <c r="AJ503" s="125" t="s">
        <v>318</v>
      </c>
      <c r="AK503" s="110" t="s">
        <v>6436</v>
      </c>
      <c r="AL503" s="97" t="s">
        <v>6437</v>
      </c>
      <c r="AM503" s="110" t="s">
        <v>6438</v>
      </c>
      <c r="AN503" s="110" t="s">
        <v>478</v>
      </c>
      <c r="AO503" s="110" t="s">
        <v>398</v>
      </c>
      <c r="AP503" s="110" t="s">
        <v>398</v>
      </c>
      <c r="AQ503" s="110" t="s">
        <v>6439</v>
      </c>
      <c r="AR503" s="125">
        <v>88</v>
      </c>
      <c r="AS503" s="125" t="s">
        <v>581</v>
      </c>
      <c r="AT503" s="110" t="s">
        <v>1132</v>
      </c>
      <c r="AU503" s="110" t="s">
        <v>583</v>
      </c>
      <c r="AV503" s="125">
        <v>45200</v>
      </c>
      <c r="AW503" s="125" t="s">
        <v>3416</v>
      </c>
      <c r="AX503" s="110" t="s">
        <v>329</v>
      </c>
      <c r="AY503" s="125" t="s">
        <v>3416</v>
      </c>
      <c r="AZ503" s="110"/>
      <c r="BA503" s="110"/>
      <c r="BB503" s="138"/>
      <c r="BC503" s="110"/>
      <c r="BD503" s="110" t="s">
        <v>6440</v>
      </c>
      <c r="BE503" s="110" t="s">
        <v>478</v>
      </c>
      <c r="BF503" s="110" t="s">
        <v>6441</v>
      </c>
      <c r="BG503" s="125" t="s">
        <v>333</v>
      </c>
      <c r="BH503" s="110" t="s">
        <v>398</v>
      </c>
      <c r="BI503" s="110"/>
      <c r="BJ503" s="110"/>
      <c r="BK503" s="110"/>
      <c r="BL503" s="110"/>
      <c r="BM503" s="110"/>
      <c r="BN503" s="110"/>
      <c r="BO503" s="110"/>
      <c r="BP503" s="110"/>
      <c r="BQ503" s="110"/>
      <c r="BR503" s="110"/>
      <c r="BS503" s="110"/>
      <c r="BT503" s="110"/>
      <c r="BU503" s="110"/>
      <c r="BV503" s="110"/>
      <c r="BW503" s="110"/>
      <c r="BX503" s="110"/>
      <c r="BY503" s="110"/>
      <c r="BZ503" s="110"/>
      <c r="CA503" s="110"/>
      <c r="CB503" s="110"/>
      <c r="CC503" s="110"/>
      <c r="CD503" s="110"/>
    </row>
    <row r="504" spans="1:82" ht="15" x14ac:dyDescent="0.25">
      <c r="A504" s="77">
        <v>1005</v>
      </c>
      <c r="B504" s="12" t="s">
        <v>7275</v>
      </c>
      <c r="C504" s="104" t="s">
        <v>564</v>
      </c>
      <c r="D504" s="107" t="s">
        <v>81</v>
      </c>
      <c r="E504" s="77" t="s">
        <v>7276</v>
      </c>
      <c r="F504" s="79">
        <v>46062</v>
      </c>
      <c r="G504" s="79">
        <v>46062</v>
      </c>
      <c r="H504" s="101">
        <f t="shared" ref="H504:H567" si="48">+G504+AE504</f>
        <v>46152</v>
      </c>
      <c r="I504" s="77" t="s">
        <v>290</v>
      </c>
      <c r="J504" s="77" t="s">
        <v>1831</v>
      </c>
      <c r="K504" s="77" t="s">
        <v>7277</v>
      </c>
      <c r="L504" s="77" t="s">
        <v>7278</v>
      </c>
      <c r="M504" s="102" t="str">
        <f t="shared" si="43"/>
        <v>VENANCIO ANALCO GUADALUPE</v>
      </c>
      <c r="N504" s="102" t="s">
        <v>7279</v>
      </c>
      <c r="O504" s="102" t="s">
        <v>7280</v>
      </c>
      <c r="P504" s="77" t="s">
        <v>1953</v>
      </c>
      <c r="Q504" s="79">
        <v>33756</v>
      </c>
      <c r="R504" s="77">
        <f t="shared" si="44"/>
        <v>1</v>
      </c>
      <c r="S504" s="77">
        <f t="shared" si="45"/>
        <v>6</v>
      </c>
      <c r="T504" s="77">
        <f t="shared" si="46"/>
        <v>1992</v>
      </c>
      <c r="U504" s="103">
        <f t="shared" ca="1" si="47"/>
        <v>34.386301369863013</v>
      </c>
      <c r="V504" s="102" t="s">
        <v>342</v>
      </c>
      <c r="W504" s="102" t="s">
        <v>7281</v>
      </c>
      <c r="X504" s="77" t="s">
        <v>693</v>
      </c>
      <c r="Y504" s="77" t="s">
        <v>115</v>
      </c>
      <c r="Z504" s="12" t="s">
        <v>84</v>
      </c>
      <c r="AA504" s="12" t="s">
        <v>532</v>
      </c>
      <c r="AB504" s="12" t="s">
        <v>574</v>
      </c>
      <c r="AC504" s="77" t="s">
        <v>313</v>
      </c>
      <c r="AD504" s="77" t="s">
        <v>314</v>
      </c>
      <c r="AE504" s="77">
        <v>90</v>
      </c>
      <c r="AF504" s="13" t="s">
        <v>710</v>
      </c>
      <c r="AG504" s="12" t="s">
        <v>290</v>
      </c>
      <c r="AH504" s="104" t="s">
        <v>575</v>
      </c>
      <c r="AI504" s="12" t="s">
        <v>317</v>
      </c>
      <c r="AJ504" s="12" t="s">
        <v>318</v>
      </c>
      <c r="AK504" s="78" t="s">
        <v>7282</v>
      </c>
      <c r="AL504" s="143" t="s">
        <v>7283</v>
      </c>
      <c r="AM504" s="78" t="s">
        <v>7284</v>
      </c>
      <c r="AN504" s="78" t="s">
        <v>381</v>
      </c>
      <c r="AO504" s="78" t="s">
        <v>398</v>
      </c>
      <c r="AP504" s="78" t="s">
        <v>398</v>
      </c>
      <c r="AQ504" s="78" t="s">
        <v>7285</v>
      </c>
      <c r="AR504" s="77" t="s">
        <v>983</v>
      </c>
      <c r="AS504" s="77" t="s">
        <v>581</v>
      </c>
      <c r="AT504" s="78" t="s">
        <v>7286</v>
      </c>
      <c r="AU504" s="78" t="s">
        <v>1236</v>
      </c>
      <c r="AV504" s="77">
        <v>39270</v>
      </c>
      <c r="AW504" s="77" t="s">
        <v>3417</v>
      </c>
      <c r="AX504" s="102" t="s">
        <v>3417</v>
      </c>
      <c r="AY504" s="78" t="s">
        <v>3417</v>
      </c>
      <c r="AZ504" s="78"/>
      <c r="BA504" s="78"/>
      <c r="BB504" s="137"/>
      <c r="BC504" s="78"/>
      <c r="BD504" s="78" t="s">
        <v>7287</v>
      </c>
      <c r="BE504" s="78" t="s">
        <v>381</v>
      </c>
      <c r="BF504" s="78" t="s">
        <v>7288</v>
      </c>
      <c r="BG504" s="77" t="s">
        <v>333</v>
      </c>
      <c r="BH504" s="78" t="s">
        <v>334</v>
      </c>
      <c r="BI504" s="78">
        <v>1</v>
      </c>
      <c r="BJ504" s="78"/>
      <c r="BK504" s="12" t="s">
        <v>571</v>
      </c>
      <c r="BL504" s="78">
        <v>5</v>
      </c>
      <c r="BM504" s="78"/>
      <c r="BN504" s="78"/>
      <c r="BO504" s="78"/>
      <c r="BP504" s="78"/>
      <c r="BQ504" s="78"/>
      <c r="BR504" s="78"/>
      <c r="BS504" s="78"/>
      <c r="BT504" s="78"/>
      <c r="BU504" s="78"/>
      <c r="BV504" s="78"/>
      <c r="BW504" s="78"/>
      <c r="BX504" s="78"/>
      <c r="BY504" s="78"/>
      <c r="BZ504" s="78"/>
      <c r="CA504" s="78"/>
      <c r="CB504" s="78"/>
      <c r="CC504" s="78"/>
      <c r="CD504" s="78"/>
    </row>
    <row r="505" spans="1:82" s="116" customFormat="1" ht="15" x14ac:dyDescent="0.25">
      <c r="A505" s="125" t="s">
        <v>7643</v>
      </c>
      <c r="B505" s="125" t="s">
        <v>7310</v>
      </c>
      <c r="C505" s="128" t="s">
        <v>335</v>
      </c>
      <c r="D505" s="125" t="s">
        <v>228</v>
      </c>
      <c r="E505" s="125">
        <v>1199125293</v>
      </c>
      <c r="F505" s="127">
        <v>46071</v>
      </c>
      <c r="G505" s="127">
        <v>46069</v>
      </c>
      <c r="H505" s="113">
        <f t="shared" si="48"/>
        <v>46159</v>
      </c>
      <c r="I505" s="125" t="s">
        <v>290</v>
      </c>
      <c r="J505" s="125" t="s">
        <v>928</v>
      </c>
      <c r="K505" s="125" t="s">
        <v>5496</v>
      </c>
      <c r="L505" s="128" t="s">
        <v>7293</v>
      </c>
      <c r="M505" s="128" t="str">
        <f t="shared" si="43"/>
        <v>GALLEGOS PADILLA ANTONIO NICODEMUS</v>
      </c>
      <c r="N505" s="128" t="s">
        <v>7294</v>
      </c>
      <c r="O505" s="125" t="s">
        <v>7295</v>
      </c>
      <c r="P505" s="125" t="s">
        <v>1953</v>
      </c>
      <c r="Q505" s="127">
        <v>33255</v>
      </c>
      <c r="R505" s="125">
        <f t="shared" si="44"/>
        <v>17</v>
      </c>
      <c r="S505" s="125">
        <f t="shared" si="45"/>
        <v>1</v>
      </c>
      <c r="T505" s="125">
        <f t="shared" si="46"/>
        <v>1991</v>
      </c>
      <c r="U505" s="142">
        <f t="shared" ca="1" si="47"/>
        <v>35.758904109589039</v>
      </c>
      <c r="V505" s="128" t="s">
        <v>342</v>
      </c>
      <c r="W505" s="128" t="s">
        <v>7296</v>
      </c>
      <c r="X505" s="125" t="s">
        <v>530</v>
      </c>
      <c r="Y505" s="125" t="s">
        <v>150</v>
      </c>
      <c r="Z505" s="125" t="s">
        <v>149</v>
      </c>
      <c r="AA505" s="125" t="s">
        <v>347</v>
      </c>
      <c r="AB505" s="125" t="s">
        <v>2293</v>
      </c>
      <c r="AC505" s="125" t="s">
        <v>313</v>
      </c>
      <c r="AD505" s="125" t="s">
        <v>314</v>
      </c>
      <c r="AE505" s="125">
        <v>90</v>
      </c>
      <c r="AF505" s="114" t="s">
        <v>949</v>
      </c>
      <c r="AG505" s="125" t="s">
        <v>290</v>
      </c>
      <c r="AH505" s="110" t="s">
        <v>950</v>
      </c>
      <c r="AI505" s="125" t="s">
        <v>317</v>
      </c>
      <c r="AJ505" s="125" t="s">
        <v>318</v>
      </c>
      <c r="AK505" s="110" t="s">
        <v>7297</v>
      </c>
      <c r="AL505" s="145" t="s">
        <v>7298</v>
      </c>
      <c r="AM505" s="110" t="s">
        <v>7299</v>
      </c>
      <c r="AN505" s="110" t="s">
        <v>381</v>
      </c>
      <c r="AO505" s="110" t="s">
        <v>398</v>
      </c>
      <c r="AP505" s="110" t="s">
        <v>398</v>
      </c>
      <c r="AQ505" s="110" t="s">
        <v>7300</v>
      </c>
      <c r="AR505" s="125">
        <v>200</v>
      </c>
      <c r="AS505" s="125" t="s">
        <v>581</v>
      </c>
      <c r="AT505" s="110" t="s">
        <v>1573</v>
      </c>
      <c r="AU505" s="110" t="s">
        <v>483</v>
      </c>
      <c r="AV505" s="125">
        <v>79650</v>
      </c>
      <c r="AW505" s="125" t="s">
        <v>329</v>
      </c>
      <c r="AX505" s="110" t="s">
        <v>329</v>
      </c>
      <c r="AY505" s="110" t="s">
        <v>329</v>
      </c>
      <c r="AZ505" s="110"/>
      <c r="BA505" s="138"/>
      <c r="BB505" s="110"/>
      <c r="BC505" s="110"/>
      <c r="BD505" s="110" t="s">
        <v>7299</v>
      </c>
      <c r="BE505" s="110" t="s">
        <v>381</v>
      </c>
      <c r="BF505" s="125" t="s">
        <v>7301</v>
      </c>
      <c r="BG505" s="110"/>
      <c r="BH505" s="110"/>
      <c r="BI505" s="110">
        <v>3</v>
      </c>
      <c r="BJ505" s="110"/>
      <c r="BK505" s="109" t="s">
        <v>3946</v>
      </c>
      <c r="BL505" s="110">
        <v>14</v>
      </c>
      <c r="BM505" s="110"/>
      <c r="BN505" s="109" t="s">
        <v>3946</v>
      </c>
      <c r="BO505" s="110">
        <v>11</v>
      </c>
      <c r="BP505" s="110"/>
      <c r="BQ505" s="109" t="s">
        <v>3946</v>
      </c>
      <c r="BR505" s="110">
        <v>8</v>
      </c>
      <c r="BS505" s="110"/>
      <c r="BT505" s="110"/>
      <c r="BU505" s="110"/>
      <c r="BV505" s="110"/>
      <c r="BW505" s="110"/>
      <c r="BX505" s="110"/>
      <c r="BY505" s="110"/>
      <c r="BZ505" s="110"/>
      <c r="CA505" s="110"/>
      <c r="CB505" s="110"/>
      <c r="CC505" s="110"/>
      <c r="CD505" s="110"/>
    </row>
    <row r="506" spans="1:82" ht="15" x14ac:dyDescent="0.25">
      <c r="A506" s="77">
        <v>1007</v>
      </c>
      <c r="B506" s="77" t="s">
        <v>7311</v>
      </c>
      <c r="C506" s="78" t="s">
        <v>363</v>
      </c>
      <c r="D506" s="77" t="s">
        <v>86</v>
      </c>
      <c r="E506" s="77">
        <v>66169705762</v>
      </c>
      <c r="F506" s="79">
        <v>46069</v>
      </c>
      <c r="G506" s="79">
        <v>46069</v>
      </c>
      <c r="H506" s="101">
        <f t="shared" si="48"/>
        <v>46159</v>
      </c>
      <c r="I506" s="77" t="s">
        <v>291</v>
      </c>
      <c r="J506" s="77" t="s">
        <v>870</v>
      </c>
      <c r="K506" s="77" t="s">
        <v>7289</v>
      </c>
      <c r="L506" s="77" t="s">
        <v>7290</v>
      </c>
      <c r="M506" s="102" t="str">
        <f t="shared" si="43"/>
        <v>ALVARADO BERNAL PAULINA GUADALUPE</v>
      </c>
      <c r="N506" s="102" t="s">
        <v>7302</v>
      </c>
      <c r="O506" s="102" t="s">
        <v>7303</v>
      </c>
      <c r="P506" s="77" t="s">
        <v>1954</v>
      </c>
      <c r="Q506" s="79">
        <v>35774</v>
      </c>
      <c r="R506" s="77">
        <f t="shared" si="44"/>
        <v>10</v>
      </c>
      <c r="S506" s="77">
        <f t="shared" si="45"/>
        <v>12</v>
      </c>
      <c r="T506" s="77">
        <f t="shared" si="46"/>
        <v>1997</v>
      </c>
      <c r="U506" s="103">
        <f t="shared" ca="1" si="47"/>
        <v>28.857534246575341</v>
      </c>
      <c r="V506" s="102" t="s">
        <v>308</v>
      </c>
      <c r="W506" s="102" t="s">
        <v>7304</v>
      </c>
      <c r="X506" s="77" t="s">
        <v>5808</v>
      </c>
      <c r="Y506" s="108" t="s">
        <v>248</v>
      </c>
      <c r="Z506" s="12" t="s">
        <v>93</v>
      </c>
      <c r="AA506" s="12" t="s">
        <v>636</v>
      </c>
      <c r="AB506" s="12" t="s">
        <v>1428</v>
      </c>
      <c r="AC506" s="77" t="s">
        <v>313</v>
      </c>
      <c r="AD506" s="77" t="s">
        <v>314</v>
      </c>
      <c r="AE506" s="77">
        <v>90</v>
      </c>
      <c r="AF506" s="102" t="s">
        <v>375</v>
      </c>
      <c r="AG506" s="77" t="s">
        <v>290</v>
      </c>
      <c r="AH506" s="78" t="s">
        <v>473</v>
      </c>
      <c r="AI506" s="12" t="s">
        <v>317</v>
      </c>
      <c r="AJ506" s="12" t="s">
        <v>318</v>
      </c>
      <c r="AK506" s="78" t="s">
        <v>7291</v>
      </c>
      <c r="AL506" s="143" t="s">
        <v>7292</v>
      </c>
      <c r="AM506" s="78" t="s">
        <v>7305</v>
      </c>
      <c r="AN506" s="78" t="s">
        <v>325</v>
      </c>
      <c r="AO506" s="78" t="s">
        <v>398</v>
      </c>
      <c r="AP506" s="78" t="s">
        <v>398</v>
      </c>
      <c r="AQ506" s="78" t="s">
        <v>7306</v>
      </c>
      <c r="AR506" s="77">
        <v>213</v>
      </c>
      <c r="AS506" s="77" t="s">
        <v>581</v>
      </c>
      <c r="AT506" s="78" t="s">
        <v>7307</v>
      </c>
      <c r="AU506" s="78" t="s">
        <v>483</v>
      </c>
      <c r="AV506" s="77">
        <v>78421</v>
      </c>
      <c r="AW506" s="77" t="s">
        <v>329</v>
      </c>
      <c r="AX506" s="78" t="s">
        <v>329</v>
      </c>
      <c r="AY506" s="78" t="s">
        <v>329</v>
      </c>
      <c r="AZ506" s="78"/>
      <c r="BA506" s="78"/>
      <c r="BB506" s="137"/>
      <c r="BC506" s="78"/>
      <c r="BD506" s="78" t="s">
        <v>7305</v>
      </c>
      <c r="BE506" s="78" t="s">
        <v>325</v>
      </c>
      <c r="BF506" s="78" t="s">
        <v>7308</v>
      </c>
      <c r="BG506" s="77" t="s">
        <v>1349</v>
      </c>
      <c r="BH506" s="78" t="s">
        <v>7309</v>
      </c>
      <c r="BI506" s="78" t="s">
        <v>3831</v>
      </c>
      <c r="BJ506" s="78"/>
      <c r="BK506" s="78"/>
      <c r="BL506" s="78"/>
      <c r="BM506" s="78"/>
      <c r="BN506" s="78"/>
      <c r="BO506" s="78"/>
      <c r="BP506" s="78"/>
      <c r="BQ506" s="78"/>
      <c r="BR506" s="78"/>
      <c r="BS506" s="78"/>
      <c r="BT506" s="78"/>
      <c r="BU506" s="78"/>
      <c r="BV506" s="78"/>
      <c r="BW506" s="78"/>
      <c r="BX506" s="78"/>
      <c r="BY506" s="78"/>
      <c r="BZ506" s="78"/>
      <c r="CA506" s="78"/>
      <c r="CB506" s="78"/>
      <c r="CC506" s="78"/>
      <c r="CD506" s="78"/>
    </row>
    <row r="507" spans="1:82" ht="15" x14ac:dyDescent="0.25">
      <c r="A507" s="77">
        <v>1008</v>
      </c>
      <c r="B507" s="77" t="s">
        <v>7312</v>
      </c>
      <c r="C507" s="102" t="s">
        <v>335</v>
      </c>
      <c r="D507" s="77" t="s">
        <v>86</v>
      </c>
      <c r="E507" s="77">
        <v>41988211540</v>
      </c>
      <c r="F507" s="79">
        <v>46069</v>
      </c>
      <c r="G507" s="79">
        <v>46069</v>
      </c>
      <c r="H507" s="101">
        <f t="shared" si="48"/>
        <v>46159</v>
      </c>
      <c r="I507" s="77" t="s">
        <v>291</v>
      </c>
      <c r="J507" s="77" t="s">
        <v>7313</v>
      </c>
      <c r="K507" s="77" t="s">
        <v>4520</v>
      </c>
      <c r="L507" s="77" t="s">
        <v>7314</v>
      </c>
      <c r="M507" s="102" t="str">
        <f t="shared" si="43"/>
        <v>CAÑIZALES AVILA CARLOS JOEL</v>
      </c>
      <c r="N507" s="102" t="s">
        <v>7315</v>
      </c>
      <c r="O507" s="102" t="s">
        <v>7316</v>
      </c>
      <c r="P507" s="77" t="s">
        <v>1953</v>
      </c>
      <c r="Q507" s="79">
        <v>30095</v>
      </c>
      <c r="R507" s="77">
        <f t="shared" si="44"/>
        <v>24</v>
      </c>
      <c r="S507" s="77">
        <f t="shared" si="45"/>
        <v>5</v>
      </c>
      <c r="T507" s="77">
        <f t="shared" si="46"/>
        <v>1982</v>
      </c>
      <c r="U507" s="103">
        <f t="shared" ca="1" si="47"/>
        <v>44.416438356164385</v>
      </c>
      <c r="V507" s="102" t="s">
        <v>342</v>
      </c>
      <c r="W507" s="102" t="s">
        <v>7317</v>
      </c>
      <c r="X507" s="77" t="s">
        <v>5808</v>
      </c>
      <c r="Y507" s="108" t="s">
        <v>216</v>
      </c>
      <c r="Z507" s="12" t="s">
        <v>233</v>
      </c>
      <c r="AA507" s="12" t="s">
        <v>857</v>
      </c>
      <c r="AB507" s="12" t="s">
        <v>2310</v>
      </c>
      <c r="AC507" s="12" t="s">
        <v>313</v>
      </c>
      <c r="AD507" s="12" t="s">
        <v>314</v>
      </c>
      <c r="AE507" s="12">
        <v>90</v>
      </c>
      <c r="AF507" s="13" t="s">
        <v>315</v>
      </c>
      <c r="AG507" s="12" t="s">
        <v>291</v>
      </c>
      <c r="AH507" s="104" t="s">
        <v>2342</v>
      </c>
      <c r="AI507" s="12" t="s">
        <v>317</v>
      </c>
      <c r="AJ507" s="12" t="s">
        <v>318</v>
      </c>
      <c r="AK507" s="78" t="s">
        <v>7318</v>
      </c>
      <c r="AL507" s="143" t="s">
        <v>7319</v>
      </c>
      <c r="AM507" s="78" t="s">
        <v>7320</v>
      </c>
      <c r="AN507" s="78" t="s">
        <v>381</v>
      </c>
      <c r="AO507" s="78" t="s">
        <v>398</v>
      </c>
      <c r="AP507" s="78" t="s">
        <v>398</v>
      </c>
      <c r="AQ507" s="78" t="s">
        <v>7321</v>
      </c>
      <c r="AR507" s="77">
        <v>165</v>
      </c>
      <c r="AS507" s="77">
        <v>21</v>
      </c>
      <c r="AT507" s="78" t="s">
        <v>482</v>
      </c>
      <c r="AU507" s="78" t="s">
        <v>483</v>
      </c>
      <c r="AV507" s="77">
        <v>78433</v>
      </c>
      <c r="AW507" s="77" t="s">
        <v>329</v>
      </c>
      <c r="AX507" s="78" t="s">
        <v>329</v>
      </c>
      <c r="AY507" s="78" t="s">
        <v>329</v>
      </c>
      <c r="AZ507" s="78"/>
      <c r="BA507" s="78"/>
      <c r="BB507" s="137"/>
      <c r="BC507" s="78"/>
      <c r="BD507" s="78" t="s">
        <v>7320</v>
      </c>
      <c r="BE507" s="78" t="s">
        <v>381</v>
      </c>
      <c r="BF507" s="78" t="s">
        <v>7322</v>
      </c>
      <c r="BG507" s="77"/>
      <c r="BH507" s="78"/>
      <c r="BI507" s="78">
        <v>3</v>
      </c>
      <c r="BJ507" s="78"/>
      <c r="BK507" s="12" t="s">
        <v>3946</v>
      </c>
      <c r="BL507" s="78">
        <v>19</v>
      </c>
      <c r="BM507" s="78"/>
      <c r="BN507" s="13" t="s">
        <v>3911</v>
      </c>
      <c r="BO507" s="78">
        <v>17</v>
      </c>
      <c r="BP507" s="78"/>
      <c r="BQ507" s="13" t="s">
        <v>3911</v>
      </c>
      <c r="BR507" s="78">
        <v>8</v>
      </c>
      <c r="BS507" s="78"/>
      <c r="BT507" s="78"/>
      <c r="BU507" s="78"/>
      <c r="BV507" s="78"/>
      <c r="BW507" s="78"/>
      <c r="BX507" s="78"/>
      <c r="BY507" s="78"/>
      <c r="BZ507" s="78"/>
      <c r="CA507" s="78"/>
      <c r="CB507" s="78"/>
      <c r="CC507" s="78"/>
      <c r="CD507" s="78"/>
    </row>
    <row r="508" spans="1:82" s="116" customFormat="1" ht="15" x14ac:dyDescent="0.25">
      <c r="A508" s="125">
        <v>1010</v>
      </c>
      <c r="B508" s="125" t="s">
        <v>7323</v>
      </c>
      <c r="C508" s="128" t="s">
        <v>335</v>
      </c>
      <c r="D508" s="125" t="s">
        <v>105</v>
      </c>
      <c r="E508" s="125">
        <v>46180303714</v>
      </c>
      <c r="F508" s="127">
        <v>46076</v>
      </c>
      <c r="G508" s="127">
        <v>46076</v>
      </c>
      <c r="H508" s="113">
        <f t="shared" si="48"/>
        <v>46166</v>
      </c>
      <c r="I508" s="125" t="s">
        <v>291</v>
      </c>
      <c r="J508" s="125" t="s">
        <v>687</v>
      </c>
      <c r="K508" s="125" t="s">
        <v>5344</v>
      </c>
      <c r="L508" s="125" t="s">
        <v>7324</v>
      </c>
      <c r="M508" s="128" t="str">
        <f t="shared" si="43"/>
        <v>RANGEL ZAMARRIPA DULCE BEATRIZ</v>
      </c>
      <c r="N508" s="128" t="s">
        <v>7325</v>
      </c>
      <c r="O508" s="128" t="s">
        <v>7326</v>
      </c>
      <c r="P508" s="125" t="s">
        <v>1954</v>
      </c>
      <c r="Q508" s="127">
        <v>37975</v>
      </c>
      <c r="R508" s="125">
        <f t="shared" si="44"/>
        <v>20</v>
      </c>
      <c r="S508" s="125">
        <f t="shared" si="45"/>
        <v>12</v>
      </c>
      <c r="T508" s="125">
        <f t="shared" si="46"/>
        <v>2003</v>
      </c>
      <c r="U508" s="142">
        <f t="shared" ca="1" si="47"/>
        <v>22.827397260273973</v>
      </c>
      <c r="V508" s="128" t="s">
        <v>308</v>
      </c>
      <c r="W508" s="128" t="s">
        <v>7327</v>
      </c>
      <c r="X508" s="125" t="s">
        <v>5808</v>
      </c>
      <c r="Y508" s="125" t="s">
        <v>1452</v>
      </c>
      <c r="Z508" s="109" t="s">
        <v>227</v>
      </c>
      <c r="AA508" s="109" t="s">
        <v>857</v>
      </c>
      <c r="AB508" s="109" t="s">
        <v>858</v>
      </c>
      <c r="AC508" s="125" t="s">
        <v>313</v>
      </c>
      <c r="AD508" s="125" t="s">
        <v>314</v>
      </c>
      <c r="AE508" s="125">
        <v>90</v>
      </c>
      <c r="AF508" s="114" t="s">
        <v>859</v>
      </c>
      <c r="AG508" s="109" t="s">
        <v>291</v>
      </c>
      <c r="AH508" s="115" t="s">
        <v>2338</v>
      </c>
      <c r="AI508" s="109" t="s">
        <v>317</v>
      </c>
      <c r="AJ508" s="109" t="s">
        <v>318</v>
      </c>
      <c r="AK508" s="110" t="s">
        <v>7328</v>
      </c>
      <c r="AL508" s="145" t="s">
        <v>7329</v>
      </c>
      <c r="AM508" s="110" t="s">
        <v>7330</v>
      </c>
      <c r="AN508" s="110" t="s">
        <v>325</v>
      </c>
      <c r="AO508" s="110" t="s">
        <v>398</v>
      </c>
      <c r="AP508" s="110" t="s">
        <v>398</v>
      </c>
      <c r="AQ508" s="110" t="s">
        <v>7331</v>
      </c>
      <c r="AR508" s="125">
        <v>130</v>
      </c>
      <c r="AS508" s="125" t="s">
        <v>581</v>
      </c>
      <c r="AT508" s="110" t="s">
        <v>105</v>
      </c>
      <c r="AU508" s="110" t="s">
        <v>105</v>
      </c>
      <c r="AV508" s="125">
        <v>20126</v>
      </c>
      <c r="AW508" s="125" t="s">
        <v>329</v>
      </c>
      <c r="AX508" s="110" t="s">
        <v>329</v>
      </c>
      <c r="AY508" s="110" t="s">
        <v>329</v>
      </c>
      <c r="AZ508" s="110"/>
      <c r="BA508" s="110"/>
      <c r="BB508" s="138"/>
      <c r="BC508" s="110"/>
      <c r="BD508" s="110" t="s">
        <v>7332</v>
      </c>
      <c r="BE508" s="110" t="s">
        <v>325</v>
      </c>
      <c r="BF508" s="110" t="s">
        <v>7333</v>
      </c>
      <c r="BG508" s="125" t="s">
        <v>333</v>
      </c>
      <c r="BH508" s="110"/>
      <c r="BI508" s="110"/>
      <c r="BJ508" s="110"/>
      <c r="BK508" s="110"/>
      <c r="BL508" s="110"/>
      <c r="BM508" s="110"/>
      <c r="BN508" s="110"/>
      <c r="BO508" s="110"/>
      <c r="BP508" s="110"/>
      <c r="BQ508" s="110"/>
      <c r="BR508" s="110"/>
      <c r="BS508" s="110"/>
      <c r="BT508" s="110"/>
      <c r="BU508" s="110"/>
      <c r="BV508" s="110"/>
      <c r="BW508" s="110"/>
      <c r="BX508" s="110"/>
      <c r="BY508" s="110"/>
      <c r="BZ508" s="110"/>
      <c r="CA508" s="110"/>
      <c r="CB508" s="110"/>
      <c r="CC508" s="110"/>
      <c r="CD508" s="110"/>
    </row>
    <row r="509" spans="1:82" ht="15" x14ac:dyDescent="0.25">
      <c r="A509" s="77">
        <v>1009</v>
      </c>
      <c r="B509" s="77" t="s">
        <v>7334</v>
      </c>
      <c r="C509" s="104" t="s">
        <v>564</v>
      </c>
      <c r="D509" s="107" t="s">
        <v>81</v>
      </c>
      <c r="E509" s="77">
        <v>75068729476</v>
      </c>
      <c r="F509" s="79">
        <v>46077</v>
      </c>
      <c r="G509" s="79">
        <v>46077</v>
      </c>
      <c r="H509" s="101">
        <f t="shared" si="48"/>
        <v>46167</v>
      </c>
      <c r="I509" s="77" t="s">
        <v>291</v>
      </c>
      <c r="J509" s="77" t="s">
        <v>7335</v>
      </c>
      <c r="K509" s="77" t="s">
        <v>5329</v>
      </c>
      <c r="L509" s="77" t="s">
        <v>7336</v>
      </c>
      <c r="M509" s="102" t="str">
        <f t="shared" si="43"/>
        <v>SOLANO  BELTRAN ANGELICA</v>
      </c>
      <c r="N509" s="102" t="s">
        <v>7337</v>
      </c>
      <c r="O509" s="102" t="s">
        <v>7338</v>
      </c>
      <c r="P509" s="77" t="s">
        <v>1954</v>
      </c>
      <c r="Q509" s="79">
        <v>32058</v>
      </c>
      <c r="R509" s="77">
        <f t="shared" si="44"/>
        <v>8</v>
      </c>
      <c r="S509" s="77">
        <f t="shared" si="45"/>
        <v>10</v>
      </c>
      <c r="T509" s="77">
        <f t="shared" si="46"/>
        <v>1987</v>
      </c>
      <c r="U509" s="103">
        <f t="shared" ca="1" si="47"/>
        <v>39.038356164383565</v>
      </c>
      <c r="V509" s="102" t="s">
        <v>1450</v>
      </c>
      <c r="W509" s="102" t="s">
        <v>7339</v>
      </c>
      <c r="X509" s="77" t="s">
        <v>5808</v>
      </c>
      <c r="Y509" s="77" t="s">
        <v>234</v>
      </c>
      <c r="Z509" s="12" t="s">
        <v>259</v>
      </c>
      <c r="AA509" s="12" t="s">
        <v>636</v>
      </c>
      <c r="AB509" s="12" t="s">
        <v>637</v>
      </c>
      <c r="AC509" s="77" t="s">
        <v>313</v>
      </c>
      <c r="AD509" s="77" t="s">
        <v>314</v>
      </c>
      <c r="AE509" s="77">
        <v>90</v>
      </c>
      <c r="AF509" s="13" t="s">
        <v>710</v>
      </c>
      <c r="AG509" s="12" t="s">
        <v>290</v>
      </c>
      <c r="AH509" s="104" t="s">
        <v>575</v>
      </c>
      <c r="AI509" s="12" t="s">
        <v>317</v>
      </c>
      <c r="AJ509" s="12" t="s">
        <v>318</v>
      </c>
      <c r="AK509" s="78" t="s">
        <v>7340</v>
      </c>
      <c r="AL509" s="143" t="s">
        <v>7341</v>
      </c>
      <c r="AM509" s="78" t="s">
        <v>7342</v>
      </c>
      <c r="AN509" s="78" t="s">
        <v>3178</v>
      </c>
      <c r="AO509" s="78" t="s">
        <v>327</v>
      </c>
      <c r="AP509" s="78" t="s">
        <v>398</v>
      </c>
      <c r="AQ509" s="78" t="s">
        <v>7343</v>
      </c>
      <c r="AR509" s="77">
        <v>3102</v>
      </c>
      <c r="AS509" s="77" t="s">
        <v>642</v>
      </c>
      <c r="AT509" s="78" t="s">
        <v>133</v>
      </c>
      <c r="AU509" s="78" t="s">
        <v>912</v>
      </c>
      <c r="AV509" s="77">
        <v>64610</v>
      </c>
      <c r="AW509" s="77" t="s">
        <v>329</v>
      </c>
      <c r="AX509" s="78" t="s">
        <v>329</v>
      </c>
      <c r="AY509" s="78" t="s">
        <v>329</v>
      </c>
      <c r="AZ509" s="78"/>
      <c r="BA509" s="78"/>
      <c r="BB509" s="137"/>
      <c r="BC509" s="78"/>
      <c r="BD509" s="78" t="s">
        <v>7342</v>
      </c>
      <c r="BE509" s="78" t="s">
        <v>3178</v>
      </c>
      <c r="BF509" s="78" t="s">
        <v>7344</v>
      </c>
      <c r="BG509" s="77"/>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row>
    <row r="510" spans="1:82" ht="15" x14ac:dyDescent="0.25">
      <c r="A510" s="77">
        <v>1221</v>
      </c>
      <c r="B510" s="77" t="s">
        <v>7376</v>
      </c>
      <c r="C510" s="78" t="s">
        <v>299</v>
      </c>
      <c r="D510" s="99" t="s">
        <v>80</v>
      </c>
      <c r="E510" s="77">
        <v>50169869257</v>
      </c>
      <c r="F510" s="79">
        <v>46083</v>
      </c>
      <c r="G510" s="79">
        <v>46083</v>
      </c>
      <c r="H510" s="101">
        <f t="shared" si="48"/>
        <v>46173</v>
      </c>
      <c r="I510" s="77" t="s">
        <v>291</v>
      </c>
      <c r="J510" s="77" t="s">
        <v>366</v>
      </c>
      <c r="K510" s="77" t="s">
        <v>1079</v>
      </c>
      <c r="L510" s="77" t="s">
        <v>7345</v>
      </c>
      <c r="M510" s="102" t="str">
        <f t="shared" si="43"/>
        <v>HERNANDEZ CASTILLO VICTOR ISRAEL</v>
      </c>
      <c r="N510" s="102" t="s">
        <v>7346</v>
      </c>
      <c r="O510" s="102" t="s">
        <v>7347</v>
      </c>
      <c r="P510" s="77" t="s">
        <v>1953</v>
      </c>
      <c r="Q510" s="79">
        <v>35860</v>
      </c>
      <c r="R510" s="77">
        <f t="shared" si="44"/>
        <v>6</v>
      </c>
      <c r="S510" s="77">
        <f t="shared" si="45"/>
        <v>3</v>
      </c>
      <c r="T510" s="77">
        <f t="shared" si="46"/>
        <v>1998</v>
      </c>
      <c r="U510" s="103">
        <f t="shared" ca="1" si="47"/>
        <v>28.621917808219177</v>
      </c>
      <c r="V510" s="102" t="s">
        <v>1286</v>
      </c>
      <c r="W510" s="102" t="s">
        <v>7348</v>
      </c>
      <c r="X510" s="77" t="s">
        <v>5808</v>
      </c>
      <c r="Y510" s="139" t="s">
        <v>5584</v>
      </c>
      <c r="Z510" s="107" t="s">
        <v>196</v>
      </c>
      <c r="AA510" s="107" t="s">
        <v>2273</v>
      </c>
      <c r="AB510" s="107" t="s">
        <v>2288</v>
      </c>
      <c r="AC510" s="77" t="s">
        <v>313</v>
      </c>
      <c r="AD510" s="77" t="s">
        <v>314</v>
      </c>
      <c r="AE510" s="77">
        <v>90</v>
      </c>
      <c r="AF510" s="13" t="s">
        <v>315</v>
      </c>
      <c r="AG510" s="12" t="s">
        <v>291</v>
      </c>
      <c r="AH510" s="78" t="s">
        <v>316</v>
      </c>
      <c r="AI510" s="77" t="s">
        <v>317</v>
      </c>
      <c r="AJ510" s="77" t="s">
        <v>5229</v>
      </c>
      <c r="AK510" s="78" t="s">
        <v>7349</v>
      </c>
      <c r="AL510" s="143" t="s">
        <v>7350</v>
      </c>
      <c r="AM510" s="78" t="s">
        <v>7351</v>
      </c>
      <c r="AN510" s="78" t="s">
        <v>401</v>
      </c>
      <c r="AO510" s="78" t="s">
        <v>398</v>
      </c>
      <c r="AP510" s="78" t="s">
        <v>398</v>
      </c>
      <c r="AQ510" s="78" t="s">
        <v>7352</v>
      </c>
      <c r="AR510" s="77">
        <v>1</v>
      </c>
      <c r="AS510" s="77" t="s">
        <v>581</v>
      </c>
      <c r="AT510" s="78" t="s">
        <v>7353</v>
      </c>
      <c r="AU510" s="78" t="s">
        <v>483</v>
      </c>
      <c r="AV510" s="77">
        <v>79740</v>
      </c>
      <c r="AW510" s="77" t="s">
        <v>329</v>
      </c>
      <c r="AX510" s="78" t="s">
        <v>329</v>
      </c>
      <c r="AY510" s="78" t="s">
        <v>329</v>
      </c>
      <c r="AZ510" s="78"/>
      <c r="BA510" s="78"/>
      <c r="BB510" s="137"/>
      <c r="BC510" s="78"/>
      <c r="BD510" s="78" t="s">
        <v>7351</v>
      </c>
      <c r="BE510" s="78" t="s">
        <v>3185</v>
      </c>
      <c r="BF510" s="78" t="s">
        <v>7354</v>
      </c>
      <c r="BG510" s="77" t="s">
        <v>6065</v>
      </c>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row>
    <row r="511" spans="1:82" ht="15" x14ac:dyDescent="0.25">
      <c r="A511" s="77">
        <v>1011</v>
      </c>
      <c r="B511" s="77" t="s">
        <v>7375</v>
      </c>
      <c r="C511" s="102" t="s">
        <v>335</v>
      </c>
      <c r="D511" s="77" t="s">
        <v>127</v>
      </c>
      <c r="E511" s="77" t="s">
        <v>7355</v>
      </c>
      <c r="F511" s="79">
        <v>46084</v>
      </c>
      <c r="G511" s="79">
        <v>46084</v>
      </c>
      <c r="H511" s="101">
        <f t="shared" si="48"/>
        <v>46174</v>
      </c>
      <c r="I511" s="77" t="s">
        <v>291</v>
      </c>
      <c r="J511" s="77" t="s">
        <v>1308</v>
      </c>
      <c r="K511" s="77" t="s">
        <v>7356</v>
      </c>
      <c r="L511" s="77" t="s">
        <v>7357</v>
      </c>
      <c r="M511" s="102" t="str">
        <f t="shared" si="43"/>
        <v>CORONADO GAMEZ  YADIRA</v>
      </c>
      <c r="N511" s="102" t="s">
        <v>7358</v>
      </c>
      <c r="O511" s="102" t="s">
        <v>7359</v>
      </c>
      <c r="P511" s="77" t="s">
        <v>1954</v>
      </c>
      <c r="Q511" s="79">
        <v>34783</v>
      </c>
      <c r="R511" s="77">
        <f t="shared" si="44"/>
        <v>25</v>
      </c>
      <c r="S511" s="77">
        <f t="shared" si="45"/>
        <v>3</v>
      </c>
      <c r="T511" s="77">
        <f t="shared" si="46"/>
        <v>1995</v>
      </c>
      <c r="U511" s="103">
        <f t="shared" ca="1" si="47"/>
        <v>31.572602739726026</v>
      </c>
      <c r="V511" s="102" t="s">
        <v>452</v>
      </c>
      <c r="W511" s="102" t="s">
        <v>7360</v>
      </c>
      <c r="X511" s="77" t="s">
        <v>5808</v>
      </c>
      <c r="Y511" s="108" t="s">
        <v>222</v>
      </c>
      <c r="Z511" s="12" t="s">
        <v>231</v>
      </c>
      <c r="AA511" s="12" t="s">
        <v>636</v>
      </c>
      <c r="AB511" s="12" t="s">
        <v>2289</v>
      </c>
      <c r="AC511" s="12" t="s">
        <v>313</v>
      </c>
      <c r="AD511" s="12" t="s">
        <v>314</v>
      </c>
      <c r="AE511" s="12">
        <v>90</v>
      </c>
      <c r="AF511" s="13" t="s">
        <v>413</v>
      </c>
      <c r="AG511" s="12" t="s">
        <v>291</v>
      </c>
      <c r="AH511" s="104" t="s">
        <v>2339</v>
      </c>
      <c r="AI511" s="12" t="s">
        <v>317</v>
      </c>
      <c r="AJ511" s="12" t="s">
        <v>318</v>
      </c>
      <c r="AK511" s="78" t="s">
        <v>7361</v>
      </c>
      <c r="AL511" s="143" t="s">
        <v>7362</v>
      </c>
      <c r="AM511" s="78" t="s">
        <v>7363</v>
      </c>
      <c r="AN511" s="78" t="s">
        <v>325</v>
      </c>
      <c r="AO511" s="78" t="s">
        <v>398</v>
      </c>
      <c r="AP511" s="78" t="s">
        <v>398</v>
      </c>
      <c r="AQ511" s="78" t="s">
        <v>7364</v>
      </c>
      <c r="AR511" s="77">
        <v>114</v>
      </c>
      <c r="AS511" s="77" t="s">
        <v>581</v>
      </c>
      <c r="AT511" s="78" t="s">
        <v>127</v>
      </c>
      <c r="AU511" s="78" t="s">
        <v>483</v>
      </c>
      <c r="AV511" s="77">
        <v>78790</v>
      </c>
      <c r="AW511" s="77" t="s">
        <v>329</v>
      </c>
      <c r="AX511" s="78" t="s">
        <v>329</v>
      </c>
      <c r="AY511" s="78" t="s">
        <v>329</v>
      </c>
      <c r="AZ511" s="78"/>
      <c r="BA511" s="78"/>
      <c r="BB511" s="137"/>
      <c r="BC511" s="78"/>
      <c r="BD511" s="78" t="s">
        <v>7363</v>
      </c>
      <c r="BE511" s="78" t="s">
        <v>325</v>
      </c>
      <c r="BF511" s="78" t="s">
        <v>7365</v>
      </c>
      <c r="BG511" s="77" t="s">
        <v>333</v>
      </c>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row>
    <row r="512" spans="1:82" s="116" customFormat="1" ht="15" x14ac:dyDescent="0.25">
      <c r="A512" s="125">
        <v>701</v>
      </c>
      <c r="B512" s="109" t="s">
        <v>7366</v>
      </c>
      <c r="C512" s="115" t="s">
        <v>564</v>
      </c>
      <c r="D512" s="109" t="s">
        <v>81</v>
      </c>
      <c r="E512" s="125">
        <v>44200687240</v>
      </c>
      <c r="F512" s="127">
        <v>46084</v>
      </c>
      <c r="G512" s="127">
        <v>46084</v>
      </c>
      <c r="H512" s="113">
        <f t="shared" si="48"/>
        <v>46174</v>
      </c>
      <c r="I512" s="125" t="s">
        <v>290</v>
      </c>
      <c r="J512" s="125" t="s">
        <v>4320</v>
      </c>
      <c r="K512" s="125" t="s">
        <v>4446</v>
      </c>
      <c r="L512" s="125" t="s">
        <v>7367</v>
      </c>
      <c r="M512" s="128" t="str">
        <f t="shared" si="43"/>
        <v>OBISPO ANGELA RAYMUNDO</v>
      </c>
      <c r="N512" s="128" t="s">
        <v>7368</v>
      </c>
      <c r="O512" s="128" t="s">
        <v>7369</v>
      </c>
      <c r="P512" s="125" t="s">
        <v>1953</v>
      </c>
      <c r="Q512" s="127">
        <v>38866</v>
      </c>
      <c r="R512" s="125">
        <f t="shared" si="44"/>
        <v>29</v>
      </c>
      <c r="S512" s="125">
        <f t="shared" si="45"/>
        <v>5</v>
      </c>
      <c r="T512" s="125">
        <f t="shared" si="46"/>
        <v>2006</v>
      </c>
      <c r="U512" s="142">
        <f t="shared" ca="1" si="47"/>
        <v>20.386301369863013</v>
      </c>
      <c r="V512" s="128" t="s">
        <v>389</v>
      </c>
      <c r="W512" s="128" t="s">
        <v>7370</v>
      </c>
      <c r="X512" s="125" t="s">
        <v>693</v>
      </c>
      <c r="Y512" s="125" t="s">
        <v>115</v>
      </c>
      <c r="Z512" s="109" t="s">
        <v>84</v>
      </c>
      <c r="AA512" s="109" t="s">
        <v>532</v>
      </c>
      <c r="AB512" s="109" t="s">
        <v>574</v>
      </c>
      <c r="AC512" s="125" t="s">
        <v>313</v>
      </c>
      <c r="AD512" s="125" t="s">
        <v>314</v>
      </c>
      <c r="AE512" s="125">
        <v>90</v>
      </c>
      <c r="AF512" s="114" t="s">
        <v>710</v>
      </c>
      <c r="AG512" s="109" t="s">
        <v>290</v>
      </c>
      <c r="AH512" s="115" t="s">
        <v>575</v>
      </c>
      <c r="AI512" s="109" t="s">
        <v>317</v>
      </c>
      <c r="AJ512" s="109" t="s">
        <v>318</v>
      </c>
      <c r="AK512" s="110" t="s">
        <v>7371</v>
      </c>
      <c r="AL512" s="145" t="s">
        <v>7372</v>
      </c>
      <c r="AM512" s="110" t="s">
        <v>7373</v>
      </c>
      <c r="AN512" s="110" t="s">
        <v>439</v>
      </c>
      <c r="AO512" s="110" t="s">
        <v>398</v>
      </c>
      <c r="AP512" s="110" t="s">
        <v>398</v>
      </c>
      <c r="AQ512" s="110" t="s">
        <v>7374</v>
      </c>
      <c r="AR512" s="125">
        <v>3</v>
      </c>
      <c r="AS512" s="125" t="s">
        <v>581</v>
      </c>
      <c r="AT512" s="110" t="s">
        <v>624</v>
      </c>
      <c r="AU512" s="110" t="s">
        <v>583</v>
      </c>
      <c r="AV512" s="125">
        <v>45685</v>
      </c>
      <c r="AW512" s="125" t="s">
        <v>329</v>
      </c>
      <c r="AX512" s="110" t="s">
        <v>329</v>
      </c>
      <c r="AY512" s="110" t="s">
        <v>329</v>
      </c>
      <c r="AZ512" s="110"/>
      <c r="BA512" s="110"/>
      <c r="BB512" s="138"/>
      <c r="BC512" s="110"/>
      <c r="BD512" s="110" t="s">
        <v>7373</v>
      </c>
      <c r="BE512" s="110" t="s">
        <v>439</v>
      </c>
      <c r="BF512" s="110" t="s">
        <v>2654</v>
      </c>
      <c r="BG512" s="125" t="s">
        <v>333</v>
      </c>
      <c r="BH512" s="110"/>
      <c r="BI512" s="110"/>
      <c r="BJ512" s="110"/>
      <c r="BK512" s="110"/>
      <c r="BL512" s="110"/>
      <c r="BM512" s="110"/>
      <c r="BN512" s="110"/>
      <c r="BO512" s="110"/>
      <c r="BP512" s="110"/>
      <c r="BQ512" s="110"/>
      <c r="BR512" s="110"/>
      <c r="BS512" s="110"/>
      <c r="BT512" s="110"/>
      <c r="BU512" s="110"/>
      <c r="BV512" s="110"/>
      <c r="BW512" s="110"/>
      <c r="BX512" s="110"/>
      <c r="BY512" s="110"/>
      <c r="BZ512" s="110"/>
      <c r="CA512" s="110"/>
      <c r="CB512" s="110"/>
      <c r="CC512" s="110"/>
      <c r="CD512" s="110"/>
    </row>
    <row r="513" spans="1:82" s="116" customFormat="1" ht="15" x14ac:dyDescent="0.25">
      <c r="A513" s="125">
        <v>1012</v>
      </c>
      <c r="B513" s="125" t="s">
        <v>7377</v>
      </c>
      <c r="C513" s="110" t="s">
        <v>363</v>
      </c>
      <c r="D513" s="125" t="s">
        <v>6329</v>
      </c>
      <c r="E513" s="125">
        <v>30906844144</v>
      </c>
      <c r="F513" s="127">
        <v>46094</v>
      </c>
      <c r="G513" s="79">
        <v>46094</v>
      </c>
      <c r="H513" s="101">
        <f t="shared" si="48"/>
        <v>46184</v>
      </c>
      <c r="I513" s="77" t="s">
        <v>291</v>
      </c>
      <c r="J513" s="77" t="s">
        <v>7378</v>
      </c>
      <c r="K513" s="77" t="s">
        <v>7379</v>
      </c>
      <c r="L513" s="77" t="s">
        <v>4892</v>
      </c>
      <c r="M513" s="128" t="str">
        <f t="shared" si="43"/>
        <v>HONORATO ANOTA VICTOR MANUEL</v>
      </c>
      <c r="N513" s="128" t="s">
        <v>7380</v>
      </c>
      <c r="O513" s="128" t="s">
        <v>7381</v>
      </c>
      <c r="P513" s="125" t="s">
        <v>1953</v>
      </c>
      <c r="Q513" s="127">
        <v>24857</v>
      </c>
      <c r="R513" s="125">
        <f t="shared" si="44"/>
        <v>20</v>
      </c>
      <c r="S513" s="125">
        <f t="shared" si="45"/>
        <v>1</v>
      </c>
      <c r="T513" s="125">
        <f t="shared" si="46"/>
        <v>1968</v>
      </c>
      <c r="U513" s="142">
        <f t="shared" ca="1" si="47"/>
        <v>58.767123287671232</v>
      </c>
      <c r="V513" s="128" t="s">
        <v>389</v>
      </c>
      <c r="W513" s="128" t="s">
        <v>7382</v>
      </c>
      <c r="X513" s="125" t="s">
        <v>5808</v>
      </c>
      <c r="Y513" s="125" t="s">
        <v>7383</v>
      </c>
      <c r="Z513" s="125"/>
      <c r="AA513" s="110"/>
      <c r="AB513" s="125" t="s">
        <v>5085</v>
      </c>
      <c r="AC513" s="125" t="s">
        <v>313</v>
      </c>
      <c r="AD513" s="125" t="s">
        <v>314</v>
      </c>
      <c r="AE513" s="125">
        <v>90</v>
      </c>
      <c r="AF513" s="128" t="s">
        <v>375</v>
      </c>
      <c r="AG513" s="125" t="s">
        <v>291</v>
      </c>
      <c r="AH513" s="110" t="s">
        <v>473</v>
      </c>
      <c r="AI513" s="109" t="s">
        <v>317</v>
      </c>
      <c r="AJ513" s="109" t="s">
        <v>318</v>
      </c>
      <c r="AK513" s="110" t="s">
        <v>7384</v>
      </c>
      <c r="AL513" s="145" t="s">
        <v>7385</v>
      </c>
      <c r="AM513" s="110" t="s">
        <v>7386</v>
      </c>
      <c r="AN513" s="110" t="s">
        <v>832</v>
      </c>
      <c r="AO513" s="110" t="s">
        <v>327</v>
      </c>
      <c r="AP513" s="110" t="s">
        <v>398</v>
      </c>
      <c r="AQ513" s="110" t="s">
        <v>7387</v>
      </c>
      <c r="AR513" s="125">
        <v>67</v>
      </c>
      <c r="AS513" s="125" t="s">
        <v>581</v>
      </c>
      <c r="AT513" s="110" t="s">
        <v>7388</v>
      </c>
      <c r="AU513" s="110" t="s">
        <v>1066</v>
      </c>
      <c r="AV513" s="125">
        <v>55710</v>
      </c>
      <c r="AW513" s="125" t="s">
        <v>329</v>
      </c>
      <c r="AX513" s="110" t="s">
        <v>329</v>
      </c>
      <c r="AY513" s="110" t="s">
        <v>329</v>
      </c>
      <c r="AZ513" s="110"/>
      <c r="BA513" s="110"/>
      <c r="BB513" s="138"/>
      <c r="BC513" s="110"/>
      <c r="BD513" s="110" t="s">
        <v>7386</v>
      </c>
      <c r="BE513" s="110" t="s">
        <v>832</v>
      </c>
      <c r="BF513" s="110" t="s">
        <v>7389</v>
      </c>
      <c r="BG513" s="125" t="s">
        <v>333</v>
      </c>
      <c r="BH513" s="110"/>
      <c r="BI513" s="110">
        <v>2</v>
      </c>
      <c r="BJ513" s="110"/>
      <c r="BK513" s="114" t="s">
        <v>3911</v>
      </c>
      <c r="BL513" s="110">
        <v>29</v>
      </c>
      <c r="BM513" s="110"/>
      <c r="BN513" s="114" t="s">
        <v>3911</v>
      </c>
      <c r="BO513" s="110">
        <v>24</v>
      </c>
      <c r="BP513" s="110"/>
      <c r="BQ513" s="110"/>
      <c r="BR513" s="110"/>
      <c r="BS513" s="110"/>
      <c r="BT513" s="110"/>
      <c r="BU513" s="110"/>
      <c r="BV513" s="110"/>
      <c r="BW513" s="110"/>
      <c r="BX513" s="110"/>
      <c r="BY513" s="110"/>
      <c r="BZ513" s="110"/>
      <c r="CA513" s="110"/>
      <c r="CB513" s="110"/>
      <c r="CC513" s="110"/>
      <c r="CD513" s="110"/>
    </row>
    <row r="514" spans="1:82" ht="15" x14ac:dyDescent="0.25">
      <c r="A514" s="77">
        <v>1013</v>
      </c>
      <c r="B514" s="77" t="s">
        <v>7468</v>
      </c>
      <c r="C514" s="78" t="s">
        <v>1390</v>
      </c>
      <c r="D514" s="107" t="s">
        <v>281</v>
      </c>
      <c r="E514" s="77">
        <v>41068311590</v>
      </c>
      <c r="F514" s="79">
        <v>46104</v>
      </c>
      <c r="G514" s="79">
        <v>46104</v>
      </c>
      <c r="H514" s="101">
        <f t="shared" si="48"/>
        <v>46284</v>
      </c>
      <c r="I514" s="77" t="s">
        <v>291</v>
      </c>
      <c r="J514" s="77" t="s">
        <v>590</v>
      </c>
      <c r="K514" s="77" t="s">
        <v>4541</v>
      </c>
      <c r="L514" s="77" t="s">
        <v>7390</v>
      </c>
      <c r="M514" s="102" t="str">
        <f t="shared" si="43"/>
        <v>PEREZ REYNA PIERRE GIOVANNI</v>
      </c>
      <c r="N514" s="102" t="s">
        <v>7391</v>
      </c>
      <c r="O514" s="102" t="s">
        <v>7392</v>
      </c>
      <c r="P514" s="77" t="s">
        <v>1953</v>
      </c>
      <c r="Q514" s="79">
        <v>30613</v>
      </c>
      <c r="R514" s="77">
        <f t="shared" si="44"/>
        <v>24</v>
      </c>
      <c r="S514" s="77">
        <f t="shared" si="45"/>
        <v>10</v>
      </c>
      <c r="T514" s="77">
        <f t="shared" si="46"/>
        <v>1983</v>
      </c>
      <c r="U514" s="103">
        <f t="shared" ca="1" si="47"/>
        <v>42.9972602739726</v>
      </c>
      <c r="V514" s="102" t="s">
        <v>342</v>
      </c>
      <c r="W514" s="102" t="s">
        <v>7393</v>
      </c>
      <c r="X514" s="77" t="s">
        <v>7394</v>
      </c>
      <c r="Y514" s="77" t="s">
        <v>270</v>
      </c>
      <c r="Z514" s="77" t="s">
        <v>263</v>
      </c>
      <c r="AA514" s="78" t="s">
        <v>636</v>
      </c>
      <c r="AB514" s="77" t="s">
        <v>2315</v>
      </c>
      <c r="AC514" s="77" t="s">
        <v>313</v>
      </c>
      <c r="AD514" s="77" t="s">
        <v>314</v>
      </c>
      <c r="AE514" s="77">
        <v>180</v>
      </c>
      <c r="AF514" s="13" t="s">
        <v>375</v>
      </c>
      <c r="AG514" s="12" t="s">
        <v>291</v>
      </c>
      <c r="AH514" s="104" t="s">
        <v>1398</v>
      </c>
      <c r="AI514" s="12" t="s">
        <v>317</v>
      </c>
      <c r="AJ514" s="12" t="s">
        <v>318</v>
      </c>
      <c r="AK514" s="78" t="s">
        <v>7395</v>
      </c>
      <c r="AL514" s="143" t="s">
        <v>7396</v>
      </c>
      <c r="AM514" s="78"/>
      <c r="AN514" s="78"/>
      <c r="AO514" s="78" t="s">
        <v>398</v>
      </c>
      <c r="AP514" s="78" t="s">
        <v>398</v>
      </c>
      <c r="AQ514" s="78" t="s">
        <v>7397</v>
      </c>
      <c r="AR514" s="77">
        <v>103</v>
      </c>
      <c r="AS514" s="77" t="s">
        <v>581</v>
      </c>
      <c r="AT514" s="78" t="s">
        <v>127</v>
      </c>
      <c r="AU514" s="78" t="s">
        <v>483</v>
      </c>
      <c r="AV514" s="77">
        <v>78745</v>
      </c>
      <c r="AW514" s="77" t="s">
        <v>3416</v>
      </c>
      <c r="AX514" s="78" t="s">
        <v>3416</v>
      </c>
      <c r="AY514" s="78" t="s">
        <v>3416</v>
      </c>
      <c r="AZ514" s="78"/>
      <c r="BA514" s="78"/>
      <c r="BB514" s="137"/>
      <c r="BC514" s="78"/>
      <c r="BD514" s="78"/>
      <c r="BE514" s="78"/>
      <c r="BF514" s="78"/>
      <c r="BG514" s="77"/>
      <c r="BH514" s="78"/>
      <c r="BI514" s="78">
        <v>3</v>
      </c>
      <c r="BJ514" s="132">
        <v>41542</v>
      </c>
      <c r="BK514" s="78" t="s">
        <v>3911</v>
      </c>
      <c r="BL514" s="78">
        <v>12</v>
      </c>
      <c r="BM514" s="132">
        <v>39073</v>
      </c>
      <c r="BN514" s="78" t="s">
        <v>571</v>
      </c>
      <c r="BO514" s="78">
        <v>19</v>
      </c>
      <c r="BP514" s="132">
        <v>38356</v>
      </c>
      <c r="BQ514" s="78" t="s">
        <v>571</v>
      </c>
      <c r="BR514" s="78">
        <v>21</v>
      </c>
      <c r="BS514" s="78"/>
      <c r="BT514" s="78"/>
      <c r="BU514" s="78"/>
      <c r="BV514" s="78"/>
      <c r="BW514" s="78"/>
      <c r="BX514" s="78"/>
      <c r="BY514" s="78"/>
      <c r="BZ514" s="78"/>
      <c r="CA514" s="78"/>
      <c r="CB514" s="78"/>
      <c r="CC514" s="78"/>
      <c r="CD514" s="78"/>
    </row>
    <row r="515" spans="1:82" ht="15" x14ac:dyDescent="0.25">
      <c r="A515" s="77">
        <v>1014</v>
      </c>
      <c r="B515" s="77" t="s">
        <v>7398</v>
      </c>
      <c r="C515" s="78" t="s">
        <v>363</v>
      </c>
      <c r="D515" s="77" t="s">
        <v>86</v>
      </c>
      <c r="E515" s="77">
        <v>41018118103</v>
      </c>
      <c r="F515" s="79">
        <v>46104</v>
      </c>
      <c r="G515" s="79">
        <v>46104</v>
      </c>
      <c r="H515" s="101">
        <f t="shared" si="48"/>
        <v>46194</v>
      </c>
      <c r="I515" s="77" t="s">
        <v>290</v>
      </c>
      <c r="J515" s="77" t="s">
        <v>507</v>
      </c>
      <c r="K515" s="77" t="s">
        <v>507</v>
      </c>
      <c r="L515" s="77" t="s">
        <v>7419</v>
      </c>
      <c r="M515" s="102" t="str">
        <f t="shared" si="43"/>
        <v xml:space="preserve">MARTINEZ MARTINEZ PEDRO </v>
      </c>
      <c r="N515" s="102" t="s">
        <v>7399</v>
      </c>
      <c r="O515" s="102" t="s">
        <v>7420</v>
      </c>
      <c r="P515" s="77" t="s">
        <v>1953</v>
      </c>
      <c r="Q515" s="79">
        <v>29941</v>
      </c>
      <c r="R515" s="77">
        <f t="shared" si="44"/>
        <v>21</v>
      </c>
      <c r="S515" s="77">
        <f t="shared" si="45"/>
        <v>12</v>
      </c>
      <c r="T515" s="77">
        <f t="shared" si="46"/>
        <v>1981</v>
      </c>
      <c r="U515" s="103">
        <f t="shared" ca="1" si="47"/>
        <v>44.838356164383562</v>
      </c>
      <c r="V515" s="102" t="s">
        <v>452</v>
      </c>
      <c r="W515" s="102" t="s">
        <v>7400</v>
      </c>
      <c r="X515" s="77" t="s">
        <v>454</v>
      </c>
      <c r="Y515" s="77" t="s">
        <v>391</v>
      </c>
      <c r="Z515" s="77" t="s">
        <v>88</v>
      </c>
      <c r="AA515" s="77" t="s">
        <v>392</v>
      </c>
      <c r="AB515" s="77" t="s">
        <v>5085</v>
      </c>
      <c r="AC515" s="77" t="s">
        <v>313</v>
      </c>
      <c r="AD515" s="77" t="s">
        <v>314</v>
      </c>
      <c r="AE515" s="77">
        <v>90</v>
      </c>
      <c r="AF515" s="102" t="s">
        <v>375</v>
      </c>
      <c r="AG515" s="77" t="s">
        <v>290</v>
      </c>
      <c r="AH515" s="78" t="s">
        <v>473</v>
      </c>
      <c r="AI515" s="12" t="s">
        <v>317</v>
      </c>
      <c r="AJ515" s="12" t="s">
        <v>318</v>
      </c>
      <c r="AK515" s="78" t="s">
        <v>7401</v>
      </c>
      <c r="AL515" s="143" t="s">
        <v>7402</v>
      </c>
      <c r="AM515" s="78" t="s">
        <v>7403</v>
      </c>
      <c r="AN515" s="78" t="s">
        <v>478</v>
      </c>
      <c r="AO515" s="78" t="s">
        <v>327</v>
      </c>
      <c r="AP515" s="78" t="s">
        <v>327</v>
      </c>
      <c r="AQ515" s="78" t="s">
        <v>7404</v>
      </c>
      <c r="AR515" s="77">
        <v>3302</v>
      </c>
      <c r="AS515" s="77" t="s">
        <v>581</v>
      </c>
      <c r="AT515" s="78" t="s">
        <v>133</v>
      </c>
      <c r="AU515" s="78" t="s">
        <v>912</v>
      </c>
      <c r="AV515" s="77">
        <v>64508</v>
      </c>
      <c r="AW515" s="77" t="s">
        <v>329</v>
      </c>
      <c r="AX515" s="78" t="s">
        <v>329</v>
      </c>
      <c r="AY515" s="78" t="s">
        <v>329</v>
      </c>
      <c r="AZ515" s="78"/>
      <c r="BA515" s="78"/>
      <c r="BB515" s="137"/>
      <c r="BC515" s="78"/>
      <c r="BD515" s="78" t="s">
        <v>7403</v>
      </c>
      <c r="BE515" s="78" t="s">
        <v>478</v>
      </c>
      <c r="BF515" s="78" t="s">
        <v>7405</v>
      </c>
      <c r="BG515" s="77"/>
      <c r="BH515" s="78"/>
      <c r="BI515" s="78">
        <v>1</v>
      </c>
      <c r="BJ515" s="78"/>
      <c r="BK515" s="13" t="s">
        <v>3911</v>
      </c>
      <c r="BL515" s="78">
        <v>9</v>
      </c>
      <c r="BM515" s="78"/>
      <c r="BN515" s="78"/>
      <c r="BO515" s="78"/>
      <c r="BP515" s="78"/>
      <c r="BQ515" s="78"/>
      <c r="BR515" s="78"/>
      <c r="BS515" s="78"/>
      <c r="BT515" s="78"/>
      <c r="BU515" s="78"/>
      <c r="BV515" s="78"/>
      <c r="BW515" s="78"/>
      <c r="BX515" s="78"/>
      <c r="BY515" s="78"/>
      <c r="BZ515" s="78"/>
      <c r="CA515" s="78"/>
      <c r="CB515" s="78"/>
      <c r="CC515" s="78"/>
      <c r="CD515" s="78"/>
    </row>
    <row r="516" spans="1:82" s="116" customFormat="1" ht="15" x14ac:dyDescent="0.25">
      <c r="A516" s="125">
        <v>1015</v>
      </c>
      <c r="B516" s="125" t="s">
        <v>7406</v>
      </c>
      <c r="C516" s="110" t="s">
        <v>363</v>
      </c>
      <c r="D516" s="125" t="s">
        <v>6329</v>
      </c>
      <c r="E516" s="125" t="s">
        <v>7407</v>
      </c>
      <c r="F516" s="127">
        <v>46104</v>
      </c>
      <c r="G516" s="127">
        <v>46104</v>
      </c>
      <c r="H516" s="113">
        <f t="shared" si="48"/>
        <v>46194</v>
      </c>
      <c r="I516" s="125" t="s">
        <v>290</v>
      </c>
      <c r="J516" s="125" t="s">
        <v>7408</v>
      </c>
      <c r="K516" s="125" t="s">
        <v>7409</v>
      </c>
      <c r="L516" s="125" t="s">
        <v>1813</v>
      </c>
      <c r="M516" s="128" t="str">
        <f t="shared" si="43"/>
        <v>DE HARO RUVALCABA BENITO</v>
      </c>
      <c r="N516" s="128" t="s">
        <v>7410</v>
      </c>
      <c r="O516" s="128" t="s">
        <v>7411</v>
      </c>
      <c r="P516" s="125" t="s">
        <v>1953</v>
      </c>
      <c r="Q516" s="127">
        <v>26383</v>
      </c>
      <c r="R516" s="125">
        <f t="shared" si="44"/>
        <v>25</v>
      </c>
      <c r="S516" s="125">
        <f t="shared" si="45"/>
        <v>3</v>
      </c>
      <c r="T516" s="125">
        <f t="shared" si="46"/>
        <v>1972</v>
      </c>
      <c r="U516" s="142">
        <f t="shared" ca="1" si="47"/>
        <v>54.586301369863016</v>
      </c>
      <c r="V516" s="128" t="s">
        <v>452</v>
      </c>
      <c r="W516" s="128" t="s">
        <v>7412</v>
      </c>
      <c r="X516" s="125"/>
      <c r="Y516" s="125" t="s">
        <v>94</v>
      </c>
      <c r="Z516" s="125" t="s">
        <v>88</v>
      </c>
      <c r="AA516" s="125" t="s">
        <v>392</v>
      </c>
      <c r="AB516" s="125" t="s">
        <v>5085</v>
      </c>
      <c r="AC516" s="125" t="s">
        <v>313</v>
      </c>
      <c r="AD516" s="125" t="s">
        <v>314</v>
      </c>
      <c r="AE516" s="125">
        <v>90</v>
      </c>
      <c r="AF516" s="128" t="s">
        <v>375</v>
      </c>
      <c r="AG516" s="125" t="s">
        <v>290</v>
      </c>
      <c r="AH516" s="110" t="s">
        <v>473</v>
      </c>
      <c r="AI516" s="109" t="s">
        <v>317</v>
      </c>
      <c r="AJ516" s="109" t="s">
        <v>318</v>
      </c>
      <c r="AK516" s="110" t="s">
        <v>7413</v>
      </c>
      <c r="AL516" s="145" t="s">
        <v>7414</v>
      </c>
      <c r="AM516" s="110" t="s">
        <v>7415</v>
      </c>
      <c r="AN516" s="110" t="s">
        <v>478</v>
      </c>
      <c r="AO516" s="110" t="s">
        <v>398</v>
      </c>
      <c r="AP516" s="110" t="s">
        <v>398</v>
      </c>
      <c r="AQ516" s="110" t="s">
        <v>7416</v>
      </c>
      <c r="AR516" s="125">
        <v>42</v>
      </c>
      <c r="AS516" s="125">
        <v>20</v>
      </c>
      <c r="AT516" s="110" t="s">
        <v>3376</v>
      </c>
      <c r="AU516" s="110" t="s">
        <v>483</v>
      </c>
      <c r="AV516" s="125">
        <v>78200</v>
      </c>
      <c r="AW516" s="125" t="s">
        <v>329</v>
      </c>
      <c r="AX516" s="110" t="s">
        <v>329</v>
      </c>
      <c r="AY516" s="110" t="s">
        <v>329</v>
      </c>
      <c r="AZ516" s="110"/>
      <c r="BA516" s="110"/>
      <c r="BB516" s="138"/>
      <c r="BC516" s="110"/>
      <c r="BD516" s="110" t="s">
        <v>7417</v>
      </c>
      <c r="BE516" s="110" t="s">
        <v>478</v>
      </c>
      <c r="BF516" s="110" t="s">
        <v>7418</v>
      </c>
      <c r="BG516" s="125"/>
      <c r="BH516" s="110"/>
      <c r="BI516" s="110"/>
      <c r="BJ516" s="110"/>
      <c r="BK516" s="110"/>
      <c r="BL516" s="110"/>
      <c r="BM516" s="110"/>
      <c r="BN516" s="110"/>
      <c r="BO516" s="110"/>
      <c r="BP516" s="110"/>
      <c r="BQ516" s="110"/>
      <c r="BR516" s="110"/>
      <c r="BS516" s="110"/>
      <c r="BT516" s="110"/>
      <c r="BU516" s="110"/>
      <c r="BV516" s="110"/>
      <c r="BW516" s="110"/>
      <c r="BX516" s="110"/>
      <c r="BY516" s="110"/>
      <c r="BZ516" s="110"/>
      <c r="CA516" s="110"/>
      <c r="CB516" s="110"/>
      <c r="CC516" s="110"/>
      <c r="CD516" s="110"/>
    </row>
    <row r="517" spans="1:82" s="116" customFormat="1" ht="15" x14ac:dyDescent="0.25">
      <c r="A517" s="125">
        <v>1235</v>
      </c>
      <c r="B517" s="125" t="s">
        <v>7432</v>
      </c>
      <c r="C517" s="110" t="s">
        <v>299</v>
      </c>
      <c r="D517" s="111" t="s">
        <v>80</v>
      </c>
      <c r="E517" s="125">
        <v>41119344095</v>
      </c>
      <c r="F517" s="127">
        <v>46104</v>
      </c>
      <c r="G517" s="127">
        <v>46104</v>
      </c>
      <c r="H517" s="113">
        <f t="shared" si="48"/>
        <v>46194</v>
      </c>
      <c r="I517" s="125" t="s">
        <v>290</v>
      </c>
      <c r="J517" s="125" t="s">
        <v>4488</v>
      </c>
      <c r="K517" s="125" t="s">
        <v>4327</v>
      </c>
      <c r="L517" s="125" t="s">
        <v>7421</v>
      </c>
      <c r="M517" s="128" t="str">
        <f t="shared" si="43"/>
        <v>LARA VARGAS SOTTO ANGEL</v>
      </c>
      <c r="N517" s="128" t="s">
        <v>7422</v>
      </c>
      <c r="O517" s="128" t="s">
        <v>7423</v>
      </c>
      <c r="P517" s="125" t="s">
        <v>1953</v>
      </c>
      <c r="Q517" s="127">
        <v>34153</v>
      </c>
      <c r="R517" s="125">
        <f t="shared" si="44"/>
        <v>3</v>
      </c>
      <c r="S517" s="125">
        <f t="shared" si="45"/>
        <v>7</v>
      </c>
      <c r="T517" s="125">
        <f t="shared" si="46"/>
        <v>1993</v>
      </c>
      <c r="U517" s="142">
        <f t="shared" ca="1" si="47"/>
        <v>33.298630136986304</v>
      </c>
      <c r="V517" s="128" t="s">
        <v>389</v>
      </c>
      <c r="W517" s="128" t="s">
        <v>7424</v>
      </c>
      <c r="X517" s="125" t="s">
        <v>530</v>
      </c>
      <c r="Y517" s="125" t="s">
        <v>7425</v>
      </c>
      <c r="Z517" s="109" t="s">
        <v>73</v>
      </c>
      <c r="AA517" s="109" t="s">
        <v>311</v>
      </c>
      <c r="AB517" s="109" t="s">
        <v>312</v>
      </c>
      <c r="AC517" s="109" t="s">
        <v>313</v>
      </c>
      <c r="AD517" s="109" t="s">
        <v>314</v>
      </c>
      <c r="AE517" s="109">
        <v>90</v>
      </c>
      <c r="AF517" s="114" t="s">
        <v>315</v>
      </c>
      <c r="AG517" s="109" t="s">
        <v>290</v>
      </c>
      <c r="AH517" s="115" t="s">
        <v>316</v>
      </c>
      <c r="AI517" s="109" t="s">
        <v>317</v>
      </c>
      <c r="AJ517" s="109" t="s">
        <v>318</v>
      </c>
      <c r="AK517" s="110" t="s">
        <v>7426</v>
      </c>
      <c r="AL517" s="145" t="s">
        <v>7427</v>
      </c>
      <c r="AM517" s="110" t="s">
        <v>7428</v>
      </c>
      <c r="AN517" s="110" t="s">
        <v>776</v>
      </c>
      <c r="AO517" s="110" t="s">
        <v>327</v>
      </c>
      <c r="AP517" s="110" t="s">
        <v>398</v>
      </c>
      <c r="AQ517" s="110" t="s">
        <v>7429</v>
      </c>
      <c r="AR517" s="125" t="s">
        <v>880</v>
      </c>
      <c r="AS517" s="125" t="s">
        <v>581</v>
      </c>
      <c r="AT517" s="110" t="s">
        <v>483</v>
      </c>
      <c r="AU517" s="110" t="s">
        <v>483</v>
      </c>
      <c r="AV517" s="125">
        <v>78395</v>
      </c>
      <c r="AW517" s="125" t="s">
        <v>329</v>
      </c>
      <c r="AX517" s="110" t="s">
        <v>329</v>
      </c>
      <c r="AY517" s="110" t="s">
        <v>329</v>
      </c>
      <c r="AZ517" s="110"/>
      <c r="BA517" s="110"/>
      <c r="BB517" s="138"/>
      <c r="BC517" s="110"/>
      <c r="BD517" s="110" t="s">
        <v>7430</v>
      </c>
      <c r="BE517" s="110" t="s">
        <v>325</v>
      </c>
      <c r="BF517" s="110" t="s">
        <v>7431</v>
      </c>
      <c r="BG517" s="125" t="s">
        <v>1462</v>
      </c>
      <c r="BH517" s="110" t="s">
        <v>3815</v>
      </c>
      <c r="BI517" s="110"/>
      <c r="BJ517" s="110"/>
      <c r="BK517" s="110"/>
      <c r="BL517" s="110"/>
      <c r="BM517" s="110"/>
      <c r="BN517" s="110"/>
      <c r="BO517" s="110"/>
      <c r="BP517" s="110"/>
      <c r="BQ517" s="110"/>
      <c r="BR517" s="110"/>
      <c r="BS517" s="110"/>
      <c r="BT517" s="110"/>
      <c r="BU517" s="110"/>
      <c r="BV517" s="110"/>
      <c r="BW517" s="110"/>
      <c r="BX517" s="110"/>
      <c r="BY517" s="110"/>
      <c r="BZ517" s="110"/>
      <c r="CA517" s="110"/>
      <c r="CB517" s="110"/>
      <c r="CC517" s="110"/>
      <c r="CD517" s="110"/>
    </row>
    <row r="518" spans="1:82" ht="15" x14ac:dyDescent="0.25">
      <c r="A518" s="77">
        <v>1016</v>
      </c>
      <c r="B518" s="77" t="s">
        <v>7469</v>
      </c>
      <c r="C518" s="102" t="s">
        <v>335</v>
      </c>
      <c r="D518" s="77" t="s">
        <v>116</v>
      </c>
      <c r="E518" s="77" t="s">
        <v>7434</v>
      </c>
      <c r="F518" s="79">
        <v>46105</v>
      </c>
      <c r="G518" s="79">
        <v>46105</v>
      </c>
      <c r="H518" s="101">
        <f t="shared" si="48"/>
        <v>46195</v>
      </c>
      <c r="I518" s="77" t="s">
        <v>290</v>
      </c>
      <c r="J518" s="77" t="s">
        <v>7435</v>
      </c>
      <c r="K518" s="77" t="s">
        <v>4430</v>
      </c>
      <c r="L518" s="77" t="s">
        <v>7436</v>
      </c>
      <c r="M518" s="102" t="str">
        <f t="shared" si="43"/>
        <v>GALARZA MACIAS ADAIR ZURIEL</v>
      </c>
      <c r="N518" s="102" t="s">
        <v>7437</v>
      </c>
      <c r="O518" s="102" t="s">
        <v>7438</v>
      </c>
      <c r="P518" s="77" t="s">
        <v>1953</v>
      </c>
      <c r="Q518" s="79">
        <v>39158</v>
      </c>
      <c r="R518" s="77">
        <f t="shared" si="44"/>
        <v>17</v>
      </c>
      <c r="S518" s="77">
        <f t="shared" si="45"/>
        <v>3</v>
      </c>
      <c r="T518" s="77">
        <f t="shared" si="46"/>
        <v>2007</v>
      </c>
      <c r="U518" s="103">
        <f t="shared" ca="1" si="47"/>
        <v>19.586301369863012</v>
      </c>
      <c r="V518" s="102" t="s">
        <v>389</v>
      </c>
      <c r="W518" s="102" t="s">
        <v>7439</v>
      </c>
      <c r="X518" s="77" t="s">
        <v>454</v>
      </c>
      <c r="Y518" s="77" t="s">
        <v>7440</v>
      </c>
      <c r="Z518" s="77" t="s">
        <v>149</v>
      </c>
      <c r="AA518" s="77" t="s">
        <v>347</v>
      </c>
      <c r="AB518" s="77" t="s">
        <v>2293</v>
      </c>
      <c r="AC518" s="77" t="s">
        <v>313</v>
      </c>
      <c r="AD518" s="77" t="s">
        <v>314</v>
      </c>
      <c r="AE518" s="77">
        <v>90</v>
      </c>
      <c r="AF518" s="13" t="s">
        <v>350</v>
      </c>
      <c r="AG518" s="77" t="s">
        <v>290</v>
      </c>
      <c r="AH518" s="102" t="s">
        <v>351</v>
      </c>
      <c r="AI518" s="77" t="s">
        <v>317</v>
      </c>
      <c r="AJ518" s="77" t="s">
        <v>318</v>
      </c>
      <c r="AK518" s="78" t="s">
        <v>7441</v>
      </c>
      <c r="AL518" s="143" t="s">
        <v>7442</v>
      </c>
      <c r="AM518" s="78" t="s">
        <v>7443</v>
      </c>
      <c r="AN518" s="78" t="s">
        <v>622</v>
      </c>
      <c r="AO518" s="78" t="s">
        <v>398</v>
      </c>
      <c r="AP518" s="78" t="s">
        <v>398</v>
      </c>
      <c r="AQ518" s="78" t="s">
        <v>7444</v>
      </c>
      <c r="AR518" s="77">
        <v>378</v>
      </c>
      <c r="AS518" s="77" t="s">
        <v>581</v>
      </c>
      <c r="AT518" s="78" t="s">
        <v>5660</v>
      </c>
      <c r="AU518" s="78" t="s">
        <v>583</v>
      </c>
      <c r="AV518" s="77">
        <v>45314</v>
      </c>
      <c r="AW518" s="77" t="s">
        <v>329</v>
      </c>
      <c r="AX518" s="78" t="s">
        <v>329</v>
      </c>
      <c r="AY518" s="78" t="s">
        <v>329</v>
      </c>
      <c r="AZ518" s="78"/>
      <c r="BA518" s="78"/>
      <c r="BB518" s="137"/>
      <c r="BC518" s="78"/>
      <c r="BD518" s="78" t="s">
        <v>7445</v>
      </c>
      <c r="BE518" s="78" t="s">
        <v>622</v>
      </c>
      <c r="BF518" s="78" t="s">
        <v>7446</v>
      </c>
      <c r="BG518" s="77"/>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row>
    <row r="519" spans="1:82" s="116" customFormat="1" ht="15" x14ac:dyDescent="0.25">
      <c r="A519" s="125" t="s">
        <v>7470</v>
      </c>
      <c r="B519" s="125" t="s">
        <v>7470</v>
      </c>
      <c r="C519" s="128" t="s">
        <v>335</v>
      </c>
      <c r="D519" s="125" t="s">
        <v>161</v>
      </c>
      <c r="E519" s="125" t="s">
        <v>7447</v>
      </c>
      <c r="F519" s="127">
        <v>46106</v>
      </c>
      <c r="G519" s="127">
        <v>46136</v>
      </c>
      <c r="H519" s="113">
        <f t="shared" si="48"/>
        <v>46226</v>
      </c>
      <c r="I519" s="125" t="s">
        <v>290</v>
      </c>
      <c r="J519" s="125" t="s">
        <v>1004</v>
      </c>
      <c r="K519" s="125" t="s">
        <v>5496</v>
      </c>
      <c r="L519" s="125" t="s">
        <v>7448</v>
      </c>
      <c r="M519" s="128" t="str">
        <f t="shared" si="43"/>
        <v>JIMENEZ PADILLA OSCAR IVAN</v>
      </c>
      <c r="N519" s="125" t="s">
        <v>7449</v>
      </c>
      <c r="O519" s="125" t="s">
        <v>7450</v>
      </c>
      <c r="P519" s="125" t="s">
        <v>1953</v>
      </c>
      <c r="Q519" s="127">
        <v>36147</v>
      </c>
      <c r="R519" s="125">
        <f t="shared" si="44"/>
        <v>18</v>
      </c>
      <c r="S519" s="125">
        <f t="shared" si="45"/>
        <v>12</v>
      </c>
      <c r="T519" s="125">
        <f t="shared" si="46"/>
        <v>1998</v>
      </c>
      <c r="U519" s="142">
        <f t="shared" ca="1" si="47"/>
        <v>27.835616438356166</v>
      </c>
      <c r="V519" s="128" t="s">
        <v>389</v>
      </c>
      <c r="W519" s="128" t="s">
        <v>7451</v>
      </c>
      <c r="X519" s="125" t="s">
        <v>454</v>
      </c>
      <c r="Y519" s="125" t="s">
        <v>5083</v>
      </c>
      <c r="Z519" s="109" t="s">
        <v>164</v>
      </c>
      <c r="AA519" s="109" t="s">
        <v>347</v>
      </c>
      <c r="AB519" s="109" t="s">
        <v>2297</v>
      </c>
      <c r="AC519" s="125" t="s">
        <v>313</v>
      </c>
      <c r="AD519" s="125" t="s">
        <v>314</v>
      </c>
      <c r="AE519" s="125">
        <v>90</v>
      </c>
      <c r="AF519" s="114" t="s">
        <v>2330</v>
      </c>
      <c r="AG519" s="109" t="s">
        <v>290</v>
      </c>
      <c r="AH519" s="128" t="s">
        <v>2343</v>
      </c>
      <c r="AI519" s="109" t="s">
        <v>317</v>
      </c>
      <c r="AJ519" s="109" t="s">
        <v>318</v>
      </c>
      <c r="AK519" s="128" t="s">
        <v>7452</v>
      </c>
      <c r="AL519" s="149" t="s">
        <v>7453</v>
      </c>
      <c r="AM519" s="128" t="s">
        <v>7454</v>
      </c>
      <c r="AN519" s="128" t="s">
        <v>325</v>
      </c>
      <c r="AO519" s="128" t="s">
        <v>398</v>
      </c>
      <c r="AP519" s="128" t="s">
        <v>398</v>
      </c>
      <c r="AQ519" s="128" t="s">
        <v>7455</v>
      </c>
      <c r="AR519" s="125">
        <v>0</v>
      </c>
      <c r="AS519" s="125" t="s">
        <v>581</v>
      </c>
      <c r="AT519" s="128" t="s">
        <v>3376</v>
      </c>
      <c r="AU519" s="128" t="s">
        <v>483</v>
      </c>
      <c r="AV519" s="125">
        <v>79250</v>
      </c>
      <c r="AW519" s="125" t="s">
        <v>329</v>
      </c>
      <c r="AX519" s="110" t="s">
        <v>329</v>
      </c>
      <c r="AY519" s="110" t="s">
        <v>329</v>
      </c>
      <c r="AZ519" s="125"/>
      <c r="BA519" s="125"/>
      <c r="BB519" s="150"/>
      <c r="BC519" s="125"/>
      <c r="BD519" s="128" t="s">
        <v>7454</v>
      </c>
      <c r="BE519" s="128" t="s">
        <v>325</v>
      </c>
      <c r="BF519" s="128" t="s">
        <v>7456</v>
      </c>
      <c r="BG519" s="125"/>
      <c r="BH519" s="125"/>
      <c r="BI519" s="125"/>
      <c r="BJ519" s="125"/>
      <c r="BK519" s="125"/>
      <c r="BL519" s="125"/>
      <c r="BM519" s="125"/>
      <c r="BN519" s="125"/>
      <c r="BO519" s="125"/>
      <c r="BP519" s="125"/>
      <c r="BQ519" s="125"/>
      <c r="BR519" s="125"/>
      <c r="BS519" s="125"/>
      <c r="BT519" s="125"/>
      <c r="BU519" s="125"/>
      <c r="BV519" s="125"/>
      <c r="BW519" s="125"/>
      <c r="BX519" s="125"/>
      <c r="BY519" s="125"/>
      <c r="BZ519" s="125"/>
      <c r="CA519" s="125"/>
      <c r="CB519" s="125"/>
      <c r="CC519" s="125"/>
      <c r="CD519" s="110"/>
    </row>
    <row r="520" spans="1:82" s="116" customFormat="1" ht="15" x14ac:dyDescent="0.25">
      <c r="A520" s="125">
        <v>1018</v>
      </c>
      <c r="B520" s="125" t="s">
        <v>7471</v>
      </c>
      <c r="C520" s="128" t="s">
        <v>335</v>
      </c>
      <c r="D520" s="125" t="s">
        <v>133</v>
      </c>
      <c r="E520" s="125" t="s">
        <v>7457</v>
      </c>
      <c r="F520" s="125" t="s">
        <v>7458</v>
      </c>
      <c r="G520" s="127">
        <v>46106</v>
      </c>
      <c r="H520" s="113">
        <f t="shared" si="48"/>
        <v>46196</v>
      </c>
      <c r="I520" s="125" t="s">
        <v>290</v>
      </c>
      <c r="J520" s="125" t="s">
        <v>4438</v>
      </c>
      <c r="K520" s="125" t="s">
        <v>5849</v>
      </c>
      <c r="L520" s="125" t="s">
        <v>7459</v>
      </c>
      <c r="M520" s="128" t="str">
        <f t="shared" si="43"/>
        <v>MIRANDA PEÑA ESAU EMMANUEL</v>
      </c>
      <c r="N520" s="128" t="s">
        <v>7460</v>
      </c>
      <c r="O520" s="128" t="s">
        <v>7461</v>
      </c>
      <c r="P520" s="125" t="s">
        <v>1953</v>
      </c>
      <c r="Q520" s="127">
        <v>38091</v>
      </c>
      <c r="R520" s="125">
        <f t="shared" si="44"/>
        <v>14</v>
      </c>
      <c r="S520" s="125">
        <f t="shared" si="45"/>
        <v>4</v>
      </c>
      <c r="T520" s="125">
        <f t="shared" si="46"/>
        <v>2004</v>
      </c>
      <c r="U520" s="142">
        <f t="shared" ca="1" si="47"/>
        <v>22.509589041095889</v>
      </c>
      <c r="V520" s="128" t="s">
        <v>389</v>
      </c>
      <c r="W520" s="128" t="s">
        <v>7462</v>
      </c>
      <c r="X520" s="125" t="s">
        <v>310</v>
      </c>
      <c r="Y520" s="109" t="s">
        <v>139</v>
      </c>
      <c r="Z520" s="109" t="s">
        <v>136</v>
      </c>
      <c r="AA520" s="109" t="s">
        <v>347</v>
      </c>
      <c r="AB520" s="109" t="s">
        <v>670</v>
      </c>
      <c r="AC520" s="125" t="s">
        <v>313</v>
      </c>
      <c r="AD520" s="125" t="s">
        <v>314</v>
      </c>
      <c r="AE520" s="125">
        <v>90</v>
      </c>
      <c r="AF520" s="114" t="s">
        <v>671</v>
      </c>
      <c r="AG520" s="109" t="s">
        <v>290</v>
      </c>
      <c r="AH520" s="115" t="s">
        <v>672</v>
      </c>
      <c r="AI520" s="109" t="s">
        <v>317</v>
      </c>
      <c r="AJ520" s="109" t="s">
        <v>318</v>
      </c>
      <c r="AK520" s="128">
        <v>8123351354</v>
      </c>
      <c r="AL520" s="145" t="s">
        <v>7463</v>
      </c>
      <c r="AM520" s="110" t="s">
        <v>7467</v>
      </c>
      <c r="AN520" s="110" t="s">
        <v>325</v>
      </c>
      <c r="AO520" s="110" t="s">
        <v>398</v>
      </c>
      <c r="AP520" s="110" t="s">
        <v>398</v>
      </c>
      <c r="AQ520" s="110" t="s">
        <v>7465</v>
      </c>
      <c r="AR520" s="125">
        <v>109</v>
      </c>
      <c r="AS520" s="125" t="s">
        <v>642</v>
      </c>
      <c r="AT520" s="110" t="s">
        <v>3389</v>
      </c>
      <c r="AU520" s="110" t="s">
        <v>912</v>
      </c>
      <c r="AV520" s="125">
        <v>65515</v>
      </c>
      <c r="AW520" s="125" t="s">
        <v>329</v>
      </c>
      <c r="AX520" s="110" t="s">
        <v>329</v>
      </c>
      <c r="AY520" s="110" t="s">
        <v>329</v>
      </c>
      <c r="AZ520" s="110"/>
      <c r="BA520" s="110"/>
      <c r="BB520" s="138"/>
      <c r="BC520" s="110"/>
      <c r="BD520" s="110" t="s">
        <v>7464</v>
      </c>
      <c r="BE520" s="110" t="s">
        <v>1211</v>
      </c>
      <c r="BF520" s="110" t="s">
        <v>7466</v>
      </c>
      <c r="BG520" s="125"/>
      <c r="BH520" s="110"/>
      <c r="BI520" s="110"/>
      <c r="BJ520" s="110"/>
      <c r="BK520" s="110"/>
      <c r="BL520" s="110"/>
      <c r="BM520" s="110"/>
      <c r="BN520" s="110"/>
      <c r="BO520" s="110"/>
      <c r="BP520" s="110"/>
      <c r="BQ520" s="110"/>
      <c r="BR520" s="110"/>
      <c r="BS520" s="110"/>
      <c r="BT520" s="110"/>
      <c r="BU520" s="110"/>
      <c r="BV520" s="110"/>
      <c r="BW520" s="110"/>
      <c r="BX520" s="110"/>
      <c r="BY520" s="110"/>
      <c r="BZ520" s="110"/>
      <c r="CA520" s="110"/>
      <c r="CB520" s="110"/>
      <c r="CC520" s="110"/>
      <c r="CD520" s="110"/>
    </row>
    <row r="521" spans="1:82" ht="15" x14ac:dyDescent="0.25">
      <c r="A521" s="77">
        <v>1019</v>
      </c>
      <c r="B521" s="77" t="s">
        <v>7472</v>
      </c>
      <c r="C521" s="102" t="s">
        <v>335</v>
      </c>
      <c r="D521" s="77" t="s">
        <v>116</v>
      </c>
      <c r="E521" s="77" t="s">
        <v>7473</v>
      </c>
      <c r="F521" s="79">
        <v>46107</v>
      </c>
      <c r="G521" s="79">
        <v>46107</v>
      </c>
      <c r="H521" s="101">
        <f t="shared" si="48"/>
        <v>46197</v>
      </c>
      <c r="I521" s="77" t="s">
        <v>290</v>
      </c>
      <c r="J521" s="77" t="s">
        <v>4356</v>
      </c>
      <c r="K521" s="77" t="s">
        <v>4425</v>
      </c>
      <c r="L521" s="77" t="s">
        <v>7474</v>
      </c>
      <c r="M521" s="102" t="str">
        <f t="shared" si="43"/>
        <v>MEDRANO BEIZA ELVER</v>
      </c>
      <c r="N521" s="102" t="s">
        <v>7475</v>
      </c>
      <c r="O521" s="102" t="s">
        <v>7476</v>
      </c>
      <c r="P521" s="77" t="s">
        <v>1953</v>
      </c>
      <c r="Q521" s="79">
        <v>32574</v>
      </c>
      <c r="R521" s="77">
        <f t="shared" si="44"/>
        <v>7</v>
      </c>
      <c r="S521" s="77">
        <f t="shared" si="45"/>
        <v>3</v>
      </c>
      <c r="T521" s="77">
        <f t="shared" si="46"/>
        <v>1989</v>
      </c>
      <c r="U521" s="103">
        <f t="shared" ca="1" si="47"/>
        <v>37.624657534246573</v>
      </c>
      <c r="V521" s="102" t="s">
        <v>342</v>
      </c>
      <c r="W521" s="102" t="s">
        <v>7477</v>
      </c>
      <c r="X521" s="77" t="s">
        <v>454</v>
      </c>
      <c r="Y521" s="107" t="s">
        <v>122</v>
      </c>
      <c r="Z521" s="12" t="s">
        <v>120</v>
      </c>
      <c r="AA521" s="12" t="s">
        <v>2271</v>
      </c>
      <c r="AB521" s="12" t="s">
        <v>348</v>
      </c>
      <c r="AC521" s="12" t="s">
        <v>313</v>
      </c>
      <c r="AD521" s="77" t="s">
        <v>314</v>
      </c>
      <c r="AE521" s="12">
        <v>90</v>
      </c>
      <c r="AF521" s="13" t="s">
        <v>350</v>
      </c>
      <c r="AG521" s="12" t="s">
        <v>290</v>
      </c>
      <c r="AH521" s="104" t="s">
        <v>351</v>
      </c>
      <c r="AI521" s="12" t="s">
        <v>317</v>
      </c>
      <c r="AJ521" s="12" t="s">
        <v>318</v>
      </c>
      <c r="AK521" s="78" t="s">
        <v>7478</v>
      </c>
      <c r="AL521" s="143" t="s">
        <v>7494</v>
      </c>
      <c r="AM521" s="78" t="s">
        <v>7479</v>
      </c>
      <c r="AN521" s="78" t="s">
        <v>381</v>
      </c>
      <c r="AO521" s="78" t="s">
        <v>398</v>
      </c>
      <c r="AP521" s="78" t="s">
        <v>398</v>
      </c>
      <c r="AQ521" s="78" t="s">
        <v>7480</v>
      </c>
      <c r="AR521" s="77">
        <v>25</v>
      </c>
      <c r="AS521" s="77" t="s">
        <v>581</v>
      </c>
      <c r="AT521" s="78" t="s">
        <v>1132</v>
      </c>
      <c r="AU521" s="78" t="s">
        <v>583</v>
      </c>
      <c r="AV521" s="77">
        <v>45221</v>
      </c>
      <c r="AW521" s="77" t="s">
        <v>329</v>
      </c>
      <c r="AX521" s="78" t="s">
        <v>329</v>
      </c>
      <c r="AY521" s="78" t="s">
        <v>329</v>
      </c>
      <c r="AZ521" s="78"/>
      <c r="BA521" s="78"/>
      <c r="BB521" s="137"/>
      <c r="BC521" s="78"/>
      <c r="BD521" s="78" t="s">
        <v>7479</v>
      </c>
      <c r="BE521" s="78" t="s">
        <v>381</v>
      </c>
      <c r="BF521" s="78" t="s">
        <v>7481</v>
      </c>
      <c r="BG521" s="77" t="s">
        <v>333</v>
      </c>
      <c r="BH521" s="78"/>
      <c r="BI521" s="78"/>
      <c r="BJ521" s="78"/>
      <c r="BK521" s="78"/>
      <c r="BL521" s="78"/>
      <c r="BM521" s="78"/>
      <c r="BN521" s="78" t="s">
        <v>571</v>
      </c>
      <c r="BO521" s="78">
        <v>14</v>
      </c>
      <c r="BP521" s="78"/>
      <c r="BQ521" s="78" t="s">
        <v>571</v>
      </c>
      <c r="BR521" s="78">
        <v>13</v>
      </c>
      <c r="BS521" s="78"/>
      <c r="BT521" s="78"/>
      <c r="BU521" s="78"/>
      <c r="BV521" s="78"/>
      <c r="BW521" s="78"/>
      <c r="BX521" s="78"/>
      <c r="BY521" s="78"/>
      <c r="BZ521" s="78"/>
      <c r="CA521" s="78"/>
      <c r="CB521" s="78"/>
      <c r="CC521" s="78"/>
      <c r="CD521" s="78"/>
    </row>
    <row r="522" spans="1:82" s="116" customFormat="1" ht="15" x14ac:dyDescent="0.25">
      <c r="A522" s="125">
        <v>460</v>
      </c>
      <c r="B522" s="125" t="s">
        <v>7495</v>
      </c>
      <c r="C522" s="110" t="s">
        <v>363</v>
      </c>
      <c r="D522" s="125" t="s">
        <v>6329</v>
      </c>
      <c r="E522" s="125">
        <v>41967726823</v>
      </c>
      <c r="F522" s="127">
        <v>46107</v>
      </c>
      <c r="G522" s="127">
        <v>46107</v>
      </c>
      <c r="H522" s="113">
        <f t="shared" si="48"/>
        <v>46197</v>
      </c>
      <c r="I522" s="125" t="s">
        <v>290</v>
      </c>
      <c r="J522" s="125" t="s">
        <v>7482</v>
      </c>
      <c r="K522" s="125" t="s">
        <v>7483</v>
      </c>
      <c r="L522" s="125" t="s">
        <v>7484</v>
      </c>
      <c r="M522" s="128" t="str">
        <f>_xlfn.CONCAT(J522," ",K522," ",L522)</f>
        <v>CORONEL ESCOBAR ISMAEL MOISES</v>
      </c>
      <c r="N522" s="128" t="s">
        <v>7485</v>
      </c>
      <c r="O522" s="128" t="s">
        <v>7486</v>
      </c>
      <c r="P522" s="125" t="s">
        <v>1953</v>
      </c>
      <c r="Q522" s="127">
        <v>28309</v>
      </c>
      <c r="R522" s="125">
        <f>DAY(Q522)</f>
        <v>3</v>
      </c>
      <c r="S522" s="125">
        <f>MONTH(Q522)</f>
        <v>7</v>
      </c>
      <c r="T522" s="125">
        <f>YEAR(Q522)</f>
        <v>1977</v>
      </c>
      <c r="U522" s="142">
        <f ca="1">(+TODAY()-Q522)/365</f>
        <v>49.30958904109589</v>
      </c>
      <c r="V522" s="128" t="s">
        <v>389</v>
      </c>
      <c r="W522" s="128" t="s">
        <v>7487</v>
      </c>
      <c r="X522" s="125" t="s">
        <v>454</v>
      </c>
      <c r="Y522" s="125" t="s">
        <v>91</v>
      </c>
      <c r="Z522" s="125" t="s">
        <v>88</v>
      </c>
      <c r="AA522" s="125" t="s">
        <v>392</v>
      </c>
      <c r="AB522" s="125" t="s">
        <v>374</v>
      </c>
      <c r="AC522" s="109" t="s">
        <v>313</v>
      </c>
      <c r="AD522" s="125" t="s">
        <v>314</v>
      </c>
      <c r="AE522" s="109">
        <v>90</v>
      </c>
      <c r="AF522" s="128" t="s">
        <v>375</v>
      </c>
      <c r="AG522" s="109" t="s">
        <v>290</v>
      </c>
      <c r="AH522" s="110" t="s">
        <v>473</v>
      </c>
      <c r="AI522" s="109" t="s">
        <v>317</v>
      </c>
      <c r="AJ522" s="109" t="s">
        <v>318</v>
      </c>
      <c r="AK522" s="128">
        <v>4442359740</v>
      </c>
      <c r="AL522" s="145" t="s">
        <v>7488</v>
      </c>
      <c r="AM522" s="110" t="s">
        <v>7489</v>
      </c>
      <c r="AN522" s="110" t="s">
        <v>325</v>
      </c>
      <c r="AO522" s="110" t="s">
        <v>327</v>
      </c>
      <c r="AP522" s="110" t="s">
        <v>398</v>
      </c>
      <c r="AQ522" s="110" t="s">
        <v>7490</v>
      </c>
      <c r="AR522" s="125">
        <v>52</v>
      </c>
      <c r="AS522" s="125" t="s">
        <v>581</v>
      </c>
      <c r="AT522" s="110" t="s">
        <v>7491</v>
      </c>
      <c r="AU522" s="110" t="s">
        <v>583</v>
      </c>
      <c r="AV522" s="125">
        <v>46540</v>
      </c>
      <c r="AW522" s="125" t="s">
        <v>329</v>
      </c>
      <c r="AX522" s="110" t="s">
        <v>329</v>
      </c>
      <c r="AY522" s="110" t="s">
        <v>329</v>
      </c>
      <c r="AZ522" s="110"/>
      <c r="BA522" s="110"/>
      <c r="BB522" s="138"/>
      <c r="BC522" s="110"/>
      <c r="BD522" s="110" t="s">
        <v>7492</v>
      </c>
      <c r="BE522" s="110" t="s">
        <v>3185</v>
      </c>
      <c r="BF522" s="110" t="s">
        <v>7493</v>
      </c>
      <c r="BG522" s="125"/>
      <c r="BH522" s="110"/>
      <c r="BI522" s="110"/>
      <c r="BJ522" s="110"/>
      <c r="BK522" s="110"/>
      <c r="BL522" s="110"/>
      <c r="BM522" s="110"/>
      <c r="BN522" s="110"/>
      <c r="BO522" s="110"/>
      <c r="BP522" s="110"/>
      <c r="BQ522" s="110"/>
      <c r="BR522" s="110"/>
      <c r="BS522" s="110"/>
      <c r="BT522" s="110"/>
      <c r="BU522" s="110"/>
      <c r="BV522" s="110"/>
      <c r="BW522" s="110"/>
      <c r="BX522" s="110"/>
      <c r="BY522" s="110"/>
      <c r="BZ522" s="110"/>
      <c r="CA522" s="110"/>
      <c r="CB522" s="110"/>
      <c r="CC522" s="110"/>
      <c r="CD522" s="110"/>
    </row>
    <row r="523" spans="1:82" ht="15" x14ac:dyDescent="0.25">
      <c r="A523" s="77">
        <v>1244</v>
      </c>
      <c r="B523" s="77" t="s">
        <v>7496</v>
      </c>
      <c r="C523" s="78" t="s">
        <v>299</v>
      </c>
      <c r="D523" s="99" t="s">
        <v>80</v>
      </c>
      <c r="E523" s="77">
        <v>46169824284</v>
      </c>
      <c r="F523" s="79">
        <v>46118</v>
      </c>
      <c r="G523" s="79">
        <v>46118</v>
      </c>
      <c r="H523" s="101">
        <f t="shared" si="48"/>
        <v>46208</v>
      </c>
      <c r="I523" s="77" t="s">
        <v>291</v>
      </c>
      <c r="J523" s="77" t="s">
        <v>7497</v>
      </c>
      <c r="K523" s="77" t="s">
        <v>1079</v>
      </c>
      <c r="L523" s="77" t="s">
        <v>7498</v>
      </c>
      <c r="M523" s="102" t="str">
        <f>_xlfn.CONCAT(J523," ",K523," ",L523)</f>
        <v>MATA CASTILLO JESUS ADRIANA</v>
      </c>
      <c r="N523" s="102" t="s">
        <v>7499</v>
      </c>
      <c r="O523" s="102" t="s">
        <v>7500</v>
      </c>
      <c r="P523" s="77" t="s">
        <v>1954</v>
      </c>
      <c r="Q523" s="79">
        <v>35911</v>
      </c>
      <c r="R523" s="77">
        <f>DAY(Q523)</f>
        <v>26</v>
      </c>
      <c r="S523" s="77">
        <f>MONTH(Q523)</f>
        <v>4</v>
      </c>
      <c r="T523" s="77">
        <f>YEAR(Q523)</f>
        <v>1998</v>
      </c>
      <c r="U523" s="103">
        <f ca="1">(+TODAY()-Q523)/365</f>
        <v>28.482191780821918</v>
      </c>
      <c r="V523" s="102" t="s">
        <v>1450</v>
      </c>
      <c r="W523" s="102" t="s">
        <v>7501</v>
      </c>
      <c r="X523" s="77" t="s">
        <v>693</v>
      </c>
      <c r="Y523" s="77" t="s">
        <v>5124</v>
      </c>
      <c r="Z523" s="12" t="s">
        <v>170</v>
      </c>
      <c r="AA523" s="12" t="s">
        <v>636</v>
      </c>
      <c r="AB523" s="12" t="s">
        <v>2279</v>
      </c>
      <c r="AC523" s="12" t="s">
        <v>313</v>
      </c>
      <c r="AD523" s="12" t="s">
        <v>314</v>
      </c>
      <c r="AE523" s="12">
        <v>90</v>
      </c>
      <c r="AF523" s="13" t="s">
        <v>315</v>
      </c>
      <c r="AG523" s="12" t="s">
        <v>290</v>
      </c>
      <c r="AH523" s="104" t="s">
        <v>316</v>
      </c>
      <c r="AI523" s="12" t="s">
        <v>317</v>
      </c>
      <c r="AJ523" s="12" t="s">
        <v>318</v>
      </c>
      <c r="AK523" s="78" t="s">
        <v>7502</v>
      </c>
      <c r="AL523" s="143" t="s">
        <v>7503</v>
      </c>
      <c r="AM523" s="78" t="s">
        <v>7504</v>
      </c>
      <c r="AN523" s="78" t="s">
        <v>3178</v>
      </c>
      <c r="AO523" s="78" t="s">
        <v>327</v>
      </c>
      <c r="AP523" s="78" t="s">
        <v>398</v>
      </c>
      <c r="AQ523" s="78" t="s">
        <v>7505</v>
      </c>
      <c r="AR523" s="77">
        <v>93</v>
      </c>
      <c r="AS523" s="77" t="s">
        <v>581</v>
      </c>
      <c r="AT523" s="78" t="s">
        <v>3396</v>
      </c>
      <c r="AU523" s="78" t="s">
        <v>483</v>
      </c>
      <c r="AV523" s="77">
        <v>78960</v>
      </c>
      <c r="AW523" s="77" t="s">
        <v>329</v>
      </c>
      <c r="AX523" s="78" t="s">
        <v>329</v>
      </c>
      <c r="AY523" s="78" t="s">
        <v>329</v>
      </c>
      <c r="AZ523" s="78"/>
      <c r="BA523" s="78"/>
      <c r="BB523" s="137"/>
      <c r="BC523" s="78"/>
      <c r="BD523" s="78" t="s">
        <v>7504</v>
      </c>
      <c r="BE523" s="78" t="s">
        <v>3178</v>
      </c>
      <c r="BF523" s="78" t="s">
        <v>7506</v>
      </c>
      <c r="BG523" s="77" t="s">
        <v>333</v>
      </c>
      <c r="BH523" s="78" t="s">
        <v>7507</v>
      </c>
      <c r="BI523" s="78">
        <v>1</v>
      </c>
      <c r="BJ523" s="78"/>
      <c r="BK523" s="13"/>
      <c r="BL523" s="78"/>
      <c r="BM523" s="78"/>
      <c r="BN523" s="78"/>
      <c r="BO523" s="78"/>
      <c r="BP523" s="78"/>
      <c r="BQ523" s="78"/>
      <c r="BR523" s="78"/>
      <c r="BS523" s="78"/>
      <c r="BT523" s="78"/>
      <c r="BU523" s="78"/>
      <c r="BV523" s="78"/>
      <c r="BW523" s="78"/>
      <c r="BX523" s="78"/>
      <c r="BY523" s="78"/>
      <c r="BZ523" s="78"/>
      <c r="CA523" s="78"/>
      <c r="CB523" s="78"/>
      <c r="CC523" s="78"/>
      <c r="CD523" s="78"/>
    </row>
    <row r="524" spans="1:82" ht="15" x14ac:dyDescent="0.25">
      <c r="A524" s="77">
        <v>1020</v>
      </c>
      <c r="B524" s="77" t="s">
        <v>7508</v>
      </c>
      <c r="C524" s="78" t="s">
        <v>363</v>
      </c>
      <c r="D524" s="77" t="s">
        <v>6329</v>
      </c>
      <c r="E524" s="77">
        <v>41038524413</v>
      </c>
      <c r="F524" s="79">
        <v>46120</v>
      </c>
      <c r="G524" s="79">
        <v>46120</v>
      </c>
      <c r="H524" s="101">
        <f t="shared" si="48"/>
        <v>46210</v>
      </c>
      <c r="I524" s="77" t="s">
        <v>291</v>
      </c>
      <c r="J524" s="77" t="s">
        <v>7509</v>
      </c>
      <c r="K524" s="77" t="s">
        <v>384</v>
      </c>
      <c r="L524" s="77" t="s">
        <v>7510</v>
      </c>
      <c r="M524" s="153" t="str">
        <f>_xlfn.CONCAT(J524," ",K524," ",L524)</f>
        <v>CRUCES  SANCHEZ LUIS DAVID</v>
      </c>
      <c r="N524" s="102" t="s">
        <v>7511</v>
      </c>
      <c r="O524" s="102" t="s">
        <v>7512</v>
      </c>
      <c r="P524" s="77" t="s">
        <v>1953</v>
      </c>
      <c r="Q524" s="79">
        <v>31119</v>
      </c>
      <c r="R524" s="77">
        <f>DAY(Q524)</f>
        <v>13</v>
      </c>
      <c r="S524" s="77">
        <f>MONTH(Q524)</f>
        <v>3</v>
      </c>
      <c r="T524" s="77">
        <f>YEAR(Q524)</f>
        <v>1985</v>
      </c>
      <c r="U524" s="103">
        <f ca="1">(+TODAY()-Q524)/365</f>
        <v>41.610958904109587</v>
      </c>
      <c r="V524" s="102" t="s">
        <v>342</v>
      </c>
      <c r="W524" s="102" t="s">
        <v>7513</v>
      </c>
      <c r="X524" s="77" t="s">
        <v>693</v>
      </c>
      <c r="Y524" s="77" t="s">
        <v>252</v>
      </c>
      <c r="Z524" s="12" t="s">
        <v>93</v>
      </c>
      <c r="AA524" s="12" t="s">
        <v>636</v>
      </c>
      <c r="AB524" s="12" t="s">
        <v>7514</v>
      </c>
      <c r="AC524" s="12" t="s">
        <v>313</v>
      </c>
      <c r="AD524" s="12" t="s">
        <v>314</v>
      </c>
      <c r="AE524" s="12">
        <v>90</v>
      </c>
      <c r="AF524" s="102" t="s">
        <v>375</v>
      </c>
      <c r="AG524" s="77" t="s">
        <v>291</v>
      </c>
      <c r="AH524" s="78" t="s">
        <v>473</v>
      </c>
      <c r="AI524" s="12" t="s">
        <v>317</v>
      </c>
      <c r="AJ524" s="12" t="s">
        <v>318</v>
      </c>
      <c r="AK524" s="78" t="s">
        <v>7515</v>
      </c>
      <c r="AL524" s="143" t="s">
        <v>7516</v>
      </c>
      <c r="AM524" s="78" t="s">
        <v>7517</v>
      </c>
      <c r="AN524" s="78" t="s">
        <v>381</v>
      </c>
      <c r="AO524" s="78" t="s">
        <v>327</v>
      </c>
      <c r="AP524" s="78" t="s">
        <v>398</v>
      </c>
      <c r="AQ524" s="78" t="s">
        <v>7518</v>
      </c>
      <c r="AR524" s="77">
        <v>106</v>
      </c>
      <c r="AS524" s="77" t="s">
        <v>581</v>
      </c>
      <c r="AT524" s="78" t="s">
        <v>5406</v>
      </c>
      <c r="AU524" s="78" t="s">
        <v>1184</v>
      </c>
      <c r="AV524" s="77">
        <v>37204</v>
      </c>
      <c r="AW524" s="77" t="s">
        <v>329</v>
      </c>
      <c r="AX524" s="78" t="s">
        <v>329</v>
      </c>
      <c r="AY524" s="78" t="s">
        <v>329</v>
      </c>
      <c r="AZ524" s="78"/>
      <c r="BA524" s="78"/>
      <c r="BB524" s="137"/>
      <c r="BC524" s="78"/>
      <c r="BD524" s="78" t="s">
        <v>7517</v>
      </c>
      <c r="BE524" s="78" t="s">
        <v>381</v>
      </c>
      <c r="BF524" s="78">
        <v>4442900573</v>
      </c>
      <c r="BG524" s="77" t="s">
        <v>333</v>
      </c>
      <c r="BH524" s="78" t="s">
        <v>3815</v>
      </c>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row>
    <row r="525" spans="1:82" ht="15" x14ac:dyDescent="0.25">
      <c r="A525" s="77">
        <v>1021</v>
      </c>
      <c r="B525" s="77" t="s">
        <v>7527</v>
      </c>
      <c r="C525" s="78" t="s">
        <v>363</v>
      </c>
      <c r="D525" s="77" t="s">
        <v>232</v>
      </c>
      <c r="E525" s="77">
        <v>70169742668</v>
      </c>
      <c r="F525" s="79">
        <v>46125</v>
      </c>
      <c r="G525" s="79">
        <v>46125</v>
      </c>
      <c r="H525" s="101">
        <f t="shared" si="48"/>
        <v>46215</v>
      </c>
      <c r="I525" s="77" t="s">
        <v>290</v>
      </c>
      <c r="J525" s="77" t="s">
        <v>4512</v>
      </c>
      <c r="K525" s="77" t="s">
        <v>507</v>
      </c>
      <c r="L525" s="77" t="s">
        <v>7519</v>
      </c>
      <c r="M525" s="102" t="str">
        <f>_xlfn.CONCAT(J525," ",K525," ",L525)</f>
        <v>SALINAS MARTINEZ HECTOR ULISES</v>
      </c>
      <c r="N525" s="102" t="s">
        <v>7520</v>
      </c>
      <c r="O525" s="102" t="s">
        <v>7521</v>
      </c>
      <c r="P525" s="77" t="s">
        <v>1953</v>
      </c>
      <c r="Q525" s="79">
        <v>35625</v>
      </c>
      <c r="R525" s="77">
        <f>DAY(Q525)</f>
        <v>14</v>
      </c>
      <c r="S525" s="77">
        <f>MONTH(Q525)</f>
        <v>7</v>
      </c>
      <c r="T525" s="77">
        <f>YEAR(Q525)</f>
        <v>1997</v>
      </c>
      <c r="U525" s="103">
        <f ca="1">(+TODAY()-Q525)/365</f>
        <v>29.265753424657536</v>
      </c>
      <c r="V525" s="102" t="s">
        <v>452</v>
      </c>
      <c r="W525" s="102" t="s">
        <v>7533</v>
      </c>
      <c r="X525" s="77" t="s">
        <v>530</v>
      </c>
      <c r="Y525" s="77" t="s">
        <v>91</v>
      </c>
      <c r="Z525" s="139" t="s">
        <v>88</v>
      </c>
      <c r="AA525" s="139" t="s">
        <v>392</v>
      </c>
      <c r="AB525" s="139" t="s">
        <v>374</v>
      </c>
      <c r="AC525" s="12" t="s">
        <v>313</v>
      </c>
      <c r="AD525" s="12" t="s">
        <v>314</v>
      </c>
      <c r="AE525" s="12">
        <v>90</v>
      </c>
      <c r="AF525" s="102" t="s">
        <v>375</v>
      </c>
      <c r="AG525" s="77" t="s">
        <v>290</v>
      </c>
      <c r="AH525" s="78" t="s">
        <v>473</v>
      </c>
      <c r="AI525" s="12" t="s">
        <v>317</v>
      </c>
      <c r="AJ525" s="12" t="s">
        <v>318</v>
      </c>
      <c r="AK525" s="78" t="s">
        <v>7523</v>
      </c>
      <c r="AL525" s="143" t="s">
        <v>7524</v>
      </c>
      <c r="AM525" s="78" t="s">
        <v>7525</v>
      </c>
      <c r="AN525" s="78" t="s">
        <v>478</v>
      </c>
      <c r="AO525" s="78" t="s">
        <v>398</v>
      </c>
      <c r="AP525" s="78" t="s">
        <v>398</v>
      </c>
      <c r="AQ525" s="78" t="s">
        <v>7522</v>
      </c>
      <c r="AR525" s="77">
        <v>166</v>
      </c>
      <c r="AS525" s="77" t="s">
        <v>581</v>
      </c>
      <c r="AT525" s="78" t="s">
        <v>482</v>
      </c>
      <c r="AU525" s="78" t="s">
        <v>483</v>
      </c>
      <c r="AV525" s="77">
        <v>78430</v>
      </c>
      <c r="AW525" s="77" t="s">
        <v>329</v>
      </c>
      <c r="AX525" s="78" t="s">
        <v>329</v>
      </c>
      <c r="AY525" s="78" t="s">
        <v>329</v>
      </c>
      <c r="AZ525" s="78"/>
      <c r="BA525" s="78"/>
      <c r="BB525" s="137"/>
      <c r="BC525" s="78"/>
      <c r="BD525" s="78" t="s">
        <v>7525</v>
      </c>
      <c r="BE525" s="78" t="s">
        <v>478</v>
      </c>
      <c r="BF525" s="78" t="s">
        <v>7526</v>
      </c>
      <c r="BG525" s="77"/>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row>
    <row r="526" spans="1:82" ht="15" x14ac:dyDescent="0.25">
      <c r="A526" s="77">
        <v>1022</v>
      </c>
      <c r="B526" s="77" t="s">
        <v>7528</v>
      </c>
      <c r="C526" s="78" t="s">
        <v>363</v>
      </c>
      <c r="D526" s="77" t="s">
        <v>232</v>
      </c>
      <c r="E526" s="77">
        <v>27190082183</v>
      </c>
      <c r="F526" s="79">
        <v>46125</v>
      </c>
      <c r="G526" s="79">
        <v>46125</v>
      </c>
      <c r="H526" s="101">
        <f t="shared" si="48"/>
        <v>46215</v>
      </c>
      <c r="I526" s="77" t="s">
        <v>290</v>
      </c>
      <c r="J526" s="77" t="s">
        <v>4512</v>
      </c>
      <c r="K526" s="77"/>
      <c r="L526" s="77" t="s">
        <v>1830</v>
      </c>
      <c r="M526" s="102" t="str">
        <f>_xlfn.CONCAT(J526," ",K526," ",L526)</f>
        <v>SALINAS  JESUS</v>
      </c>
      <c r="N526" s="102" t="s">
        <v>7529</v>
      </c>
      <c r="O526" s="102" t="s">
        <v>7530</v>
      </c>
      <c r="P526" s="77" t="s">
        <v>1953</v>
      </c>
      <c r="Q526" s="79">
        <v>36884</v>
      </c>
      <c r="R526" s="77">
        <f>DAY(Q526)</f>
        <v>24</v>
      </c>
      <c r="S526" s="77">
        <f>MONTH(Q526)</f>
        <v>12</v>
      </c>
      <c r="T526" s="77">
        <f>YEAR(Q526)</f>
        <v>2000</v>
      </c>
      <c r="U526" s="103">
        <f ca="1">(+TODAY()-Q526)/365</f>
        <v>25.816438356164383</v>
      </c>
      <c r="V526" s="102" t="s">
        <v>452</v>
      </c>
      <c r="W526" s="102" t="s">
        <v>7532</v>
      </c>
      <c r="X526" s="77" t="s">
        <v>530</v>
      </c>
      <c r="Y526" s="77" t="s">
        <v>89</v>
      </c>
      <c r="Z526" s="139" t="s">
        <v>88</v>
      </c>
      <c r="AA526" s="139" t="s">
        <v>392</v>
      </c>
      <c r="AB526" s="139" t="s">
        <v>374</v>
      </c>
      <c r="AC526" s="12" t="s">
        <v>313</v>
      </c>
      <c r="AD526" s="12" t="s">
        <v>314</v>
      </c>
      <c r="AE526" s="12">
        <v>90</v>
      </c>
      <c r="AF526" s="102" t="s">
        <v>375</v>
      </c>
      <c r="AG526" s="77" t="s">
        <v>290</v>
      </c>
      <c r="AH526" s="78" t="s">
        <v>473</v>
      </c>
      <c r="AI526" s="12" t="s">
        <v>317</v>
      </c>
      <c r="AJ526" s="12" t="s">
        <v>318</v>
      </c>
      <c r="AK526" s="78" t="s">
        <v>7534</v>
      </c>
      <c r="AL526" s="143" t="s">
        <v>7535</v>
      </c>
      <c r="AM526" s="78" t="s">
        <v>7536</v>
      </c>
      <c r="AN526" s="78" t="s">
        <v>478</v>
      </c>
      <c r="AO526" s="78" t="s">
        <v>398</v>
      </c>
      <c r="AP526" s="78" t="s">
        <v>398</v>
      </c>
      <c r="AQ526" s="78" t="s">
        <v>7531</v>
      </c>
      <c r="AR526" s="77">
        <v>166</v>
      </c>
      <c r="AS526" s="77" t="s">
        <v>581</v>
      </c>
      <c r="AT526" s="78" t="s">
        <v>482</v>
      </c>
      <c r="AU526" s="78" t="s">
        <v>483</v>
      </c>
      <c r="AV526" s="77">
        <v>78433</v>
      </c>
      <c r="AW526" s="77" t="s">
        <v>329</v>
      </c>
      <c r="AX526" s="78" t="s">
        <v>329</v>
      </c>
      <c r="AY526" s="78" t="s">
        <v>329</v>
      </c>
      <c r="AZ526" s="78"/>
      <c r="BA526" s="78"/>
      <c r="BB526" s="137"/>
      <c r="BC526" s="78"/>
      <c r="BD526" s="78" t="s">
        <v>7536</v>
      </c>
      <c r="BE526" s="78" t="s">
        <v>478</v>
      </c>
      <c r="BF526" s="78" t="s">
        <v>7537</v>
      </c>
      <c r="BG526" s="77" t="s">
        <v>333</v>
      </c>
      <c r="BH526" s="78" t="s">
        <v>3815</v>
      </c>
      <c r="BI526" s="78">
        <v>2</v>
      </c>
      <c r="BJ526" s="78"/>
      <c r="BK526" s="78" t="s">
        <v>633</v>
      </c>
      <c r="BL526" s="78">
        <v>3</v>
      </c>
      <c r="BM526" s="78"/>
      <c r="BN526" s="78" t="s">
        <v>571</v>
      </c>
      <c r="BO526" s="78">
        <v>5</v>
      </c>
      <c r="BP526" s="78"/>
      <c r="BQ526" s="78"/>
      <c r="BR526" s="78"/>
      <c r="BS526" s="78"/>
      <c r="BT526" s="78"/>
      <c r="BU526" s="78"/>
      <c r="BV526" s="78"/>
      <c r="BW526" s="78"/>
      <c r="BX526" s="78"/>
      <c r="BY526" s="78"/>
      <c r="BZ526" s="78"/>
      <c r="CA526" s="78"/>
      <c r="CB526" s="78"/>
      <c r="CC526" s="78"/>
      <c r="CD526" s="78"/>
    </row>
    <row r="527" spans="1:82" ht="15" x14ac:dyDescent="0.25">
      <c r="A527" s="77">
        <v>1023</v>
      </c>
      <c r="B527" s="77" t="s">
        <v>7553</v>
      </c>
      <c r="C527" s="78" t="s">
        <v>363</v>
      </c>
      <c r="D527" s="77" t="s">
        <v>86</v>
      </c>
      <c r="E527" s="77">
        <v>63150080396</v>
      </c>
      <c r="F527" s="79">
        <v>46127</v>
      </c>
      <c r="G527" s="79">
        <v>46127</v>
      </c>
      <c r="H527" s="101">
        <f t="shared" si="48"/>
        <v>46217</v>
      </c>
      <c r="I527" s="77" t="s">
        <v>290</v>
      </c>
      <c r="J527" s="77" t="s">
        <v>7546</v>
      </c>
      <c r="K527" s="77" t="s">
        <v>4387</v>
      </c>
      <c r="L527" s="77" t="s">
        <v>7547</v>
      </c>
      <c r="M527" s="102" t="str">
        <f t="shared" ref="M527" si="49">_xlfn.CONCAT(J527," ",K527," ",L527)</f>
        <v>ALONSO LOREDO IRVING ALEJANDRO</v>
      </c>
      <c r="N527" s="102" t="s">
        <v>7548</v>
      </c>
      <c r="O527" s="102" t="s">
        <v>7549</v>
      </c>
      <c r="P527" s="77" t="s">
        <v>1953</v>
      </c>
      <c r="Q527" s="79">
        <v>36705</v>
      </c>
      <c r="R527" s="77">
        <f t="shared" ref="R527" si="50">DAY(Q527)</f>
        <v>28</v>
      </c>
      <c r="S527" s="77">
        <f t="shared" ref="S527" si="51">MONTH(Q527)</f>
        <v>6</v>
      </c>
      <c r="T527" s="77">
        <f t="shared" ref="T527" si="52">YEAR(Q527)</f>
        <v>2000</v>
      </c>
      <c r="U527" s="103">
        <f t="shared" ref="U527" ca="1" si="53">(+TODAY()-Q527)/365</f>
        <v>26.306849315068494</v>
      </c>
      <c r="V527" s="102" t="s">
        <v>452</v>
      </c>
      <c r="W527" s="102" t="s">
        <v>7550</v>
      </c>
      <c r="X527" s="77" t="s">
        <v>454</v>
      </c>
      <c r="Y527" s="77" t="s">
        <v>5595</v>
      </c>
      <c r="Z527" s="12" t="s">
        <v>93</v>
      </c>
      <c r="AA527" s="12" t="s">
        <v>636</v>
      </c>
      <c r="AB527" s="12" t="s">
        <v>1428</v>
      </c>
      <c r="AC527" s="12" t="s">
        <v>313</v>
      </c>
      <c r="AD527" s="12" t="s">
        <v>314</v>
      </c>
      <c r="AE527" s="12">
        <v>90</v>
      </c>
      <c r="AF527" s="102" t="s">
        <v>375</v>
      </c>
      <c r="AG527" s="77" t="s">
        <v>290</v>
      </c>
      <c r="AH527" s="78" t="s">
        <v>473</v>
      </c>
      <c r="AI527" s="12" t="s">
        <v>317</v>
      </c>
      <c r="AJ527" s="12" t="s">
        <v>318</v>
      </c>
      <c r="AK527" s="78" t="s">
        <v>7551</v>
      </c>
      <c r="AL527" s="143" t="s">
        <v>7555</v>
      </c>
      <c r="AM527" s="78" t="s">
        <v>7556</v>
      </c>
      <c r="AN527" s="78" t="s">
        <v>478</v>
      </c>
      <c r="AO527" s="78" t="s">
        <v>398</v>
      </c>
      <c r="AP527" s="78" t="s">
        <v>398</v>
      </c>
      <c r="AQ527" s="78" t="s">
        <v>7552</v>
      </c>
      <c r="AR527" s="77">
        <v>117</v>
      </c>
      <c r="AS527" s="77" t="s">
        <v>581</v>
      </c>
      <c r="AT527" s="78" t="s">
        <v>482</v>
      </c>
      <c r="AU527" s="78" t="s">
        <v>483</v>
      </c>
      <c r="AV527" s="77">
        <v>78438</v>
      </c>
      <c r="AW527" s="77" t="s">
        <v>329</v>
      </c>
      <c r="AX527" s="78" t="s">
        <v>329</v>
      </c>
      <c r="AY527" s="78" t="s">
        <v>329</v>
      </c>
      <c r="AZ527" s="78"/>
      <c r="BA527" s="78"/>
      <c r="BB527" s="137"/>
      <c r="BC527" s="78"/>
      <c r="BD527" s="78" t="s">
        <v>7556</v>
      </c>
      <c r="BE527" s="78" t="s">
        <v>478</v>
      </c>
      <c r="BF527" s="78">
        <v>4446652504</v>
      </c>
      <c r="BG527" s="77" t="s">
        <v>5507</v>
      </c>
      <c r="BH527" s="78" t="s">
        <v>7557</v>
      </c>
      <c r="BI527" s="78">
        <v>2</v>
      </c>
      <c r="BJ527" s="78"/>
      <c r="BK527" s="78" t="s">
        <v>633</v>
      </c>
      <c r="BL527" s="78">
        <v>2</v>
      </c>
      <c r="BM527" s="78"/>
      <c r="BN527" s="78" t="s">
        <v>571</v>
      </c>
      <c r="BO527" s="78">
        <v>4</v>
      </c>
      <c r="BP527" s="78"/>
      <c r="BQ527" s="78"/>
      <c r="BR527" s="78"/>
      <c r="BS527" s="78"/>
      <c r="BT527" s="78"/>
      <c r="BU527" s="78"/>
      <c r="BV527" s="78"/>
      <c r="BW527" s="78"/>
      <c r="BX527" s="78"/>
      <c r="BY527" s="78"/>
      <c r="BZ527" s="78"/>
      <c r="CA527" s="78"/>
      <c r="CB527" s="78"/>
      <c r="CC527" s="78"/>
      <c r="CD527" s="78"/>
    </row>
    <row r="528" spans="1:82" s="116" customFormat="1" ht="15" x14ac:dyDescent="0.25">
      <c r="A528" s="125">
        <v>1024</v>
      </c>
      <c r="B528" s="125" t="s">
        <v>7554</v>
      </c>
      <c r="C528" s="110" t="s">
        <v>1390</v>
      </c>
      <c r="D528" s="125" t="s">
        <v>281</v>
      </c>
      <c r="E528" s="125">
        <v>30190040490</v>
      </c>
      <c r="F528" s="112">
        <v>45348</v>
      </c>
      <c r="G528" s="127">
        <v>46128</v>
      </c>
      <c r="H528" s="113">
        <f t="shared" si="48"/>
        <v>46308</v>
      </c>
      <c r="I528" s="125" t="s">
        <v>291</v>
      </c>
      <c r="J528" s="125" t="s">
        <v>4915</v>
      </c>
      <c r="K528" s="125" t="s">
        <v>4916</v>
      </c>
      <c r="L528" s="125" t="s">
        <v>4278</v>
      </c>
      <c r="M528" s="128" t="str">
        <f t="shared" ref="M528:M549" si="54">_xlfn.CONCAT(J528," ",K528," ",L528)</f>
        <v>DE LOS RIOS MANZANARES LUIS FELIPE</v>
      </c>
      <c r="N528" s="128" t="s">
        <v>7538</v>
      </c>
      <c r="O528" s="128" t="s">
        <v>7539</v>
      </c>
      <c r="P528" s="125" t="s">
        <v>1953</v>
      </c>
      <c r="Q528" s="127">
        <v>36669</v>
      </c>
      <c r="R528" s="125">
        <f t="shared" ref="R528:R549" si="55">DAY(Q528)</f>
        <v>23</v>
      </c>
      <c r="S528" s="125">
        <f t="shared" ref="S528:S549" si="56">MONTH(Q528)</f>
        <v>5</v>
      </c>
      <c r="T528" s="125">
        <f t="shared" ref="T528:T549" si="57">YEAR(Q528)</f>
        <v>2000</v>
      </c>
      <c r="U528" s="142">
        <f t="shared" ref="U528:U549" ca="1" si="58">(+TODAY()-Q528)/365</f>
        <v>26.405479452054795</v>
      </c>
      <c r="V528" s="128" t="s">
        <v>389</v>
      </c>
      <c r="W528" s="128" t="s">
        <v>7540</v>
      </c>
      <c r="X528" s="125" t="s">
        <v>1327</v>
      </c>
      <c r="Y528" s="120" t="s">
        <v>272</v>
      </c>
      <c r="Z528" s="109" t="s">
        <v>263</v>
      </c>
      <c r="AA528" s="109" t="s">
        <v>636</v>
      </c>
      <c r="AB528" s="109" t="s">
        <v>2304</v>
      </c>
      <c r="AC528" s="125" t="s">
        <v>313</v>
      </c>
      <c r="AD528" s="125" t="s">
        <v>314</v>
      </c>
      <c r="AE528" s="125">
        <v>180</v>
      </c>
      <c r="AF528" s="114" t="s">
        <v>375</v>
      </c>
      <c r="AG528" s="109" t="s">
        <v>291</v>
      </c>
      <c r="AH528" s="115" t="s">
        <v>1398</v>
      </c>
      <c r="AI528" s="109" t="s">
        <v>317</v>
      </c>
      <c r="AJ528" s="109" t="s">
        <v>318</v>
      </c>
      <c r="AK528" s="110" t="s">
        <v>7541</v>
      </c>
      <c r="AL528" s="145" t="s">
        <v>7542</v>
      </c>
      <c r="AM528" s="110" t="s">
        <v>7543</v>
      </c>
      <c r="AN528" s="110" t="s">
        <v>325</v>
      </c>
      <c r="AO528" s="110" t="s">
        <v>398</v>
      </c>
      <c r="AP528" s="110" t="s">
        <v>398</v>
      </c>
      <c r="AQ528" s="110" t="s">
        <v>7544</v>
      </c>
      <c r="AR528" s="125">
        <v>112</v>
      </c>
      <c r="AS528" s="125" t="s">
        <v>581</v>
      </c>
      <c r="AT528" s="110" t="s">
        <v>483</v>
      </c>
      <c r="AU528" s="110" t="s">
        <v>483</v>
      </c>
      <c r="AV528" s="125">
        <v>78230</v>
      </c>
      <c r="AW528" s="125" t="s">
        <v>329</v>
      </c>
      <c r="AX528" s="110" t="s">
        <v>329</v>
      </c>
      <c r="AY528" s="110" t="s">
        <v>329</v>
      </c>
      <c r="AZ528" s="110"/>
      <c r="BA528" s="110"/>
      <c r="BB528" s="138"/>
      <c r="BC528" s="110"/>
      <c r="BD528" s="110" t="s">
        <v>7543</v>
      </c>
      <c r="BE528" s="110" t="s">
        <v>325</v>
      </c>
      <c r="BF528" s="110" t="s">
        <v>7545</v>
      </c>
      <c r="BG528" s="125" t="s">
        <v>333</v>
      </c>
      <c r="BH528" s="110" t="s">
        <v>334</v>
      </c>
      <c r="BI528" s="110">
        <v>0</v>
      </c>
      <c r="BJ528" s="110"/>
      <c r="BK528" s="110"/>
      <c r="BL528" s="110"/>
      <c r="BM528" s="110"/>
      <c r="BN528" s="110"/>
      <c r="BO528" s="110"/>
      <c r="BP528" s="110"/>
      <c r="BQ528" s="110"/>
      <c r="BR528" s="110"/>
      <c r="BS528" s="110"/>
      <c r="BT528" s="110"/>
      <c r="BU528" s="110"/>
      <c r="BV528" s="110"/>
      <c r="BW528" s="110"/>
      <c r="BX528" s="110"/>
      <c r="BY528" s="110"/>
      <c r="BZ528" s="110"/>
      <c r="CA528" s="110"/>
      <c r="CB528" s="110"/>
      <c r="CC528" s="110"/>
      <c r="CD528" s="110"/>
    </row>
    <row r="529" spans="1:82" s="116" customFormat="1" ht="15" x14ac:dyDescent="0.25">
      <c r="A529" s="125">
        <v>632</v>
      </c>
      <c r="B529" s="109" t="s">
        <v>7569</v>
      </c>
      <c r="C529" s="115" t="s">
        <v>564</v>
      </c>
      <c r="D529" s="109" t="s">
        <v>81</v>
      </c>
      <c r="E529" s="125" t="s">
        <v>7558</v>
      </c>
      <c r="F529" s="127">
        <v>46128</v>
      </c>
      <c r="G529" s="127">
        <v>46128</v>
      </c>
      <c r="H529" s="113">
        <f t="shared" si="48"/>
        <v>46218</v>
      </c>
      <c r="I529" s="125" t="s">
        <v>290</v>
      </c>
      <c r="J529" s="125" t="s">
        <v>447</v>
      </c>
      <c r="K529" s="125" t="s">
        <v>4373</v>
      </c>
      <c r="L529" s="125" t="s">
        <v>4944</v>
      </c>
      <c r="M529" s="128" t="str">
        <f t="shared" si="54"/>
        <v>GARCIA CORTES PEDRO</v>
      </c>
      <c r="N529" s="128" t="s">
        <v>7560</v>
      </c>
      <c r="O529" s="128" t="s">
        <v>7559</v>
      </c>
      <c r="P529" s="125" t="s">
        <v>1953</v>
      </c>
      <c r="Q529" s="127">
        <v>27916</v>
      </c>
      <c r="R529" s="125">
        <f t="shared" si="55"/>
        <v>5</v>
      </c>
      <c r="S529" s="125">
        <f t="shared" si="56"/>
        <v>6</v>
      </c>
      <c r="T529" s="125">
        <f t="shared" si="57"/>
        <v>1976</v>
      </c>
      <c r="U529" s="142">
        <f t="shared" ca="1" si="58"/>
        <v>50.386301369863013</v>
      </c>
      <c r="V529" s="128" t="s">
        <v>342</v>
      </c>
      <c r="W529" s="128" t="s">
        <v>7561</v>
      </c>
      <c r="X529" s="125" t="s">
        <v>693</v>
      </c>
      <c r="Y529" s="125" t="s">
        <v>1498</v>
      </c>
      <c r="Z529" s="109" t="s">
        <v>84</v>
      </c>
      <c r="AA529" s="109" t="s">
        <v>532</v>
      </c>
      <c r="AB529" s="125" t="s">
        <v>574</v>
      </c>
      <c r="AC529" s="125" t="s">
        <v>313</v>
      </c>
      <c r="AD529" s="125" t="s">
        <v>314</v>
      </c>
      <c r="AE529" s="125">
        <v>90</v>
      </c>
      <c r="AF529" s="114" t="s">
        <v>710</v>
      </c>
      <c r="AG529" s="125" t="s">
        <v>290</v>
      </c>
      <c r="AH529" s="110" t="s">
        <v>575</v>
      </c>
      <c r="AI529" s="125" t="s">
        <v>317</v>
      </c>
      <c r="AJ529" s="125" t="s">
        <v>318</v>
      </c>
      <c r="AK529" s="110" t="s">
        <v>7562</v>
      </c>
      <c r="AL529" s="145" t="s">
        <v>7563</v>
      </c>
      <c r="AM529" s="110" t="s">
        <v>7564</v>
      </c>
      <c r="AN529" s="110" t="s">
        <v>381</v>
      </c>
      <c r="AO529" s="110" t="s">
        <v>398</v>
      </c>
      <c r="AP529" s="110" t="s">
        <v>398</v>
      </c>
      <c r="AQ529" s="110" t="s">
        <v>7565</v>
      </c>
      <c r="AR529" s="125">
        <v>1555</v>
      </c>
      <c r="AS529" s="125">
        <v>103</v>
      </c>
      <c r="AT529" s="110" t="s">
        <v>116</v>
      </c>
      <c r="AU529" s="110" t="s">
        <v>583</v>
      </c>
      <c r="AV529" s="125">
        <v>44190</v>
      </c>
      <c r="AW529" s="125" t="s">
        <v>329</v>
      </c>
      <c r="AX529" s="110" t="s">
        <v>329</v>
      </c>
      <c r="AY529" s="110" t="s">
        <v>329</v>
      </c>
      <c r="AZ529" s="110"/>
      <c r="BA529" s="110"/>
      <c r="BB529" s="138"/>
      <c r="BC529" s="110"/>
      <c r="BD529" s="110" t="s">
        <v>7564</v>
      </c>
      <c r="BE529" s="110" t="s">
        <v>381</v>
      </c>
      <c r="BF529" s="110" t="s">
        <v>7566</v>
      </c>
      <c r="BG529" s="125" t="s">
        <v>488</v>
      </c>
      <c r="BH529" s="110" t="s">
        <v>334</v>
      </c>
      <c r="BI529" s="110">
        <v>2</v>
      </c>
      <c r="BJ529" s="110"/>
      <c r="BK529" s="110" t="s">
        <v>571</v>
      </c>
      <c r="BL529" s="110"/>
      <c r="BM529" s="110"/>
      <c r="BN529" s="110" t="s">
        <v>3911</v>
      </c>
      <c r="BO529" s="110"/>
      <c r="BP529" s="110"/>
      <c r="BQ529" s="110"/>
      <c r="BR529" s="110"/>
      <c r="BS529" s="110"/>
      <c r="BT529" s="110"/>
      <c r="BU529" s="110"/>
      <c r="BV529" s="110"/>
      <c r="BW529" s="110"/>
      <c r="BX529" s="110"/>
      <c r="BY529" s="110"/>
      <c r="BZ529" s="110"/>
      <c r="CA529" s="110"/>
      <c r="CB529" s="110"/>
      <c r="CC529" s="110"/>
      <c r="CD529" s="110"/>
    </row>
    <row r="530" spans="1:82" s="116" customFormat="1" ht="15" x14ac:dyDescent="0.25">
      <c r="A530" s="125">
        <v>1025</v>
      </c>
      <c r="B530" s="109" t="s">
        <v>7567</v>
      </c>
      <c r="C530" s="115" t="s">
        <v>564</v>
      </c>
      <c r="D530" s="109" t="s">
        <v>81</v>
      </c>
      <c r="E530" s="125" t="s">
        <v>7570</v>
      </c>
      <c r="F530" s="127">
        <v>46132</v>
      </c>
      <c r="G530" s="127">
        <v>46132</v>
      </c>
      <c r="H530" s="113">
        <f t="shared" si="48"/>
        <v>46222</v>
      </c>
      <c r="I530" s="125" t="s">
        <v>290</v>
      </c>
      <c r="J530" s="125" t="s">
        <v>507</v>
      </c>
      <c r="K530" s="125" t="s">
        <v>7571</v>
      </c>
      <c r="L530" s="125" t="s">
        <v>7572</v>
      </c>
      <c r="M530" s="128" t="str">
        <f t="shared" si="54"/>
        <v>MARTINEZ AVELINO NOE</v>
      </c>
      <c r="N530" s="128" t="s">
        <v>7573</v>
      </c>
      <c r="O530" s="128" t="s">
        <v>7574</v>
      </c>
      <c r="P530" s="125" t="s">
        <v>1953</v>
      </c>
      <c r="Q530" s="127">
        <v>37961</v>
      </c>
      <c r="R530" s="125">
        <f t="shared" si="55"/>
        <v>6</v>
      </c>
      <c r="S530" s="125">
        <f t="shared" si="56"/>
        <v>12</v>
      </c>
      <c r="T530" s="125">
        <f t="shared" si="57"/>
        <v>2003</v>
      </c>
      <c r="U530" s="142">
        <f t="shared" ca="1" si="58"/>
        <v>22.865753424657534</v>
      </c>
      <c r="V530" s="128" t="s">
        <v>389</v>
      </c>
      <c r="W530" s="128" t="s">
        <v>7575</v>
      </c>
      <c r="X530" s="125" t="s">
        <v>454</v>
      </c>
      <c r="Y530" s="125" t="s">
        <v>115</v>
      </c>
      <c r="Z530" s="109" t="s">
        <v>84</v>
      </c>
      <c r="AA530" s="109" t="s">
        <v>532</v>
      </c>
      <c r="AB530" s="109" t="s">
        <v>574</v>
      </c>
      <c r="AC530" s="125" t="s">
        <v>313</v>
      </c>
      <c r="AD530" s="125" t="s">
        <v>314</v>
      </c>
      <c r="AE530" s="125">
        <v>90</v>
      </c>
      <c r="AF530" s="114" t="s">
        <v>710</v>
      </c>
      <c r="AG530" s="109" t="s">
        <v>290</v>
      </c>
      <c r="AH530" s="115" t="s">
        <v>575</v>
      </c>
      <c r="AI530" s="109" t="s">
        <v>317</v>
      </c>
      <c r="AJ530" s="109" t="s">
        <v>318</v>
      </c>
      <c r="AK530" s="110" t="s">
        <v>7576</v>
      </c>
      <c r="AL530" s="145" t="s">
        <v>7577</v>
      </c>
      <c r="AM530" s="110" t="s">
        <v>7578</v>
      </c>
      <c r="AN530" s="110" t="s">
        <v>325</v>
      </c>
      <c r="AO530" s="110" t="s">
        <v>398</v>
      </c>
      <c r="AP530" s="110" t="s">
        <v>398</v>
      </c>
      <c r="AQ530" s="110" t="s">
        <v>7579</v>
      </c>
      <c r="AR530" s="125">
        <v>7</v>
      </c>
      <c r="AS530" s="125" t="s">
        <v>581</v>
      </c>
      <c r="AT530" s="110" t="s">
        <v>5257</v>
      </c>
      <c r="AU530" s="110" t="s">
        <v>1066</v>
      </c>
      <c r="AV530" s="125">
        <v>50266</v>
      </c>
      <c r="AW530" s="125" t="s">
        <v>329</v>
      </c>
      <c r="AX530" s="110" t="s">
        <v>329</v>
      </c>
      <c r="AY530" s="110" t="s">
        <v>329</v>
      </c>
      <c r="AZ530" s="110"/>
      <c r="BA530" s="110"/>
      <c r="BB530" s="138"/>
      <c r="BC530" s="110"/>
      <c r="BD530" s="110" t="s">
        <v>7578</v>
      </c>
      <c r="BE530" s="110" t="s">
        <v>7580</v>
      </c>
      <c r="BF530" s="110" t="s">
        <v>7581</v>
      </c>
      <c r="BG530" s="125" t="s">
        <v>333</v>
      </c>
      <c r="BH530" s="110" t="s">
        <v>334</v>
      </c>
      <c r="BI530" s="110"/>
      <c r="BJ530" s="110"/>
      <c r="BK530" s="110"/>
      <c r="BL530" s="110"/>
      <c r="BM530" s="110"/>
      <c r="BN530" s="110"/>
      <c r="BO530" s="110"/>
      <c r="BP530" s="110"/>
      <c r="BQ530" s="110"/>
      <c r="BR530" s="110"/>
      <c r="BS530" s="110"/>
      <c r="BT530" s="110"/>
      <c r="BU530" s="110"/>
      <c r="BV530" s="110"/>
      <c r="BW530" s="110"/>
      <c r="BX530" s="110"/>
      <c r="BY530" s="110"/>
      <c r="BZ530" s="110"/>
      <c r="CA530" s="110"/>
      <c r="CB530" s="110"/>
      <c r="CC530" s="110"/>
      <c r="CD530" s="110"/>
    </row>
    <row r="531" spans="1:82" s="116" customFormat="1" ht="15" x14ac:dyDescent="0.25">
      <c r="A531" s="125">
        <v>1026</v>
      </c>
      <c r="B531" s="109" t="s">
        <v>7568</v>
      </c>
      <c r="C531" s="115" t="s">
        <v>564</v>
      </c>
      <c r="D531" s="109" t="s">
        <v>81</v>
      </c>
      <c r="E531" s="125" t="s">
        <v>7582</v>
      </c>
      <c r="F531" s="127">
        <v>46132</v>
      </c>
      <c r="G531" s="127">
        <v>46132</v>
      </c>
      <c r="H531" s="113">
        <f t="shared" si="48"/>
        <v>46222</v>
      </c>
      <c r="I531" s="125" t="s">
        <v>290</v>
      </c>
      <c r="J531" s="125" t="s">
        <v>5787</v>
      </c>
      <c r="K531" s="125" t="s">
        <v>704</v>
      </c>
      <c r="L531" s="125" t="s">
        <v>7583</v>
      </c>
      <c r="M531" s="128" t="str">
        <f t="shared" si="54"/>
        <v>LERMA GONZALEZ ALFREDO</v>
      </c>
      <c r="N531" s="128" t="s">
        <v>7584</v>
      </c>
      <c r="O531" s="128" t="s">
        <v>7585</v>
      </c>
      <c r="P531" s="125" t="s">
        <v>1953</v>
      </c>
      <c r="Q531" s="127">
        <v>29750</v>
      </c>
      <c r="R531" s="125">
        <f t="shared" si="55"/>
        <v>13</v>
      </c>
      <c r="S531" s="125">
        <f t="shared" si="56"/>
        <v>6</v>
      </c>
      <c r="T531" s="125">
        <f t="shared" si="57"/>
        <v>1981</v>
      </c>
      <c r="U531" s="142">
        <f t="shared" ca="1" si="58"/>
        <v>45.361643835616441</v>
      </c>
      <c r="V531" s="128" t="s">
        <v>342</v>
      </c>
      <c r="W531" s="128" t="s">
        <v>7586</v>
      </c>
      <c r="X531" s="125" t="s">
        <v>454</v>
      </c>
      <c r="Y531" s="125" t="s">
        <v>115</v>
      </c>
      <c r="Z531" s="109" t="s">
        <v>84</v>
      </c>
      <c r="AA531" s="109" t="s">
        <v>532</v>
      </c>
      <c r="AB531" s="109" t="s">
        <v>574</v>
      </c>
      <c r="AC531" s="125" t="s">
        <v>313</v>
      </c>
      <c r="AD531" s="125" t="s">
        <v>314</v>
      </c>
      <c r="AE531" s="125">
        <v>90</v>
      </c>
      <c r="AF531" s="114" t="s">
        <v>710</v>
      </c>
      <c r="AG531" s="109" t="s">
        <v>290</v>
      </c>
      <c r="AH531" s="115" t="s">
        <v>575</v>
      </c>
      <c r="AI531" s="109" t="s">
        <v>317</v>
      </c>
      <c r="AJ531" s="109" t="s">
        <v>318</v>
      </c>
      <c r="AK531" s="128">
        <v>3333010408</v>
      </c>
      <c r="AL531" s="145" t="s">
        <v>7587</v>
      </c>
      <c r="AM531" s="110" t="s">
        <v>7588</v>
      </c>
      <c r="AN531" s="110" t="s">
        <v>381</v>
      </c>
      <c r="AO531" s="110" t="s">
        <v>398</v>
      </c>
      <c r="AP531" s="110" t="s">
        <v>398</v>
      </c>
      <c r="AQ531" s="110" t="s">
        <v>7589</v>
      </c>
      <c r="AR531" s="125">
        <v>237</v>
      </c>
      <c r="AS531" s="125" t="s">
        <v>581</v>
      </c>
      <c r="AT531" s="110" t="s">
        <v>582</v>
      </c>
      <c r="AU531" s="110" t="s">
        <v>583</v>
      </c>
      <c r="AV531" s="125">
        <v>45653</v>
      </c>
      <c r="AW531" s="125" t="s">
        <v>329</v>
      </c>
      <c r="AX531" s="110" t="s">
        <v>329</v>
      </c>
      <c r="AY531" s="110" t="s">
        <v>329</v>
      </c>
      <c r="AZ531" s="110"/>
      <c r="BA531" s="110"/>
      <c r="BB531" s="138"/>
      <c r="BC531" s="110"/>
      <c r="BD531" s="110" t="s">
        <v>7588</v>
      </c>
      <c r="BE531" s="110" t="s">
        <v>381</v>
      </c>
      <c r="BF531" s="110" t="s">
        <v>7590</v>
      </c>
      <c r="BG531" s="125" t="s">
        <v>333</v>
      </c>
      <c r="BH531" s="110" t="s">
        <v>334</v>
      </c>
      <c r="BI531" s="110">
        <v>1</v>
      </c>
      <c r="BJ531" s="110"/>
      <c r="BK531" s="110"/>
      <c r="BL531" s="110"/>
      <c r="BM531" s="110"/>
      <c r="BN531" s="110"/>
      <c r="BO531" s="110"/>
      <c r="BP531" s="110"/>
      <c r="BQ531" s="110"/>
      <c r="BR531" s="110"/>
      <c r="BS531" s="110"/>
      <c r="BT531" s="110"/>
      <c r="BU531" s="110"/>
      <c r="BV531" s="110"/>
      <c r="BW531" s="110"/>
      <c r="BX531" s="110"/>
      <c r="BY531" s="110"/>
      <c r="BZ531" s="110"/>
      <c r="CA531" s="110"/>
      <c r="CB531" s="110"/>
      <c r="CC531" s="110"/>
      <c r="CD531" s="110"/>
    </row>
    <row r="532" spans="1:82" ht="15" x14ac:dyDescent="0.25">
      <c r="A532" s="77">
        <v>1250</v>
      </c>
      <c r="B532" s="77" t="s">
        <v>7603</v>
      </c>
      <c r="C532" s="78" t="s">
        <v>299</v>
      </c>
      <c r="D532" s="99" t="s">
        <v>80</v>
      </c>
      <c r="E532" s="77">
        <v>41937627655</v>
      </c>
      <c r="F532" s="79">
        <v>46128</v>
      </c>
      <c r="G532" s="79">
        <v>46128</v>
      </c>
      <c r="H532" s="101">
        <f t="shared" si="48"/>
        <v>46218</v>
      </c>
      <c r="I532" s="77" t="s">
        <v>291</v>
      </c>
      <c r="J532" s="77" t="s">
        <v>7591</v>
      </c>
      <c r="K532" s="77" t="s">
        <v>793</v>
      </c>
      <c r="L532" s="77" t="s">
        <v>7592</v>
      </c>
      <c r="M532" s="102" t="str">
        <f t="shared" si="54"/>
        <v>ORTA LOPEZ JOSE BERNANRDO</v>
      </c>
      <c r="N532" s="102" t="s">
        <v>7593</v>
      </c>
      <c r="O532" s="102" t="s">
        <v>7594</v>
      </c>
      <c r="P532" s="77" t="s">
        <v>1953</v>
      </c>
      <c r="Q532" s="79">
        <v>27992</v>
      </c>
      <c r="R532" s="77">
        <f t="shared" si="55"/>
        <v>20</v>
      </c>
      <c r="S532" s="77">
        <f t="shared" si="56"/>
        <v>8</v>
      </c>
      <c r="T532" s="77">
        <f t="shared" si="57"/>
        <v>1976</v>
      </c>
      <c r="U532" s="103">
        <f t="shared" ca="1" si="58"/>
        <v>50.178082191780824</v>
      </c>
      <c r="V532" s="102" t="s">
        <v>342</v>
      </c>
      <c r="W532" s="102" t="s">
        <v>7595</v>
      </c>
      <c r="X532" s="77" t="s">
        <v>7596</v>
      </c>
      <c r="Y532" s="77" t="s">
        <v>7597</v>
      </c>
      <c r="Z532" s="12" t="s">
        <v>170</v>
      </c>
      <c r="AA532" s="12" t="s">
        <v>636</v>
      </c>
      <c r="AB532" s="77" t="s">
        <v>2304</v>
      </c>
      <c r="AC532" s="12" t="s">
        <v>313</v>
      </c>
      <c r="AD532" s="12" t="s">
        <v>314</v>
      </c>
      <c r="AE532" s="12">
        <v>90</v>
      </c>
      <c r="AF532" s="13" t="s">
        <v>315</v>
      </c>
      <c r="AG532" s="12" t="s">
        <v>291</v>
      </c>
      <c r="AH532" s="104" t="s">
        <v>316</v>
      </c>
      <c r="AI532" s="12" t="s">
        <v>317</v>
      </c>
      <c r="AJ532" s="12" t="s">
        <v>318</v>
      </c>
      <c r="AK532" s="78" t="s">
        <v>7598</v>
      </c>
      <c r="AL532" s="143" t="s">
        <v>7599</v>
      </c>
      <c r="AM532" s="78" t="s">
        <v>7600</v>
      </c>
      <c r="AN532" s="78" t="s">
        <v>1531</v>
      </c>
      <c r="AO532" s="78" t="s">
        <v>398</v>
      </c>
      <c r="AP532" s="78" t="s">
        <v>398</v>
      </c>
      <c r="AQ532" s="78" t="s">
        <v>7601</v>
      </c>
      <c r="AR532" s="77">
        <v>150</v>
      </c>
      <c r="AS532" s="77" t="s">
        <v>581</v>
      </c>
      <c r="AT532" s="78" t="s">
        <v>483</v>
      </c>
      <c r="AU532" s="78" t="s">
        <v>483</v>
      </c>
      <c r="AV532" s="77">
        <v>78398</v>
      </c>
      <c r="AW532" s="77" t="s">
        <v>329</v>
      </c>
      <c r="AX532" s="78" t="s">
        <v>329</v>
      </c>
      <c r="AY532" s="78" t="s">
        <v>329</v>
      </c>
      <c r="AZ532" s="78"/>
      <c r="BA532" s="78"/>
      <c r="BB532" s="137"/>
      <c r="BC532" s="78"/>
      <c r="BD532" s="78" t="s">
        <v>7600</v>
      </c>
      <c r="BE532" s="78" t="s">
        <v>1531</v>
      </c>
      <c r="BF532" s="78" t="s">
        <v>7602</v>
      </c>
      <c r="BG532" s="77" t="s">
        <v>444</v>
      </c>
      <c r="BH532" s="78" t="s">
        <v>3815</v>
      </c>
      <c r="BI532" s="78">
        <v>3</v>
      </c>
      <c r="BJ532" s="78"/>
      <c r="BK532" s="78" t="s">
        <v>571</v>
      </c>
      <c r="BL532" s="78">
        <v>21</v>
      </c>
      <c r="BM532" s="78"/>
      <c r="BN532" s="78" t="s">
        <v>3911</v>
      </c>
      <c r="BO532" s="78">
        <v>20</v>
      </c>
      <c r="BP532" s="78"/>
      <c r="BQ532" s="78" t="s">
        <v>3911</v>
      </c>
      <c r="BR532" s="78">
        <v>18</v>
      </c>
      <c r="BS532" s="78"/>
      <c r="BT532" s="78"/>
      <c r="BU532" s="78"/>
      <c r="BV532" s="78"/>
      <c r="BW532" s="78"/>
      <c r="BX532" s="78"/>
      <c r="BY532" s="78"/>
      <c r="BZ532" s="78"/>
      <c r="CA532" s="78"/>
      <c r="CB532" s="78"/>
      <c r="CC532" s="78"/>
      <c r="CD532" s="78"/>
    </row>
    <row r="533" spans="1:82" x14ac:dyDescent="0.2">
      <c r="A533" s="77">
        <v>347</v>
      </c>
      <c r="B533" s="77" t="s">
        <v>7605</v>
      </c>
      <c r="C533" s="78" t="s">
        <v>335</v>
      </c>
      <c r="D533" s="77" t="s">
        <v>133</v>
      </c>
      <c r="E533" s="77">
        <v>47998023114</v>
      </c>
      <c r="F533" s="79">
        <v>42506</v>
      </c>
      <c r="G533" s="79">
        <v>44835</v>
      </c>
      <c r="H533" s="101">
        <f t="shared" si="48"/>
        <v>44925</v>
      </c>
      <c r="I533" s="77" t="s">
        <v>290</v>
      </c>
      <c r="J533" s="77" t="s">
        <v>4335</v>
      </c>
      <c r="K533" s="77" t="s">
        <v>405</v>
      </c>
      <c r="L533" s="77" t="s">
        <v>7604</v>
      </c>
      <c r="M533" s="102" t="str">
        <f t="shared" si="54"/>
        <v>RAMOS REYES MARIA ISABEL</v>
      </c>
      <c r="N533" s="102" t="s">
        <v>7606</v>
      </c>
      <c r="O533" s="102" t="s">
        <v>7607</v>
      </c>
      <c r="P533" s="77" t="s">
        <v>1954</v>
      </c>
      <c r="Q533" s="79">
        <v>29473</v>
      </c>
      <c r="R533" s="77">
        <f t="shared" si="55"/>
        <v>9</v>
      </c>
      <c r="S533" s="77">
        <f t="shared" si="56"/>
        <v>9</v>
      </c>
      <c r="T533" s="77">
        <f t="shared" si="57"/>
        <v>1980</v>
      </c>
      <c r="U533" s="103">
        <f t="shared" ca="1" si="58"/>
        <v>46.12054794520548</v>
      </c>
      <c r="V533" s="102"/>
      <c r="W533" s="102" t="s">
        <v>7608</v>
      </c>
      <c r="X533" s="77"/>
      <c r="Y533" s="77" t="s">
        <v>234</v>
      </c>
      <c r="Z533" s="12" t="s">
        <v>237</v>
      </c>
      <c r="AA533" s="12" t="s">
        <v>636</v>
      </c>
      <c r="AB533" s="12" t="s">
        <v>1583</v>
      </c>
      <c r="AC533" s="77" t="s">
        <v>313</v>
      </c>
      <c r="AD533" s="77" t="s">
        <v>314</v>
      </c>
      <c r="AE533" s="77">
        <v>90</v>
      </c>
      <c r="AF533" s="102" t="s">
        <v>671</v>
      </c>
      <c r="AG533" s="12" t="s">
        <v>290</v>
      </c>
      <c r="AH533" s="104" t="s">
        <v>672</v>
      </c>
      <c r="AI533" s="12" t="s">
        <v>317</v>
      </c>
      <c r="AJ533" s="12" t="s">
        <v>318</v>
      </c>
      <c r="AK533" s="78"/>
      <c r="AL533" s="78"/>
      <c r="AM533" s="78"/>
      <c r="AN533" s="78"/>
      <c r="AO533" s="78"/>
      <c r="AP533" s="78"/>
      <c r="AQ533" s="78"/>
      <c r="AR533" s="77"/>
      <c r="AS533" s="77"/>
      <c r="AT533" s="78"/>
      <c r="AU533" s="78"/>
      <c r="AV533" s="77"/>
      <c r="AW533" s="77"/>
      <c r="AX533" s="78"/>
      <c r="AY533" s="78"/>
      <c r="AZ533" s="78"/>
      <c r="BA533" s="78"/>
      <c r="BB533" s="137"/>
      <c r="BC533" s="78"/>
      <c r="BD533" s="78"/>
      <c r="BE533" s="78"/>
      <c r="BF533" s="78"/>
      <c r="BG533" s="77"/>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row>
    <row r="534" spans="1:82" ht="15" x14ac:dyDescent="0.25">
      <c r="A534" s="77">
        <v>1027</v>
      </c>
      <c r="B534" s="77" t="s">
        <v>7617</v>
      </c>
      <c r="C534" s="78" t="s">
        <v>335</v>
      </c>
      <c r="D534" s="77" t="s">
        <v>105</v>
      </c>
      <c r="E534" s="77">
        <v>17169910142</v>
      </c>
      <c r="F534" s="79">
        <v>46134</v>
      </c>
      <c r="G534" s="79">
        <v>46134</v>
      </c>
      <c r="H534" s="101">
        <f t="shared" si="48"/>
        <v>46224</v>
      </c>
      <c r="I534" s="77" t="s">
        <v>291</v>
      </c>
      <c r="J534" s="77" t="s">
        <v>590</v>
      </c>
      <c r="K534" s="77" t="s">
        <v>1004</v>
      </c>
      <c r="L534" s="77" t="s">
        <v>1710</v>
      </c>
      <c r="M534" s="153" t="str">
        <f t="shared" si="54"/>
        <v>PEREZ JIMENEZ FRANCISCO JAVIER</v>
      </c>
      <c r="N534" s="102" t="s">
        <v>7609</v>
      </c>
      <c r="O534" s="102" t="s">
        <v>7610</v>
      </c>
      <c r="P534" s="77" t="s">
        <v>1953</v>
      </c>
      <c r="Q534" s="79">
        <v>36403</v>
      </c>
      <c r="R534" s="77">
        <f t="shared" si="55"/>
        <v>31</v>
      </c>
      <c r="S534" s="77">
        <f t="shared" si="56"/>
        <v>8</v>
      </c>
      <c r="T534" s="77">
        <f t="shared" si="57"/>
        <v>1999</v>
      </c>
      <c r="U534" s="103">
        <f t="shared" ca="1" si="58"/>
        <v>27.134246575342466</v>
      </c>
      <c r="V534" s="102" t="s">
        <v>389</v>
      </c>
      <c r="W534" s="102" t="s">
        <v>7611</v>
      </c>
      <c r="X534" s="77" t="s">
        <v>310</v>
      </c>
      <c r="Y534" s="108" t="s">
        <v>219</v>
      </c>
      <c r="Z534" s="17" t="s">
        <v>226</v>
      </c>
      <c r="AA534" s="12" t="s">
        <v>532</v>
      </c>
      <c r="AB534" s="12" t="s">
        <v>858</v>
      </c>
      <c r="AC534" s="77" t="s">
        <v>313</v>
      </c>
      <c r="AD534" s="77" t="s">
        <v>314</v>
      </c>
      <c r="AE534" s="77">
        <v>90</v>
      </c>
      <c r="AF534" s="13" t="s">
        <v>859</v>
      </c>
      <c r="AG534" s="12" t="s">
        <v>291</v>
      </c>
      <c r="AH534" s="104" t="s">
        <v>2338</v>
      </c>
      <c r="AI534" s="12" t="s">
        <v>317</v>
      </c>
      <c r="AJ534" s="12" t="s">
        <v>318</v>
      </c>
      <c r="AK534" s="78" t="s">
        <v>7612</v>
      </c>
      <c r="AL534" s="143" t="s">
        <v>7613</v>
      </c>
      <c r="AM534" s="78" t="s">
        <v>7625</v>
      </c>
      <c r="AN534" s="78" t="s">
        <v>401</v>
      </c>
      <c r="AO534" s="78" t="s">
        <v>398</v>
      </c>
      <c r="AP534" s="78" t="s">
        <v>398</v>
      </c>
      <c r="AQ534" s="78" t="s">
        <v>7614</v>
      </c>
      <c r="AR534" s="77">
        <v>707</v>
      </c>
      <c r="AS534" s="77" t="s">
        <v>7615</v>
      </c>
      <c r="AT534" s="78" t="s">
        <v>7616</v>
      </c>
      <c r="AU534" s="78" t="s">
        <v>7616</v>
      </c>
      <c r="AV534" s="77">
        <v>72410</v>
      </c>
      <c r="AW534" s="77" t="s">
        <v>329</v>
      </c>
      <c r="AX534" s="78" t="s">
        <v>329</v>
      </c>
      <c r="AY534" s="78" t="s">
        <v>329</v>
      </c>
      <c r="AZ534" s="78"/>
      <c r="BA534" s="78"/>
      <c r="BB534" s="137"/>
      <c r="BC534" s="78"/>
      <c r="BD534" s="78" t="s">
        <v>7625</v>
      </c>
      <c r="BE534" s="78" t="s">
        <v>401</v>
      </c>
      <c r="BF534" s="78" t="s">
        <v>7626</v>
      </c>
      <c r="BG534" s="77" t="s">
        <v>333</v>
      </c>
      <c r="BH534" s="78" t="s">
        <v>3815</v>
      </c>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row>
    <row r="535" spans="1:82" s="135" customFormat="1" ht="15" x14ac:dyDescent="0.25">
      <c r="A535" s="125">
        <v>1028</v>
      </c>
      <c r="B535" s="109" t="s">
        <v>7618</v>
      </c>
      <c r="C535" s="114" t="s">
        <v>564</v>
      </c>
      <c r="D535" s="109" t="s">
        <v>81</v>
      </c>
      <c r="E535" s="125" t="s">
        <v>7619</v>
      </c>
      <c r="F535" s="127">
        <v>46134</v>
      </c>
      <c r="G535" s="127">
        <v>46134</v>
      </c>
      <c r="H535" s="113">
        <f t="shared" si="48"/>
        <v>46224</v>
      </c>
      <c r="I535" s="125" t="s">
        <v>290</v>
      </c>
      <c r="J535" s="125" t="s">
        <v>4539</v>
      </c>
      <c r="K535" s="125" t="s">
        <v>507</v>
      </c>
      <c r="L535" s="125" t="s">
        <v>7620</v>
      </c>
      <c r="M535" s="128" t="str">
        <f t="shared" si="54"/>
        <v>ROSALES MARTINEZ JUAN DANIEL</v>
      </c>
      <c r="N535" s="128" t="s">
        <v>7621</v>
      </c>
      <c r="O535" s="128" t="s">
        <v>7622</v>
      </c>
      <c r="P535" s="125" t="s">
        <v>1953</v>
      </c>
      <c r="Q535" s="127">
        <v>34806</v>
      </c>
      <c r="R535" s="125">
        <f t="shared" si="55"/>
        <v>17</v>
      </c>
      <c r="S535" s="125">
        <f t="shared" si="56"/>
        <v>4</v>
      </c>
      <c r="T535" s="125">
        <f t="shared" si="57"/>
        <v>1995</v>
      </c>
      <c r="U535" s="142">
        <f t="shared" ca="1" si="58"/>
        <v>31.509589041095889</v>
      </c>
      <c r="V535" s="128" t="s">
        <v>389</v>
      </c>
      <c r="W535" s="128" t="s">
        <v>7623</v>
      </c>
      <c r="X535" s="125" t="s">
        <v>454</v>
      </c>
      <c r="Y535" s="125" t="s">
        <v>115</v>
      </c>
      <c r="Z535" s="109" t="s">
        <v>84</v>
      </c>
      <c r="AA535" s="109" t="s">
        <v>532</v>
      </c>
      <c r="AB535" s="109" t="s">
        <v>574</v>
      </c>
      <c r="AC535" s="125" t="s">
        <v>313</v>
      </c>
      <c r="AD535" s="125" t="s">
        <v>314</v>
      </c>
      <c r="AE535" s="125">
        <v>90</v>
      </c>
      <c r="AF535" s="114" t="s">
        <v>710</v>
      </c>
      <c r="AG535" s="109" t="s">
        <v>290</v>
      </c>
      <c r="AH535" s="114" t="s">
        <v>575</v>
      </c>
      <c r="AI535" s="109" t="s">
        <v>317</v>
      </c>
      <c r="AJ535" s="109" t="s">
        <v>318</v>
      </c>
      <c r="AK535" s="128" t="s">
        <v>7624</v>
      </c>
      <c r="AL535" s="149" t="s">
        <v>7627</v>
      </c>
      <c r="AM535" s="128" t="s">
        <v>7628</v>
      </c>
      <c r="AN535" s="128" t="s">
        <v>439</v>
      </c>
      <c r="AO535" s="128" t="s">
        <v>398</v>
      </c>
      <c r="AP535" s="128" t="s">
        <v>398</v>
      </c>
      <c r="AQ535" s="128" t="s">
        <v>7629</v>
      </c>
      <c r="AR535" s="125" t="s">
        <v>642</v>
      </c>
      <c r="AS535" s="125" t="s">
        <v>581</v>
      </c>
      <c r="AT535" s="128" t="s">
        <v>624</v>
      </c>
      <c r="AU535" s="128" t="s">
        <v>583</v>
      </c>
      <c r="AV535" s="125">
        <v>45680</v>
      </c>
      <c r="AW535" s="128" t="s">
        <v>329</v>
      </c>
      <c r="AX535" s="128" t="s">
        <v>329</v>
      </c>
      <c r="AY535" s="128" t="s">
        <v>329</v>
      </c>
      <c r="AZ535" s="125"/>
      <c r="BA535" s="125"/>
      <c r="BB535" s="150"/>
      <c r="BC535" s="125"/>
      <c r="BD535" s="128" t="s">
        <v>7630</v>
      </c>
      <c r="BE535" s="128" t="s">
        <v>478</v>
      </c>
      <c r="BF535" s="128" t="s">
        <v>7631</v>
      </c>
      <c r="BG535" s="125" t="s">
        <v>333</v>
      </c>
      <c r="BH535" s="128"/>
      <c r="BI535" s="125">
        <v>3</v>
      </c>
      <c r="BJ535" s="125"/>
      <c r="BK535" s="125" t="s">
        <v>571</v>
      </c>
      <c r="BL535" s="125">
        <v>2</v>
      </c>
      <c r="BM535" s="125"/>
      <c r="BN535" s="125" t="s">
        <v>3911</v>
      </c>
      <c r="BO535" s="125">
        <v>11</v>
      </c>
      <c r="BP535" s="125"/>
      <c r="BQ535" s="125" t="s">
        <v>3911</v>
      </c>
      <c r="BR535" s="125">
        <v>11</v>
      </c>
      <c r="BS535" s="125"/>
      <c r="BT535" s="125"/>
      <c r="BU535" s="125"/>
      <c r="BV535" s="125"/>
      <c r="BW535" s="125"/>
      <c r="BX535" s="125"/>
      <c r="BY535" s="125"/>
      <c r="BZ535" s="125"/>
      <c r="CA535" s="125"/>
      <c r="CB535" s="125"/>
      <c r="CC535" s="125"/>
      <c r="CD535" s="125"/>
    </row>
    <row r="536" spans="1:82" ht="15" x14ac:dyDescent="0.25">
      <c r="A536" s="77">
        <v>1029</v>
      </c>
      <c r="B536" s="12" t="s">
        <v>7632</v>
      </c>
      <c r="C536" s="13" t="s">
        <v>564</v>
      </c>
      <c r="D536" s="107" t="s">
        <v>81</v>
      </c>
      <c r="E536" s="77">
        <v>75129436194</v>
      </c>
      <c r="F536" s="79">
        <v>46134</v>
      </c>
      <c r="G536" s="79">
        <v>46134</v>
      </c>
      <c r="H536" s="101">
        <f t="shared" si="48"/>
        <v>46224</v>
      </c>
      <c r="I536" s="77" t="s">
        <v>290</v>
      </c>
      <c r="J536" s="77" t="s">
        <v>4388</v>
      </c>
      <c r="K536" s="77" t="s">
        <v>882</v>
      </c>
      <c r="L536" s="77" t="s">
        <v>1748</v>
      </c>
      <c r="M536" s="102" t="str">
        <f t="shared" si="54"/>
        <v>SOTO OCHOA FRANCISCO</v>
      </c>
      <c r="N536" s="102" t="s">
        <v>7633</v>
      </c>
      <c r="O536" s="102" t="s">
        <v>7634</v>
      </c>
      <c r="P536" s="77" t="s">
        <v>1953</v>
      </c>
      <c r="Q536" s="79">
        <v>34638</v>
      </c>
      <c r="R536" s="77">
        <f t="shared" si="55"/>
        <v>31</v>
      </c>
      <c r="S536" s="77">
        <f t="shared" si="56"/>
        <v>10</v>
      </c>
      <c r="T536" s="77">
        <f t="shared" si="57"/>
        <v>1994</v>
      </c>
      <c r="U536" s="103">
        <f t="shared" ca="1" si="58"/>
        <v>31.969863013698632</v>
      </c>
      <c r="V536" s="102" t="s">
        <v>389</v>
      </c>
      <c r="W536" s="102" t="s">
        <v>7635</v>
      </c>
      <c r="X536" s="77" t="s">
        <v>454</v>
      </c>
      <c r="Y536" s="77" t="s">
        <v>115</v>
      </c>
      <c r="Z536" s="12" t="s">
        <v>84</v>
      </c>
      <c r="AA536" s="12" t="s">
        <v>532</v>
      </c>
      <c r="AB536" s="12" t="s">
        <v>574</v>
      </c>
      <c r="AC536" s="77" t="s">
        <v>313</v>
      </c>
      <c r="AD536" s="77" t="s">
        <v>314</v>
      </c>
      <c r="AE536" s="77">
        <v>90</v>
      </c>
      <c r="AF536" s="13" t="s">
        <v>710</v>
      </c>
      <c r="AG536" s="12" t="s">
        <v>290</v>
      </c>
      <c r="AH536" s="13" t="s">
        <v>575</v>
      </c>
      <c r="AI536" s="12" t="s">
        <v>317</v>
      </c>
      <c r="AJ536" s="12" t="s">
        <v>318</v>
      </c>
      <c r="AK536" s="78" t="s">
        <v>7636</v>
      </c>
      <c r="AL536" s="143" t="s">
        <v>7637</v>
      </c>
      <c r="AM536" s="78" t="s">
        <v>7638</v>
      </c>
      <c r="AN536" s="78" t="s">
        <v>401</v>
      </c>
      <c r="AO536" s="78" t="s">
        <v>398</v>
      </c>
      <c r="AP536" s="78" t="s">
        <v>398</v>
      </c>
      <c r="AQ536" s="78" t="s">
        <v>7639</v>
      </c>
      <c r="AR536" s="77">
        <v>1555</v>
      </c>
      <c r="AS536" s="77">
        <v>103</v>
      </c>
      <c r="AT536" s="78" t="s">
        <v>116</v>
      </c>
      <c r="AU536" s="78" t="s">
        <v>583</v>
      </c>
      <c r="AV536" s="77">
        <v>44190</v>
      </c>
      <c r="AW536" s="77" t="s">
        <v>329</v>
      </c>
      <c r="AX536" s="78" t="s">
        <v>329</v>
      </c>
      <c r="AY536" s="78" t="s">
        <v>329</v>
      </c>
      <c r="AZ536" s="78"/>
      <c r="BA536" s="78"/>
      <c r="BB536" s="137"/>
      <c r="BC536" s="78"/>
      <c r="BD536" s="78" t="s">
        <v>7640</v>
      </c>
      <c r="BE536" s="78" t="s">
        <v>401</v>
      </c>
      <c r="BF536" s="78" t="s">
        <v>7641</v>
      </c>
      <c r="BG536" s="77" t="s">
        <v>7642</v>
      </c>
      <c r="BH536" s="78" t="s">
        <v>3815</v>
      </c>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row>
    <row r="537" spans="1:82" s="116" customFormat="1" ht="15" x14ac:dyDescent="0.25">
      <c r="A537" s="125">
        <v>1030</v>
      </c>
      <c r="B537" s="109" t="s">
        <v>7872</v>
      </c>
      <c r="C537" s="114" t="s">
        <v>564</v>
      </c>
      <c r="D537" s="109" t="s">
        <v>81</v>
      </c>
      <c r="E537" s="109">
        <v>38250787587</v>
      </c>
      <c r="F537" s="127">
        <v>46139</v>
      </c>
      <c r="G537" s="127">
        <v>46139</v>
      </c>
      <c r="H537" s="113">
        <f t="shared" si="48"/>
        <v>46229</v>
      </c>
      <c r="I537" s="125" t="s">
        <v>290</v>
      </c>
      <c r="J537" s="125" t="s">
        <v>365</v>
      </c>
      <c r="K537" s="125" t="s">
        <v>4449</v>
      </c>
      <c r="L537" s="125" t="s">
        <v>7644</v>
      </c>
      <c r="M537" s="128" t="str">
        <f t="shared" si="54"/>
        <v>RODRIGUEZ  VELAZQUEZ FERNANDO ALEXANDER</v>
      </c>
      <c r="N537" s="128" t="s">
        <v>7645</v>
      </c>
      <c r="O537" s="128" t="s">
        <v>7646</v>
      </c>
      <c r="P537" s="125" t="s">
        <v>1953</v>
      </c>
      <c r="Q537" s="127">
        <v>39208</v>
      </c>
      <c r="R537" s="125">
        <f t="shared" si="55"/>
        <v>6</v>
      </c>
      <c r="S537" s="125">
        <f t="shared" si="56"/>
        <v>5</v>
      </c>
      <c r="T537" s="125">
        <f t="shared" si="57"/>
        <v>2007</v>
      </c>
      <c r="U537" s="142">
        <f t="shared" ca="1" si="58"/>
        <v>19.449315068493149</v>
      </c>
      <c r="V537" s="128" t="s">
        <v>389</v>
      </c>
      <c r="W537" s="128" t="s">
        <v>7647</v>
      </c>
      <c r="X537" s="125" t="s">
        <v>454</v>
      </c>
      <c r="Y537" s="125" t="s">
        <v>115</v>
      </c>
      <c r="Z537" s="109" t="s">
        <v>84</v>
      </c>
      <c r="AA537" s="109" t="s">
        <v>532</v>
      </c>
      <c r="AB537" s="109" t="s">
        <v>574</v>
      </c>
      <c r="AC537" s="125" t="s">
        <v>313</v>
      </c>
      <c r="AD537" s="125" t="s">
        <v>314</v>
      </c>
      <c r="AE537" s="125">
        <v>90</v>
      </c>
      <c r="AF537" s="114" t="s">
        <v>710</v>
      </c>
      <c r="AG537" s="109" t="s">
        <v>290</v>
      </c>
      <c r="AH537" s="114" t="s">
        <v>575</v>
      </c>
      <c r="AI537" s="109" t="s">
        <v>317</v>
      </c>
      <c r="AJ537" s="109" t="s">
        <v>318</v>
      </c>
      <c r="AK537" s="110" t="s">
        <v>7648</v>
      </c>
      <c r="AL537" s="145" t="s">
        <v>7649</v>
      </c>
      <c r="AM537" s="110" t="s">
        <v>7650</v>
      </c>
      <c r="AN537" s="110" t="s">
        <v>3581</v>
      </c>
      <c r="AO537" s="110" t="s">
        <v>398</v>
      </c>
      <c r="AP537" s="110" t="s">
        <v>398</v>
      </c>
      <c r="AQ537" s="110" t="s">
        <v>7651</v>
      </c>
      <c r="AR537" s="125" t="s">
        <v>7652</v>
      </c>
      <c r="AS537" s="125" t="s">
        <v>581</v>
      </c>
      <c r="AT537" s="110" t="s">
        <v>624</v>
      </c>
      <c r="AU537" s="110" t="s">
        <v>583</v>
      </c>
      <c r="AV537" s="125">
        <v>45685</v>
      </c>
      <c r="AW537" s="125" t="s">
        <v>329</v>
      </c>
      <c r="AX537" s="110" t="s">
        <v>329</v>
      </c>
      <c r="AY537" s="110" t="s">
        <v>329</v>
      </c>
      <c r="AZ537" s="110"/>
      <c r="BA537" s="110"/>
      <c r="BB537" s="138"/>
      <c r="BC537" s="110"/>
      <c r="BD537" s="110" t="s">
        <v>7653</v>
      </c>
      <c r="BE537" s="110" t="s">
        <v>3579</v>
      </c>
      <c r="BF537" s="110" t="s">
        <v>7654</v>
      </c>
      <c r="BG537" s="125" t="s">
        <v>1406</v>
      </c>
      <c r="BH537" s="110" t="s">
        <v>3815</v>
      </c>
      <c r="BI537" s="110">
        <v>0</v>
      </c>
      <c r="BJ537" s="110"/>
      <c r="BK537" s="110"/>
      <c r="BL537" s="110"/>
      <c r="BM537" s="110"/>
      <c r="BN537" s="110"/>
      <c r="BO537" s="110"/>
      <c r="BP537" s="110"/>
      <c r="BQ537" s="110"/>
      <c r="BR537" s="110"/>
      <c r="BS537" s="110"/>
      <c r="BT537" s="110"/>
      <c r="BU537" s="110"/>
      <c r="BV537" s="110"/>
      <c r="BW537" s="110"/>
      <c r="BX537" s="110"/>
      <c r="BY537" s="110"/>
      <c r="BZ537" s="110"/>
      <c r="CA537" s="110"/>
      <c r="CB537" s="110"/>
      <c r="CC537" s="110"/>
      <c r="CD537" s="110"/>
    </row>
    <row r="538" spans="1:82" s="116" customFormat="1" ht="15" x14ac:dyDescent="0.25">
      <c r="A538" s="125">
        <v>1031</v>
      </c>
      <c r="B538" s="125" t="s">
        <v>7655</v>
      </c>
      <c r="C538" s="110" t="s">
        <v>335</v>
      </c>
      <c r="D538" s="125" t="s">
        <v>127</v>
      </c>
      <c r="E538" s="125">
        <v>18159986902</v>
      </c>
      <c r="F538" s="127">
        <v>46139</v>
      </c>
      <c r="G538" s="127">
        <v>46139</v>
      </c>
      <c r="H538" s="113">
        <f t="shared" si="48"/>
        <v>46229</v>
      </c>
      <c r="I538" s="125" t="s">
        <v>290</v>
      </c>
      <c r="J538" s="125" t="s">
        <v>507</v>
      </c>
      <c r="K538" s="125" t="s">
        <v>7656</v>
      </c>
      <c r="L538" s="125" t="s">
        <v>7666</v>
      </c>
      <c r="M538" s="128" t="str">
        <f t="shared" si="54"/>
        <v>MARTINEZ ROAN RAFAEL</v>
      </c>
      <c r="N538" s="128" t="s">
        <v>7657</v>
      </c>
      <c r="O538" s="128" t="s">
        <v>7658</v>
      </c>
      <c r="P538" s="125" t="s">
        <v>1953</v>
      </c>
      <c r="Q538" s="127">
        <v>36441</v>
      </c>
      <c r="R538" s="125">
        <f t="shared" si="55"/>
        <v>8</v>
      </c>
      <c r="S538" s="125">
        <f t="shared" si="56"/>
        <v>10</v>
      </c>
      <c r="T538" s="125">
        <f t="shared" si="57"/>
        <v>1999</v>
      </c>
      <c r="U538" s="142">
        <f t="shared" ca="1" si="58"/>
        <v>27.030136986301368</v>
      </c>
      <c r="V538" s="128" t="s">
        <v>342</v>
      </c>
      <c r="W538" s="128" t="s">
        <v>7659</v>
      </c>
      <c r="X538" s="125" t="s">
        <v>5795</v>
      </c>
      <c r="Y538" s="109" t="s">
        <v>131</v>
      </c>
      <c r="Z538" s="109" t="s">
        <v>130</v>
      </c>
      <c r="AA538" s="109" t="s">
        <v>347</v>
      </c>
      <c r="AB538" s="109" t="s">
        <v>2290</v>
      </c>
      <c r="AC538" s="109" t="s">
        <v>313</v>
      </c>
      <c r="AD538" s="109" t="s">
        <v>314</v>
      </c>
      <c r="AE538" s="109">
        <v>90</v>
      </c>
      <c r="AF538" s="114" t="s">
        <v>413</v>
      </c>
      <c r="AG538" s="109" t="s">
        <v>291</v>
      </c>
      <c r="AH538" s="115" t="s">
        <v>2339</v>
      </c>
      <c r="AI538" s="109" t="s">
        <v>317</v>
      </c>
      <c r="AJ538" s="109" t="s">
        <v>318</v>
      </c>
      <c r="AK538" s="110" t="s">
        <v>7660</v>
      </c>
      <c r="AL538" s="145" t="s">
        <v>7661</v>
      </c>
      <c r="AM538" s="110" t="s">
        <v>7662</v>
      </c>
      <c r="AN538" s="110" t="s">
        <v>381</v>
      </c>
      <c r="AO538" s="110" t="s">
        <v>398</v>
      </c>
      <c r="AP538" s="110" t="s">
        <v>398</v>
      </c>
      <c r="AQ538" s="110" t="s">
        <v>7663</v>
      </c>
      <c r="AR538" s="125" t="s">
        <v>983</v>
      </c>
      <c r="AS538" s="125" t="s">
        <v>983</v>
      </c>
      <c r="AT538" s="110" t="s">
        <v>483</v>
      </c>
      <c r="AU538" s="110" t="s">
        <v>483</v>
      </c>
      <c r="AV538" s="125">
        <v>78218</v>
      </c>
      <c r="AW538" s="125" t="s">
        <v>329</v>
      </c>
      <c r="AX538" s="110" t="s">
        <v>329</v>
      </c>
      <c r="AY538" s="110" t="s">
        <v>329</v>
      </c>
      <c r="AZ538" s="110"/>
      <c r="BA538" s="110"/>
      <c r="BB538" s="138"/>
      <c r="BC538" s="110"/>
      <c r="BD538" s="110" t="s">
        <v>7662</v>
      </c>
      <c r="BE538" s="110" t="s">
        <v>381</v>
      </c>
      <c r="BF538" s="110" t="s">
        <v>7664</v>
      </c>
      <c r="BG538" s="125" t="s">
        <v>333</v>
      </c>
      <c r="BH538" s="110" t="s">
        <v>334</v>
      </c>
      <c r="BI538" s="110">
        <v>1</v>
      </c>
      <c r="BJ538" s="110" t="s">
        <v>7665</v>
      </c>
      <c r="BK538" s="110" t="s">
        <v>571</v>
      </c>
      <c r="BL538" s="110">
        <v>5</v>
      </c>
      <c r="BM538" s="110"/>
      <c r="BN538" s="110"/>
      <c r="BO538" s="110"/>
      <c r="BP538" s="110"/>
      <c r="BQ538" s="110"/>
      <c r="BR538" s="110"/>
      <c r="BS538" s="110"/>
      <c r="BT538" s="110"/>
      <c r="BU538" s="110"/>
      <c r="BV538" s="110"/>
      <c r="BW538" s="110"/>
      <c r="BX538" s="110"/>
      <c r="BY538" s="110"/>
      <c r="BZ538" s="110"/>
      <c r="CA538" s="110"/>
      <c r="CB538" s="110"/>
      <c r="CC538" s="110"/>
      <c r="CD538" s="110"/>
    </row>
    <row r="539" spans="1:82" ht="15" x14ac:dyDescent="0.25">
      <c r="A539" s="77">
        <v>1032</v>
      </c>
      <c r="B539" s="77" t="s">
        <v>7873</v>
      </c>
      <c r="C539" s="78" t="s">
        <v>335</v>
      </c>
      <c r="D539" s="77" t="s">
        <v>228</v>
      </c>
      <c r="E539" s="77">
        <v>41108002316</v>
      </c>
      <c r="F539" s="79">
        <v>46117</v>
      </c>
      <c r="G539" s="79">
        <v>46142</v>
      </c>
      <c r="H539" s="101">
        <f t="shared" si="48"/>
        <v>46232</v>
      </c>
      <c r="I539" s="77" t="s">
        <v>290</v>
      </c>
      <c r="J539" s="77" t="s">
        <v>507</v>
      </c>
      <c r="K539" s="77" t="s">
        <v>384</v>
      </c>
      <c r="L539" s="77" t="s">
        <v>7667</v>
      </c>
      <c r="M539" s="102" t="str">
        <f t="shared" si="54"/>
        <v>MARTINEZ SANCHEZ DOMINGO</v>
      </c>
      <c r="N539" s="102" t="s">
        <v>7668</v>
      </c>
      <c r="O539" s="102" t="s">
        <v>7669</v>
      </c>
      <c r="P539" s="77" t="s">
        <v>1953</v>
      </c>
      <c r="Q539" s="79">
        <v>29261</v>
      </c>
      <c r="R539" s="77">
        <f t="shared" si="55"/>
        <v>10</v>
      </c>
      <c r="S539" s="77">
        <f t="shared" si="56"/>
        <v>2</v>
      </c>
      <c r="T539" s="77">
        <f t="shared" si="57"/>
        <v>1980</v>
      </c>
      <c r="U539" s="103">
        <f t="shared" ca="1" si="58"/>
        <v>46.701369863013696</v>
      </c>
      <c r="V539" s="102" t="s">
        <v>342</v>
      </c>
      <c r="W539" s="102" t="s">
        <v>7670</v>
      </c>
      <c r="X539" s="77" t="s">
        <v>454</v>
      </c>
      <c r="Y539" s="77" t="s">
        <v>7440</v>
      </c>
      <c r="Z539" s="12" t="s">
        <v>149</v>
      </c>
      <c r="AA539" s="12" t="s">
        <v>347</v>
      </c>
      <c r="AB539" s="12" t="s">
        <v>2293</v>
      </c>
      <c r="AC539" s="12" t="s">
        <v>313</v>
      </c>
      <c r="AD539" s="12" t="s">
        <v>314</v>
      </c>
      <c r="AE539" s="12">
        <v>90</v>
      </c>
      <c r="AF539" s="13" t="s">
        <v>949</v>
      </c>
      <c r="AG539" s="77" t="s">
        <v>290</v>
      </c>
      <c r="AH539" s="78" t="s">
        <v>950</v>
      </c>
      <c r="AI539" s="77" t="s">
        <v>317</v>
      </c>
      <c r="AJ539" s="77" t="s">
        <v>318</v>
      </c>
      <c r="AK539" s="78" t="s">
        <v>7671</v>
      </c>
      <c r="AL539" s="143" t="s">
        <v>7672</v>
      </c>
      <c r="AM539" s="78" t="s">
        <v>7673</v>
      </c>
      <c r="AN539" s="78" t="s">
        <v>381</v>
      </c>
      <c r="AO539" s="78" t="s">
        <v>398</v>
      </c>
      <c r="AP539" s="78" t="s">
        <v>398</v>
      </c>
      <c r="AQ539" s="78" t="s">
        <v>7674</v>
      </c>
      <c r="AR539" s="77" t="s">
        <v>699</v>
      </c>
      <c r="AS539" s="77" t="s">
        <v>581</v>
      </c>
      <c r="AT539" s="78" t="s">
        <v>145</v>
      </c>
      <c r="AU539" s="78" t="s">
        <v>483</v>
      </c>
      <c r="AV539" s="77">
        <v>79640</v>
      </c>
      <c r="AW539" s="77" t="s">
        <v>329</v>
      </c>
      <c r="AX539" s="78" t="s">
        <v>329</v>
      </c>
      <c r="AY539" s="78" t="s">
        <v>329</v>
      </c>
      <c r="AZ539" s="78"/>
      <c r="BA539" s="78"/>
      <c r="BB539" s="137"/>
      <c r="BC539" s="78"/>
      <c r="BD539" s="78" t="s">
        <v>7673</v>
      </c>
      <c r="BE539" s="78" t="s">
        <v>381</v>
      </c>
      <c r="BF539" s="78" t="s">
        <v>7675</v>
      </c>
      <c r="BG539" s="77"/>
      <c r="BH539" s="78" t="s">
        <v>3815</v>
      </c>
      <c r="BI539" s="78">
        <v>1</v>
      </c>
      <c r="BJ539" s="78"/>
      <c r="BK539" s="78" t="s">
        <v>571</v>
      </c>
      <c r="BL539" s="78">
        <v>13</v>
      </c>
      <c r="BM539" s="78"/>
      <c r="BN539" s="78"/>
      <c r="BO539" s="78"/>
      <c r="BP539" s="78"/>
      <c r="BQ539" s="78"/>
      <c r="BR539" s="78"/>
      <c r="BS539" s="78"/>
      <c r="BT539" s="78"/>
      <c r="BU539" s="78"/>
      <c r="BV539" s="78"/>
      <c r="BW539" s="78"/>
      <c r="BX539" s="78"/>
      <c r="BY539" s="78"/>
      <c r="BZ539" s="78"/>
      <c r="CA539" s="78"/>
      <c r="CB539" s="78"/>
      <c r="CC539" s="78"/>
      <c r="CD539" s="78"/>
    </row>
    <row r="540" spans="1:82" ht="15" x14ac:dyDescent="0.25">
      <c r="A540" s="77">
        <v>1033</v>
      </c>
      <c r="B540" s="12" t="s">
        <v>7676</v>
      </c>
      <c r="C540" s="13" t="s">
        <v>564</v>
      </c>
      <c r="D540" s="107" t="s">
        <v>81</v>
      </c>
      <c r="E540" s="77">
        <v>16130092733</v>
      </c>
      <c r="F540" s="79">
        <v>46146</v>
      </c>
      <c r="G540" s="79">
        <v>46146</v>
      </c>
      <c r="H540" s="101">
        <f t="shared" si="48"/>
        <v>46236</v>
      </c>
      <c r="I540" s="77" t="s">
        <v>290</v>
      </c>
      <c r="J540" s="77" t="s">
        <v>1004</v>
      </c>
      <c r="K540" s="77" t="s">
        <v>5849</v>
      </c>
      <c r="L540" s="77" t="s">
        <v>1081</v>
      </c>
      <c r="M540" s="102" t="str">
        <f t="shared" si="54"/>
        <v>JIMENEZ PEÑA EDUARDO</v>
      </c>
      <c r="N540" s="102" t="s">
        <v>7677</v>
      </c>
      <c r="O540" s="102" t="s">
        <v>7678</v>
      </c>
      <c r="P540" s="77" t="s">
        <v>1953</v>
      </c>
      <c r="Q540" s="79">
        <v>36760</v>
      </c>
      <c r="R540" s="77">
        <f t="shared" si="55"/>
        <v>22</v>
      </c>
      <c r="S540" s="77">
        <f t="shared" si="56"/>
        <v>8</v>
      </c>
      <c r="T540" s="77">
        <f t="shared" si="57"/>
        <v>2000</v>
      </c>
      <c r="U540" s="103">
        <f t="shared" ca="1" si="58"/>
        <v>26.156164383561645</v>
      </c>
      <c r="V540" s="102" t="s">
        <v>389</v>
      </c>
      <c r="W540" s="102" t="s">
        <v>7679</v>
      </c>
      <c r="X540" s="77" t="s">
        <v>454</v>
      </c>
      <c r="Y540" s="77" t="s">
        <v>115</v>
      </c>
      <c r="Z540" s="12" t="s">
        <v>84</v>
      </c>
      <c r="AA540" s="12" t="s">
        <v>532</v>
      </c>
      <c r="AB540" s="12" t="s">
        <v>574</v>
      </c>
      <c r="AC540" s="77" t="s">
        <v>313</v>
      </c>
      <c r="AD540" s="77" t="s">
        <v>314</v>
      </c>
      <c r="AE540" s="77">
        <v>90</v>
      </c>
      <c r="AF540" s="13" t="s">
        <v>710</v>
      </c>
      <c r="AG540" s="12" t="s">
        <v>290</v>
      </c>
      <c r="AH540" s="13" t="s">
        <v>575</v>
      </c>
      <c r="AI540" s="12" t="s">
        <v>317</v>
      </c>
      <c r="AJ540" s="12" t="s">
        <v>318</v>
      </c>
      <c r="AK540" s="78" t="s">
        <v>7680</v>
      </c>
      <c r="AL540" s="143" t="s">
        <v>7681</v>
      </c>
      <c r="AM540" s="78" t="s">
        <v>7682</v>
      </c>
      <c r="AN540" s="78" t="s">
        <v>325</v>
      </c>
      <c r="AO540" s="78" t="s">
        <v>398</v>
      </c>
      <c r="AP540" s="78" t="s">
        <v>398</v>
      </c>
      <c r="AQ540" s="78" t="s">
        <v>3261</v>
      </c>
      <c r="AR540" s="77" t="s">
        <v>983</v>
      </c>
      <c r="AS540" s="77" t="s">
        <v>581</v>
      </c>
      <c r="AT540" s="78" t="s">
        <v>7683</v>
      </c>
      <c r="AU540" s="78" t="s">
        <v>1184</v>
      </c>
      <c r="AV540" s="77">
        <v>38402</v>
      </c>
      <c r="AW540" s="77" t="s">
        <v>329</v>
      </c>
      <c r="AX540" s="78" t="s">
        <v>329</v>
      </c>
      <c r="AY540" s="78" t="s">
        <v>329</v>
      </c>
      <c r="AZ540" s="78"/>
      <c r="BA540" s="78"/>
      <c r="BB540" s="137"/>
      <c r="BC540" s="78"/>
      <c r="BD540" s="78" t="s">
        <v>7684</v>
      </c>
      <c r="BE540" s="78" t="s">
        <v>325</v>
      </c>
      <c r="BF540" s="78" t="s">
        <v>7685</v>
      </c>
      <c r="BG540" s="77" t="s">
        <v>488</v>
      </c>
      <c r="BH540" s="78" t="s">
        <v>3815</v>
      </c>
      <c r="BI540" s="78">
        <v>0</v>
      </c>
      <c r="BJ540" s="78"/>
      <c r="BK540" s="78"/>
      <c r="BL540" s="78"/>
      <c r="BM540" s="78"/>
      <c r="BN540" s="78"/>
      <c r="BO540" s="78"/>
      <c r="BP540" s="78"/>
      <c r="BQ540" s="78"/>
      <c r="BR540" s="78"/>
      <c r="BS540" s="78"/>
      <c r="BT540" s="78"/>
      <c r="BU540" s="78"/>
      <c r="BV540" s="78"/>
      <c r="BW540" s="78"/>
      <c r="BX540" s="78"/>
      <c r="BY540" s="78"/>
      <c r="BZ540" s="78"/>
      <c r="CA540" s="78"/>
      <c r="CB540" s="78"/>
      <c r="CC540" s="78"/>
      <c r="CD540" s="78"/>
    </row>
    <row r="541" spans="1:82" ht="15" x14ac:dyDescent="0.25">
      <c r="A541" s="77">
        <v>1034</v>
      </c>
      <c r="B541" s="77" t="s">
        <v>7686</v>
      </c>
      <c r="C541" s="78" t="s">
        <v>1390</v>
      </c>
      <c r="D541" s="77" t="s">
        <v>281</v>
      </c>
      <c r="E541" s="77">
        <v>41119340176</v>
      </c>
      <c r="F541" s="79">
        <v>46146</v>
      </c>
      <c r="G541" s="79">
        <v>46146</v>
      </c>
      <c r="H541" s="101">
        <f t="shared" si="48"/>
        <v>46236</v>
      </c>
      <c r="I541" s="77" t="s">
        <v>291</v>
      </c>
      <c r="J541" s="77" t="s">
        <v>7687</v>
      </c>
      <c r="K541" s="77" t="s">
        <v>4410</v>
      </c>
      <c r="L541" s="77" t="s">
        <v>1931</v>
      </c>
      <c r="M541" s="102" t="str">
        <f t="shared" si="54"/>
        <v>EGUIA BRIONES ENRIQUE</v>
      </c>
      <c r="N541" s="102" t="s">
        <v>7688</v>
      </c>
      <c r="O541" s="102" t="s">
        <v>7689</v>
      </c>
      <c r="P541" s="77" t="s">
        <v>1953</v>
      </c>
      <c r="Q541" s="79">
        <v>34189</v>
      </c>
      <c r="R541" s="77">
        <f t="shared" si="55"/>
        <v>8</v>
      </c>
      <c r="S541" s="77">
        <f t="shared" si="56"/>
        <v>8</v>
      </c>
      <c r="T541" s="77">
        <f t="shared" si="57"/>
        <v>1993</v>
      </c>
      <c r="U541" s="103">
        <f t="shared" ca="1" si="58"/>
        <v>33.200000000000003</v>
      </c>
      <c r="V541" s="102" t="s">
        <v>342</v>
      </c>
      <c r="W541" s="102" t="s">
        <v>7690</v>
      </c>
      <c r="X541" s="77" t="s">
        <v>2324</v>
      </c>
      <c r="Y541" s="77" t="s">
        <v>7691</v>
      </c>
      <c r="Z541" s="12" t="s">
        <v>263</v>
      </c>
      <c r="AA541" s="12" t="s">
        <v>636</v>
      </c>
      <c r="AB541" s="77" t="s">
        <v>7692</v>
      </c>
      <c r="AC541" s="77" t="s">
        <v>313</v>
      </c>
      <c r="AD541" s="77" t="s">
        <v>314</v>
      </c>
      <c r="AE541" s="77">
        <v>90</v>
      </c>
      <c r="AF541" s="13" t="s">
        <v>375</v>
      </c>
      <c r="AG541" s="12" t="s">
        <v>291</v>
      </c>
      <c r="AH541" s="104" t="s">
        <v>1398</v>
      </c>
      <c r="AI541" s="12" t="s">
        <v>317</v>
      </c>
      <c r="AJ541" s="12" t="s">
        <v>318</v>
      </c>
      <c r="AK541" s="78" t="s">
        <v>7693</v>
      </c>
      <c r="AL541" s="143" t="s">
        <v>7694</v>
      </c>
      <c r="AM541" s="78" t="s">
        <v>7695</v>
      </c>
      <c r="AN541" s="78" t="s">
        <v>401</v>
      </c>
      <c r="AO541" s="78" t="s">
        <v>398</v>
      </c>
      <c r="AP541" s="78" t="s">
        <v>398</v>
      </c>
      <c r="AQ541" s="78" t="s">
        <v>7696</v>
      </c>
      <c r="AR541" s="77">
        <v>1484</v>
      </c>
      <c r="AS541" s="77" t="s">
        <v>7697</v>
      </c>
      <c r="AT541" s="78" t="s">
        <v>483</v>
      </c>
      <c r="AU541" s="78" t="s">
        <v>483</v>
      </c>
      <c r="AV541" s="77">
        <v>78290</v>
      </c>
      <c r="AW541" s="77" t="s">
        <v>329</v>
      </c>
      <c r="AX541" s="78" t="s">
        <v>329</v>
      </c>
      <c r="AY541" s="78" t="s">
        <v>329</v>
      </c>
      <c r="AZ541" s="78"/>
      <c r="BA541" s="78"/>
      <c r="BB541" s="137"/>
      <c r="BC541" s="78"/>
      <c r="BD541" s="78" t="s">
        <v>7695</v>
      </c>
      <c r="BE541" s="78" t="s">
        <v>401</v>
      </c>
      <c r="BF541" s="78" t="s">
        <v>7698</v>
      </c>
      <c r="BG541" s="77" t="s">
        <v>333</v>
      </c>
      <c r="BH541" s="78" t="s">
        <v>334</v>
      </c>
      <c r="BI541" s="78">
        <v>0</v>
      </c>
      <c r="BJ541" s="78"/>
      <c r="BK541" s="78"/>
      <c r="BL541" s="78"/>
      <c r="BM541" s="78"/>
      <c r="BN541" s="78"/>
      <c r="BO541" s="78"/>
      <c r="BP541" s="78"/>
      <c r="BQ541" s="78"/>
      <c r="BR541" s="78"/>
      <c r="BS541" s="78"/>
      <c r="BT541" s="78"/>
      <c r="BU541" s="78"/>
      <c r="BV541" s="78"/>
      <c r="BW541" s="78"/>
      <c r="BX541" s="78"/>
      <c r="BY541" s="78"/>
      <c r="BZ541" s="78"/>
      <c r="CA541" s="78"/>
      <c r="CB541" s="78"/>
      <c r="CC541" s="78"/>
      <c r="CD541" s="78"/>
    </row>
    <row r="542" spans="1:82" s="116" customFormat="1" ht="15" x14ac:dyDescent="0.25">
      <c r="A542" s="125">
        <v>1035</v>
      </c>
      <c r="B542" s="125" t="s">
        <v>7699</v>
      </c>
      <c r="C542" s="110" t="s">
        <v>363</v>
      </c>
      <c r="D542" s="125" t="s">
        <v>6329</v>
      </c>
      <c r="E542" s="125">
        <v>41119318792</v>
      </c>
      <c r="F542" s="127">
        <v>46146</v>
      </c>
      <c r="G542" s="127">
        <v>46146</v>
      </c>
      <c r="H542" s="113">
        <f t="shared" si="48"/>
        <v>46236</v>
      </c>
      <c r="I542" s="125" t="s">
        <v>290</v>
      </c>
      <c r="J542" s="125" t="s">
        <v>4308</v>
      </c>
      <c r="K542" s="125" t="s">
        <v>4385</v>
      </c>
      <c r="L542" s="125" t="s">
        <v>7700</v>
      </c>
      <c r="M542" s="128" t="str">
        <f t="shared" si="54"/>
        <v>JASSO ROCHA ALAN KERIM</v>
      </c>
      <c r="N542" s="128" t="s">
        <v>7701</v>
      </c>
      <c r="O542" s="128" t="s">
        <v>7702</v>
      </c>
      <c r="P542" s="125" t="s">
        <v>1953</v>
      </c>
      <c r="Q542" s="127">
        <v>34316</v>
      </c>
      <c r="R542" s="125">
        <f t="shared" si="55"/>
        <v>13</v>
      </c>
      <c r="S542" s="125">
        <f t="shared" si="56"/>
        <v>12</v>
      </c>
      <c r="T542" s="125">
        <f t="shared" si="57"/>
        <v>1993</v>
      </c>
      <c r="U542" s="142">
        <f t="shared" ca="1" si="58"/>
        <v>32.852054794520548</v>
      </c>
      <c r="V542" s="128" t="s">
        <v>452</v>
      </c>
      <c r="W542" s="128" t="s">
        <v>7707</v>
      </c>
      <c r="X542" s="125" t="s">
        <v>454</v>
      </c>
      <c r="Y542" s="125" t="s">
        <v>391</v>
      </c>
      <c r="Z542" s="125" t="s">
        <v>88</v>
      </c>
      <c r="AA542" s="125" t="s">
        <v>392</v>
      </c>
      <c r="AB542" s="125" t="s">
        <v>5085</v>
      </c>
      <c r="AC542" s="125" t="s">
        <v>313</v>
      </c>
      <c r="AD542" s="125" t="s">
        <v>314</v>
      </c>
      <c r="AE542" s="125">
        <v>90</v>
      </c>
      <c r="AF542" s="128" t="s">
        <v>375</v>
      </c>
      <c r="AG542" s="125" t="s">
        <v>290</v>
      </c>
      <c r="AH542" s="110" t="s">
        <v>473</v>
      </c>
      <c r="AI542" s="109" t="s">
        <v>317</v>
      </c>
      <c r="AJ542" s="109" t="s">
        <v>318</v>
      </c>
      <c r="AK542" s="110" t="s">
        <v>7703</v>
      </c>
      <c r="AL542" s="145" t="s">
        <v>7708</v>
      </c>
      <c r="AM542" s="110" t="s">
        <v>7704</v>
      </c>
      <c r="AN542" s="110" t="s">
        <v>602</v>
      </c>
      <c r="AO542" s="110" t="s">
        <v>398</v>
      </c>
      <c r="AP542" s="110" t="s">
        <v>398</v>
      </c>
      <c r="AQ542" s="110" t="s">
        <v>7705</v>
      </c>
      <c r="AR542" s="125">
        <v>2845</v>
      </c>
      <c r="AS542" s="125" t="s">
        <v>581</v>
      </c>
      <c r="AT542" s="110" t="s">
        <v>483</v>
      </c>
      <c r="AU542" s="110" t="s">
        <v>483</v>
      </c>
      <c r="AV542" s="125">
        <v>78396</v>
      </c>
      <c r="AW542" s="125" t="s">
        <v>329</v>
      </c>
      <c r="AX542" s="110" t="s">
        <v>329</v>
      </c>
      <c r="AY542" s="110" t="s">
        <v>329</v>
      </c>
      <c r="AZ542" s="110"/>
      <c r="BA542" s="110"/>
      <c r="BB542" s="138"/>
      <c r="BC542" s="110"/>
      <c r="BD542" s="110" t="s">
        <v>7704</v>
      </c>
      <c r="BE542" s="110" t="s">
        <v>478</v>
      </c>
      <c r="BF542" s="110" t="s">
        <v>7706</v>
      </c>
      <c r="BG542" s="125" t="s">
        <v>333</v>
      </c>
      <c r="BH542" s="110" t="s">
        <v>3815</v>
      </c>
      <c r="BI542" s="110"/>
      <c r="BJ542" s="110"/>
      <c r="BK542" s="110"/>
      <c r="BL542" s="110"/>
      <c r="BM542" s="110"/>
      <c r="BN542" s="110"/>
      <c r="BO542" s="110"/>
      <c r="BP542" s="110"/>
      <c r="BQ542" s="110"/>
      <c r="BR542" s="110"/>
      <c r="BS542" s="110"/>
      <c r="BT542" s="110"/>
      <c r="BU542" s="110"/>
      <c r="BV542" s="110"/>
      <c r="BW542" s="110"/>
      <c r="BX542" s="110"/>
      <c r="BY542" s="110"/>
      <c r="BZ542" s="110"/>
      <c r="CA542" s="110"/>
      <c r="CB542" s="110"/>
      <c r="CC542" s="110"/>
      <c r="CD542" s="110"/>
    </row>
    <row r="543" spans="1:82" ht="15" x14ac:dyDescent="0.25">
      <c r="A543" s="77">
        <v>951</v>
      </c>
      <c r="B543" s="77" t="s">
        <v>5699</v>
      </c>
      <c r="C543" s="78" t="s">
        <v>335</v>
      </c>
      <c r="D543" s="77" t="s">
        <v>116</v>
      </c>
      <c r="E543" s="77" t="s">
        <v>7709</v>
      </c>
      <c r="F543" s="79">
        <v>46146</v>
      </c>
      <c r="G543" s="79">
        <v>46146</v>
      </c>
      <c r="H543" s="101">
        <f t="shared" si="48"/>
        <v>46236</v>
      </c>
      <c r="I543" s="77" t="s">
        <v>290</v>
      </c>
      <c r="J543" s="77" t="s">
        <v>447</v>
      </c>
      <c r="K543" s="77" t="s">
        <v>704</v>
      </c>
      <c r="L543" s="77" t="s">
        <v>6479</v>
      </c>
      <c r="M543" s="102" t="str">
        <f t="shared" si="54"/>
        <v xml:space="preserve">GARCIA GONZALEZ JAIRO JOSUE </v>
      </c>
      <c r="N543" s="102" t="s">
        <v>5687</v>
      </c>
      <c r="O543" s="102" t="s">
        <v>5688</v>
      </c>
      <c r="P543" s="77" t="s">
        <v>1953</v>
      </c>
      <c r="Q543" s="79">
        <v>34125</v>
      </c>
      <c r="R543" s="77">
        <f t="shared" si="55"/>
        <v>5</v>
      </c>
      <c r="S543" s="77">
        <f t="shared" si="56"/>
        <v>6</v>
      </c>
      <c r="T543" s="77">
        <f t="shared" si="57"/>
        <v>1993</v>
      </c>
      <c r="U543" s="103">
        <f t="shared" ca="1" si="58"/>
        <v>33.375342465753427</v>
      </c>
      <c r="V543" s="102" t="s">
        <v>342</v>
      </c>
      <c r="W543" s="102" t="s">
        <v>7710</v>
      </c>
      <c r="X543" s="77" t="s">
        <v>454</v>
      </c>
      <c r="Y543" s="107" t="s">
        <v>125</v>
      </c>
      <c r="Z543" s="12" t="s">
        <v>118</v>
      </c>
      <c r="AA543" s="12" t="s">
        <v>347</v>
      </c>
      <c r="AB543" s="12">
        <v>0</v>
      </c>
      <c r="AC543" s="12" t="s">
        <v>313</v>
      </c>
      <c r="AD543" s="77" t="s">
        <v>314</v>
      </c>
      <c r="AE543" s="12">
        <v>90</v>
      </c>
      <c r="AF543" s="13" t="s">
        <v>350</v>
      </c>
      <c r="AG543" s="12" t="s">
        <v>290</v>
      </c>
      <c r="AH543" s="104" t="s">
        <v>351</v>
      </c>
      <c r="AI543" s="12" t="s">
        <v>317</v>
      </c>
      <c r="AJ543" s="12" t="s">
        <v>318</v>
      </c>
      <c r="AK543" s="78" t="s">
        <v>5690</v>
      </c>
      <c r="AL543" s="143" t="s">
        <v>5691</v>
      </c>
      <c r="AM543" s="78" t="s">
        <v>5692</v>
      </c>
      <c r="AN543" s="78" t="s">
        <v>381</v>
      </c>
      <c r="AO543" s="78" t="s">
        <v>398</v>
      </c>
      <c r="AP543" s="78" t="s">
        <v>398</v>
      </c>
      <c r="AQ543" s="78" t="s">
        <v>7711</v>
      </c>
      <c r="AR543" s="77">
        <v>3</v>
      </c>
      <c r="AS543" s="77" t="s">
        <v>581</v>
      </c>
      <c r="AT543" s="78" t="s">
        <v>5660</v>
      </c>
      <c r="AU543" s="78" t="s">
        <v>583</v>
      </c>
      <c r="AV543" s="77">
        <v>45320</v>
      </c>
      <c r="AW543" s="77" t="s">
        <v>329</v>
      </c>
      <c r="AX543" s="78" t="s">
        <v>329</v>
      </c>
      <c r="AY543" s="78" t="s">
        <v>329</v>
      </c>
      <c r="AZ543" s="78"/>
      <c r="BA543" s="78"/>
      <c r="BB543" s="137"/>
      <c r="BC543" s="78"/>
      <c r="BD543" s="78" t="s">
        <v>7712</v>
      </c>
      <c r="BE543" s="78" t="s">
        <v>381</v>
      </c>
      <c r="BF543" s="78" t="s">
        <v>5695</v>
      </c>
      <c r="BG543" s="77" t="s">
        <v>333</v>
      </c>
      <c r="BH543" s="78" t="s">
        <v>398</v>
      </c>
      <c r="BI543" s="78">
        <v>4</v>
      </c>
      <c r="BJ543" s="78"/>
      <c r="BK543" s="78" t="s">
        <v>571</v>
      </c>
      <c r="BL543" s="78">
        <v>16</v>
      </c>
      <c r="BM543" s="78"/>
      <c r="BN543" s="78" t="s">
        <v>571</v>
      </c>
      <c r="BO543" s="78">
        <v>13</v>
      </c>
      <c r="BP543" s="78"/>
      <c r="BQ543" s="78" t="s">
        <v>3911</v>
      </c>
      <c r="BR543" s="78">
        <v>13</v>
      </c>
      <c r="BS543" s="78"/>
      <c r="BT543" s="78" t="s">
        <v>571</v>
      </c>
      <c r="BU543" s="78" t="s">
        <v>3919</v>
      </c>
      <c r="BV543" s="78"/>
      <c r="BW543" s="78"/>
      <c r="BX543" s="78"/>
      <c r="BY543" s="78"/>
      <c r="BZ543" s="78"/>
      <c r="CA543" s="78"/>
      <c r="CB543" s="78"/>
      <c r="CC543" s="78"/>
      <c r="CD543" s="78"/>
    </row>
    <row r="544" spans="1:82" ht="15" x14ac:dyDescent="0.25">
      <c r="A544" s="77">
        <v>1036</v>
      </c>
      <c r="B544" s="77" t="s">
        <v>7713</v>
      </c>
      <c r="C544" s="78" t="s">
        <v>363</v>
      </c>
      <c r="D544" s="77" t="s">
        <v>232</v>
      </c>
      <c r="E544" s="77">
        <v>50179920058</v>
      </c>
      <c r="F544" s="79">
        <v>46153</v>
      </c>
      <c r="G544" s="79">
        <v>46153</v>
      </c>
      <c r="H544" s="101">
        <f t="shared" si="48"/>
        <v>46243</v>
      </c>
      <c r="I544" s="77" t="s">
        <v>290</v>
      </c>
      <c r="J544" s="77" t="s">
        <v>721</v>
      </c>
      <c r="K544" s="77" t="s">
        <v>5437</v>
      </c>
      <c r="L544" s="77" t="s">
        <v>4946</v>
      </c>
      <c r="M544" s="102" t="str">
        <f t="shared" si="54"/>
        <v>MORA BARCENA ADAN JOEL</v>
      </c>
      <c r="N544" s="102" t="s">
        <v>7714</v>
      </c>
      <c r="O544" s="102" t="s">
        <v>7715</v>
      </c>
      <c r="P544" s="77" t="s">
        <v>1953</v>
      </c>
      <c r="Q544" s="79">
        <v>36360</v>
      </c>
      <c r="R544" s="77">
        <f t="shared" si="55"/>
        <v>19</v>
      </c>
      <c r="S544" s="77">
        <f t="shared" si="56"/>
        <v>7</v>
      </c>
      <c r="T544" s="77">
        <f t="shared" si="57"/>
        <v>1999</v>
      </c>
      <c r="U544" s="103">
        <f t="shared" ca="1" si="58"/>
        <v>27.252054794520546</v>
      </c>
      <c r="V544" s="102" t="s">
        <v>1959</v>
      </c>
      <c r="W544" s="102" t="s">
        <v>7716</v>
      </c>
      <c r="X544" s="77" t="s">
        <v>472</v>
      </c>
      <c r="Y544" s="77" t="s">
        <v>391</v>
      </c>
      <c r="Z544" s="77" t="s">
        <v>88</v>
      </c>
      <c r="AA544" s="77" t="s">
        <v>392</v>
      </c>
      <c r="AB544" s="77" t="s">
        <v>5085</v>
      </c>
      <c r="AC544" s="77" t="s">
        <v>313</v>
      </c>
      <c r="AD544" s="77" t="s">
        <v>314</v>
      </c>
      <c r="AE544" s="77">
        <v>90</v>
      </c>
      <c r="AF544" s="102" t="s">
        <v>375</v>
      </c>
      <c r="AG544" s="77" t="s">
        <v>290</v>
      </c>
      <c r="AH544" s="78" t="s">
        <v>473</v>
      </c>
      <c r="AI544" s="12" t="s">
        <v>317</v>
      </c>
      <c r="AJ544" s="12" t="s">
        <v>318</v>
      </c>
      <c r="AK544" s="78" t="s">
        <v>7717</v>
      </c>
      <c r="AL544" s="143" t="s">
        <v>7718</v>
      </c>
      <c r="AM544" s="78" t="s">
        <v>7719</v>
      </c>
      <c r="AN544" s="78" t="s">
        <v>325</v>
      </c>
      <c r="AO544" s="78" t="s">
        <v>398</v>
      </c>
      <c r="AP544" s="78" t="s">
        <v>398</v>
      </c>
      <c r="AQ544" s="78" t="s">
        <v>3308</v>
      </c>
      <c r="AR544" s="77">
        <v>108</v>
      </c>
      <c r="AS544" s="77" t="s">
        <v>581</v>
      </c>
      <c r="AT544" s="78" t="s">
        <v>483</v>
      </c>
      <c r="AU544" s="78" t="s">
        <v>483</v>
      </c>
      <c r="AV544" s="77">
        <v>78136</v>
      </c>
      <c r="AW544" s="77" t="s">
        <v>329</v>
      </c>
      <c r="AX544" s="78" t="s">
        <v>329</v>
      </c>
      <c r="AY544" s="78" t="s">
        <v>329</v>
      </c>
      <c r="AZ544" s="78"/>
      <c r="BA544" s="78"/>
      <c r="BB544" s="137"/>
      <c r="BC544" s="78"/>
      <c r="BD544" s="78" t="s">
        <v>7719</v>
      </c>
      <c r="BE544" s="78" t="s">
        <v>325</v>
      </c>
      <c r="BF544" s="78" t="s">
        <v>7720</v>
      </c>
      <c r="BG544" s="77" t="s">
        <v>333</v>
      </c>
      <c r="BH544" s="78" t="s">
        <v>334</v>
      </c>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row>
    <row r="545" spans="1:82" ht="15" x14ac:dyDescent="0.25">
      <c r="A545" s="77">
        <v>1037</v>
      </c>
      <c r="B545" s="12" t="s">
        <v>7874</v>
      </c>
      <c r="C545" s="13" t="s">
        <v>564</v>
      </c>
      <c r="D545" s="107" t="s">
        <v>81</v>
      </c>
      <c r="E545" s="77" t="s">
        <v>7721</v>
      </c>
      <c r="F545" s="79">
        <v>46153</v>
      </c>
      <c r="G545" s="79">
        <v>46153</v>
      </c>
      <c r="H545" s="101">
        <f t="shared" si="48"/>
        <v>46243</v>
      </c>
      <c r="I545" s="77" t="s">
        <v>290</v>
      </c>
      <c r="J545" s="77" t="s">
        <v>4323</v>
      </c>
      <c r="K545" s="77" t="s">
        <v>4449</v>
      </c>
      <c r="L545" s="77" t="s">
        <v>7722</v>
      </c>
      <c r="M545" s="102" t="str">
        <f t="shared" si="54"/>
        <v>ALEJANDRE VELAZQUEZ OSCAR ALEJANDRO</v>
      </c>
      <c r="N545" s="102" t="s">
        <v>7723</v>
      </c>
      <c r="O545" s="102" t="s">
        <v>7724</v>
      </c>
      <c r="P545" s="77" t="s">
        <v>1953</v>
      </c>
      <c r="Q545" s="79">
        <v>34495</v>
      </c>
      <c r="R545" s="77">
        <f t="shared" si="55"/>
        <v>10</v>
      </c>
      <c r="S545" s="77">
        <f t="shared" si="56"/>
        <v>6</v>
      </c>
      <c r="T545" s="77">
        <f t="shared" si="57"/>
        <v>1994</v>
      </c>
      <c r="U545" s="103">
        <f t="shared" ca="1" si="58"/>
        <v>32.361643835616441</v>
      </c>
      <c r="V545" s="102" t="s">
        <v>389</v>
      </c>
      <c r="W545" s="102" t="s">
        <v>7725</v>
      </c>
      <c r="X545" s="77" t="s">
        <v>454</v>
      </c>
      <c r="Y545" s="77" t="s">
        <v>115</v>
      </c>
      <c r="Z545" s="12" t="s">
        <v>84</v>
      </c>
      <c r="AA545" s="12" t="s">
        <v>532</v>
      </c>
      <c r="AB545" s="12" t="s">
        <v>574</v>
      </c>
      <c r="AC545" s="77" t="s">
        <v>313</v>
      </c>
      <c r="AD545" s="77" t="s">
        <v>314</v>
      </c>
      <c r="AE545" s="77">
        <v>90</v>
      </c>
      <c r="AF545" s="13" t="s">
        <v>710</v>
      </c>
      <c r="AG545" s="12" t="s">
        <v>290</v>
      </c>
      <c r="AH545" s="13" t="s">
        <v>575</v>
      </c>
      <c r="AI545" s="12" t="s">
        <v>317</v>
      </c>
      <c r="AJ545" s="12" t="s">
        <v>318</v>
      </c>
      <c r="AK545" s="78" t="s">
        <v>7726</v>
      </c>
      <c r="AL545" s="143" t="s">
        <v>7727</v>
      </c>
      <c r="AM545" s="78" t="s">
        <v>7728</v>
      </c>
      <c r="AN545" s="78" t="s">
        <v>439</v>
      </c>
      <c r="AO545" s="78" t="s">
        <v>398</v>
      </c>
      <c r="AP545" s="78" t="s">
        <v>398</v>
      </c>
      <c r="AQ545" s="78" t="s">
        <v>7729</v>
      </c>
      <c r="AR545" s="77" t="s">
        <v>7730</v>
      </c>
      <c r="AS545" s="77" t="s">
        <v>7730</v>
      </c>
      <c r="AT545" s="78" t="s">
        <v>624</v>
      </c>
      <c r="AU545" s="78" t="s">
        <v>583</v>
      </c>
      <c r="AV545" s="77">
        <v>45680</v>
      </c>
      <c r="AW545" s="77" t="s">
        <v>329</v>
      </c>
      <c r="AX545" s="78" t="s">
        <v>329</v>
      </c>
      <c r="AY545" s="78" t="s">
        <v>329</v>
      </c>
      <c r="AZ545" s="78"/>
      <c r="BA545" s="78"/>
      <c r="BB545" s="137"/>
      <c r="BC545" s="78"/>
      <c r="BD545" s="78" t="s">
        <v>2377</v>
      </c>
      <c r="BE545" s="78" t="s">
        <v>325</v>
      </c>
      <c r="BF545" s="78" t="s">
        <v>7731</v>
      </c>
      <c r="BG545" s="77" t="s">
        <v>333</v>
      </c>
      <c r="BH545" s="78" t="s">
        <v>3815</v>
      </c>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row>
    <row r="546" spans="1:82" ht="15" x14ac:dyDescent="0.25">
      <c r="A546" s="77">
        <v>1038</v>
      </c>
      <c r="B546" s="12" t="s">
        <v>7875</v>
      </c>
      <c r="C546" s="13" t="s">
        <v>564</v>
      </c>
      <c r="D546" s="107" t="s">
        <v>81</v>
      </c>
      <c r="E546" s="77">
        <v>21068638903</v>
      </c>
      <c r="F546" s="79">
        <v>46153</v>
      </c>
      <c r="G546" s="79">
        <v>46153</v>
      </c>
      <c r="H546" s="101">
        <f t="shared" si="48"/>
        <v>46243</v>
      </c>
      <c r="I546" s="77" t="s">
        <v>290</v>
      </c>
      <c r="J546" s="77" t="s">
        <v>7732</v>
      </c>
      <c r="K546" s="77" t="s">
        <v>7733</v>
      </c>
      <c r="L546" s="77" t="s">
        <v>7734</v>
      </c>
      <c r="M546" s="102" t="str">
        <f t="shared" si="54"/>
        <v>ANTONIO ORDOÑEZ ELIEBER</v>
      </c>
      <c r="N546" s="102" t="s">
        <v>7735</v>
      </c>
      <c r="O546" s="102" t="s">
        <v>7736</v>
      </c>
      <c r="P546" s="77" t="s">
        <v>1953</v>
      </c>
      <c r="Q546" s="79">
        <v>31567</v>
      </c>
      <c r="R546" s="77">
        <f t="shared" si="55"/>
        <v>4</v>
      </c>
      <c r="S546" s="77">
        <f t="shared" si="56"/>
        <v>6</v>
      </c>
      <c r="T546" s="77">
        <f t="shared" si="57"/>
        <v>1986</v>
      </c>
      <c r="U546" s="103">
        <f t="shared" ca="1" si="58"/>
        <v>40.38356164383562</v>
      </c>
      <c r="V546" s="102" t="s">
        <v>452</v>
      </c>
      <c r="W546" s="102" t="s">
        <v>7737</v>
      </c>
      <c r="X546" s="77" t="s">
        <v>693</v>
      </c>
      <c r="Y546" s="77" t="s">
        <v>115</v>
      </c>
      <c r="Z546" s="12" t="s">
        <v>84</v>
      </c>
      <c r="AA546" s="12" t="s">
        <v>532</v>
      </c>
      <c r="AB546" s="12" t="s">
        <v>574</v>
      </c>
      <c r="AC546" s="77" t="s">
        <v>313</v>
      </c>
      <c r="AD546" s="77" t="s">
        <v>314</v>
      </c>
      <c r="AE546" s="77">
        <v>90</v>
      </c>
      <c r="AF546" s="13" t="s">
        <v>710</v>
      </c>
      <c r="AG546" s="12" t="s">
        <v>290</v>
      </c>
      <c r="AH546" s="13" t="s">
        <v>575</v>
      </c>
      <c r="AI546" s="12" t="s">
        <v>317</v>
      </c>
      <c r="AJ546" s="12" t="s">
        <v>318</v>
      </c>
      <c r="AK546" s="78" t="s">
        <v>7738</v>
      </c>
      <c r="AL546" s="143" t="s">
        <v>7739</v>
      </c>
      <c r="AM546" s="78" t="s">
        <v>7740</v>
      </c>
      <c r="AN546" s="78" t="s">
        <v>439</v>
      </c>
      <c r="AO546" s="78" t="s">
        <v>327</v>
      </c>
      <c r="AP546" s="78" t="s">
        <v>398</v>
      </c>
      <c r="AQ546" s="78" t="s">
        <v>7741</v>
      </c>
      <c r="AR546" s="77">
        <v>11110</v>
      </c>
      <c r="AS546" s="77" t="s">
        <v>581</v>
      </c>
      <c r="AT546" s="78" t="s">
        <v>761</v>
      </c>
      <c r="AU546" s="78" t="s">
        <v>762</v>
      </c>
      <c r="AV546" s="77">
        <v>22244</v>
      </c>
      <c r="AW546" s="77" t="s">
        <v>329</v>
      </c>
      <c r="AX546" s="78" t="s">
        <v>329</v>
      </c>
      <c r="AY546" s="78" t="s">
        <v>329</v>
      </c>
      <c r="AZ546" s="78"/>
      <c r="BA546" s="78"/>
      <c r="BB546" s="137"/>
      <c r="BC546" s="78"/>
      <c r="BD546" s="78" t="s">
        <v>7742</v>
      </c>
      <c r="BE546" s="78" t="s">
        <v>7743</v>
      </c>
      <c r="BF546" s="78" t="s">
        <v>7744</v>
      </c>
      <c r="BG546" s="77" t="s">
        <v>333</v>
      </c>
      <c r="BH546" s="78" t="s">
        <v>3815</v>
      </c>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row>
    <row r="547" spans="1:82" ht="15" x14ac:dyDescent="0.25">
      <c r="A547" s="77">
        <v>1039</v>
      </c>
      <c r="B547" s="77" t="s">
        <v>7876</v>
      </c>
      <c r="C547" s="78" t="s">
        <v>335</v>
      </c>
      <c r="D547" s="77" t="s">
        <v>228</v>
      </c>
      <c r="E547" s="77">
        <v>41169918202</v>
      </c>
      <c r="F547" s="79">
        <v>46153</v>
      </c>
      <c r="G547" s="79">
        <v>46153</v>
      </c>
      <c r="H547" s="101">
        <f t="shared" si="48"/>
        <v>46243</v>
      </c>
      <c r="I547" s="77" t="s">
        <v>290</v>
      </c>
      <c r="J547" s="77" t="s">
        <v>7745</v>
      </c>
      <c r="K547" s="77" t="s">
        <v>590</v>
      </c>
      <c r="L547" s="77" t="s">
        <v>5224</v>
      </c>
      <c r="M547" s="102" t="str">
        <f t="shared" si="54"/>
        <v>MOYA  PEREZ MARIANO</v>
      </c>
      <c r="N547" s="102" t="s">
        <v>7746</v>
      </c>
      <c r="O547" s="102" t="s">
        <v>7747</v>
      </c>
      <c r="P547" s="77" t="s">
        <v>1953</v>
      </c>
      <c r="Q547" s="79">
        <v>36363</v>
      </c>
      <c r="R547" s="77">
        <f t="shared" si="55"/>
        <v>22</v>
      </c>
      <c r="S547" s="77">
        <f t="shared" si="56"/>
        <v>7</v>
      </c>
      <c r="T547" s="77">
        <f t="shared" si="57"/>
        <v>1999</v>
      </c>
      <c r="U547" s="103">
        <f t="shared" ca="1" si="58"/>
        <v>27.243835616438357</v>
      </c>
      <c r="V547" s="102" t="s">
        <v>342</v>
      </c>
      <c r="W547" s="102" t="s">
        <v>7748</v>
      </c>
      <c r="X547" s="77" t="s">
        <v>530</v>
      </c>
      <c r="Y547" s="77" t="s">
        <v>7440</v>
      </c>
      <c r="Z547" s="12" t="s">
        <v>149</v>
      </c>
      <c r="AA547" s="12" t="s">
        <v>347</v>
      </c>
      <c r="AB547" s="12" t="s">
        <v>2293</v>
      </c>
      <c r="AC547" s="12" t="s">
        <v>313</v>
      </c>
      <c r="AD547" s="12" t="s">
        <v>314</v>
      </c>
      <c r="AE547" s="12">
        <v>90</v>
      </c>
      <c r="AF547" s="13" t="s">
        <v>949</v>
      </c>
      <c r="AG547" s="77" t="s">
        <v>290</v>
      </c>
      <c r="AH547" s="78" t="s">
        <v>950</v>
      </c>
      <c r="AI547" s="77" t="s">
        <v>317</v>
      </c>
      <c r="AJ547" s="77" t="s">
        <v>318</v>
      </c>
      <c r="AK547" s="78" t="s">
        <v>7749</v>
      </c>
      <c r="AL547" s="143" t="s">
        <v>7750</v>
      </c>
      <c r="AM547" s="78" t="s">
        <v>7751</v>
      </c>
      <c r="AN547" s="78" t="s">
        <v>381</v>
      </c>
      <c r="AO547" s="78"/>
      <c r="AP547" s="78"/>
      <c r="AQ547" s="78" t="s">
        <v>7752</v>
      </c>
      <c r="AR547" s="77">
        <v>212</v>
      </c>
      <c r="AS547" s="77" t="s">
        <v>581</v>
      </c>
      <c r="AT547" s="78" t="s">
        <v>7753</v>
      </c>
      <c r="AU547" s="78" t="s">
        <v>483</v>
      </c>
      <c r="AV547" s="77">
        <v>79610</v>
      </c>
      <c r="AW547" s="77" t="s">
        <v>329</v>
      </c>
      <c r="AX547" s="78" t="s">
        <v>329</v>
      </c>
      <c r="AY547" s="78" t="s">
        <v>329</v>
      </c>
      <c r="AZ547" s="78"/>
      <c r="BA547" s="78"/>
      <c r="BB547" s="137"/>
      <c r="BC547" s="78"/>
      <c r="BD547" s="78" t="s">
        <v>7751</v>
      </c>
      <c r="BE547" s="78" t="s">
        <v>381</v>
      </c>
      <c r="BF547" s="78" t="s">
        <v>7754</v>
      </c>
      <c r="BG547" s="77"/>
      <c r="BH547" s="78"/>
      <c r="BI547" s="78">
        <v>1</v>
      </c>
      <c r="BJ547" s="78" t="s">
        <v>7755</v>
      </c>
      <c r="BK547" s="78" t="s">
        <v>633</v>
      </c>
      <c r="BL547" s="78">
        <v>3</v>
      </c>
      <c r="BM547" s="78"/>
      <c r="BN547" s="78"/>
      <c r="BO547" s="78"/>
      <c r="BP547" s="78"/>
      <c r="BQ547" s="78"/>
      <c r="BR547" s="78"/>
      <c r="BS547" s="78"/>
      <c r="BT547" s="78"/>
      <c r="BU547" s="78"/>
      <c r="BV547" s="78"/>
      <c r="BW547" s="78"/>
      <c r="BX547" s="78"/>
      <c r="BY547" s="78"/>
      <c r="BZ547" s="78"/>
      <c r="CA547" s="78"/>
      <c r="CB547" s="78"/>
      <c r="CC547" s="78"/>
      <c r="CD547" s="78"/>
    </row>
    <row r="548" spans="1:82" ht="15" x14ac:dyDescent="0.25">
      <c r="A548" s="77">
        <v>1258</v>
      </c>
      <c r="B548" s="77" t="s">
        <v>7797</v>
      </c>
      <c r="C548" s="78" t="s">
        <v>299</v>
      </c>
      <c r="D548" s="99" t="s">
        <v>80</v>
      </c>
      <c r="E548" s="77">
        <v>41048526598</v>
      </c>
      <c r="F548" s="79">
        <v>46153</v>
      </c>
      <c r="G548" s="79">
        <v>46153</v>
      </c>
      <c r="H548" s="101">
        <f t="shared" si="48"/>
        <v>46243</v>
      </c>
      <c r="I548" s="77" t="s">
        <v>291</v>
      </c>
      <c r="J548" s="77" t="s">
        <v>870</v>
      </c>
      <c r="K548" s="77" t="s">
        <v>5642</v>
      </c>
      <c r="L548" s="77" t="s">
        <v>7756</v>
      </c>
      <c r="M548" s="102" t="str">
        <f t="shared" si="54"/>
        <v>ALVARADO TELLO MARTIN URIEL</v>
      </c>
      <c r="N548" s="102" t="s">
        <v>7757</v>
      </c>
      <c r="O548" s="102" t="s">
        <v>7758</v>
      </c>
      <c r="P548" s="77" t="s">
        <v>1953</v>
      </c>
      <c r="Q548" s="79">
        <v>31354</v>
      </c>
      <c r="R548" s="77">
        <f t="shared" si="55"/>
        <v>3</v>
      </c>
      <c r="S548" s="77">
        <f t="shared" si="56"/>
        <v>11</v>
      </c>
      <c r="T548" s="77">
        <f t="shared" si="57"/>
        <v>1985</v>
      </c>
      <c r="U548" s="103">
        <f t="shared" ca="1" si="58"/>
        <v>40.967123287671235</v>
      </c>
      <c r="V548" s="102" t="s">
        <v>342</v>
      </c>
      <c r="W548" s="102" t="s">
        <v>7759</v>
      </c>
      <c r="X548" s="77" t="s">
        <v>431</v>
      </c>
      <c r="Y548" s="12" t="s">
        <v>184</v>
      </c>
      <c r="Z548" s="12" t="s">
        <v>183</v>
      </c>
      <c r="AA548" s="12" t="s">
        <v>311</v>
      </c>
      <c r="AB548" s="77"/>
      <c r="AC548" s="12" t="s">
        <v>313</v>
      </c>
      <c r="AD548" s="12" t="s">
        <v>314</v>
      </c>
      <c r="AE548" s="12">
        <v>90</v>
      </c>
      <c r="AF548" s="13" t="s">
        <v>315</v>
      </c>
      <c r="AG548" s="12" t="s">
        <v>291</v>
      </c>
      <c r="AH548" s="104" t="s">
        <v>316</v>
      </c>
      <c r="AI548" s="12" t="s">
        <v>317</v>
      </c>
      <c r="AJ548" s="12" t="s">
        <v>318</v>
      </c>
      <c r="AK548" s="78" t="s">
        <v>7760</v>
      </c>
      <c r="AL548" s="143" t="s">
        <v>7761</v>
      </c>
      <c r="AM548" s="78" t="s">
        <v>7762</v>
      </c>
      <c r="AN548" s="78" t="s">
        <v>381</v>
      </c>
      <c r="AO548" s="78" t="s">
        <v>327</v>
      </c>
      <c r="AP548" s="78" t="s">
        <v>327</v>
      </c>
      <c r="AQ548" s="78" t="s">
        <v>7763</v>
      </c>
      <c r="AR548" s="77">
        <v>313</v>
      </c>
      <c r="AS548" s="77" t="s">
        <v>581</v>
      </c>
      <c r="AT548" s="78" t="s">
        <v>483</v>
      </c>
      <c r="AU548" s="78" t="s">
        <v>483</v>
      </c>
      <c r="AV548" s="77">
        <v>78394</v>
      </c>
      <c r="AW548" s="77" t="s">
        <v>329</v>
      </c>
      <c r="AX548" s="78" t="s">
        <v>329</v>
      </c>
      <c r="AY548" s="78" t="s">
        <v>329</v>
      </c>
      <c r="AZ548" s="78"/>
      <c r="BA548" s="78"/>
      <c r="BB548" s="137"/>
      <c r="BC548" s="78"/>
      <c r="BD548" s="78" t="s">
        <v>7762</v>
      </c>
      <c r="BE548" s="78" t="s">
        <v>381</v>
      </c>
      <c r="BF548" s="78" t="s">
        <v>7764</v>
      </c>
      <c r="BG548" s="77" t="s">
        <v>488</v>
      </c>
      <c r="BH548" s="78" t="s">
        <v>3815</v>
      </c>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row>
    <row r="549" spans="1:82" ht="15" x14ac:dyDescent="0.25">
      <c r="A549" s="77">
        <v>1040</v>
      </c>
      <c r="B549" s="77" t="s">
        <v>7765</v>
      </c>
      <c r="C549" s="78" t="s">
        <v>363</v>
      </c>
      <c r="D549" s="77" t="s">
        <v>232</v>
      </c>
      <c r="E549" s="77">
        <v>34169807426</v>
      </c>
      <c r="F549" s="79">
        <v>46154</v>
      </c>
      <c r="G549" s="79">
        <v>46154</v>
      </c>
      <c r="H549" s="101">
        <f t="shared" si="48"/>
        <v>46244</v>
      </c>
      <c r="I549" s="77" t="s">
        <v>290</v>
      </c>
      <c r="J549" s="77" t="s">
        <v>4916</v>
      </c>
      <c r="K549" s="77" t="s">
        <v>4400</v>
      </c>
      <c r="L549" s="77" t="s">
        <v>7766</v>
      </c>
      <c r="M549" s="102" t="str">
        <f t="shared" si="54"/>
        <v>MANZANARES SILVA JOSE HUMBERTO</v>
      </c>
      <c r="N549" s="102" t="s">
        <v>7767</v>
      </c>
      <c r="O549" s="102" t="s">
        <v>7768</v>
      </c>
      <c r="P549" s="77" t="s">
        <v>1953</v>
      </c>
      <c r="Q549" s="79">
        <v>35879</v>
      </c>
      <c r="R549" s="77">
        <f t="shared" si="55"/>
        <v>25</v>
      </c>
      <c r="S549" s="77">
        <f t="shared" si="56"/>
        <v>3</v>
      </c>
      <c r="T549" s="77">
        <f t="shared" si="57"/>
        <v>1998</v>
      </c>
      <c r="U549" s="103">
        <f t="shared" ca="1" si="58"/>
        <v>28.56986301369863</v>
      </c>
      <c r="V549" s="102" t="s">
        <v>342</v>
      </c>
      <c r="W549" s="102" t="s">
        <v>7769</v>
      </c>
      <c r="X549" s="77" t="s">
        <v>693</v>
      </c>
      <c r="Y549" s="77" t="s">
        <v>5543</v>
      </c>
      <c r="Z549" s="77" t="s">
        <v>88</v>
      </c>
      <c r="AA549" s="77" t="s">
        <v>392</v>
      </c>
      <c r="AB549" s="77" t="s">
        <v>5085</v>
      </c>
      <c r="AC549" s="12" t="s">
        <v>313</v>
      </c>
      <c r="AD549" s="77" t="s">
        <v>314</v>
      </c>
      <c r="AE549" s="77">
        <v>90</v>
      </c>
      <c r="AF549" s="102" t="s">
        <v>375</v>
      </c>
      <c r="AG549" s="77" t="s">
        <v>290</v>
      </c>
      <c r="AH549" s="78" t="s">
        <v>473</v>
      </c>
      <c r="AI549" s="12" t="s">
        <v>317</v>
      </c>
      <c r="AJ549" s="12" t="s">
        <v>318</v>
      </c>
      <c r="AK549" s="78" t="s">
        <v>7770</v>
      </c>
      <c r="AL549" s="143" t="s">
        <v>7771</v>
      </c>
      <c r="AM549" s="78" t="s">
        <v>7772</v>
      </c>
      <c r="AN549" s="78" t="s">
        <v>381</v>
      </c>
      <c r="AO549" s="78" t="s">
        <v>398</v>
      </c>
      <c r="AP549" s="78" t="s">
        <v>398</v>
      </c>
      <c r="AQ549" s="78" t="s">
        <v>7773</v>
      </c>
      <c r="AR549" s="77">
        <v>121</v>
      </c>
      <c r="AS549" s="77" t="s">
        <v>581</v>
      </c>
      <c r="AT549" s="78" t="s">
        <v>483</v>
      </c>
      <c r="AU549" s="78" t="s">
        <v>483</v>
      </c>
      <c r="AV549" s="77">
        <v>78422</v>
      </c>
      <c r="AW549" s="77" t="s">
        <v>329</v>
      </c>
      <c r="AX549" s="78" t="s">
        <v>329</v>
      </c>
      <c r="AY549" s="78" t="s">
        <v>329</v>
      </c>
      <c r="AZ549" s="78"/>
      <c r="BA549" s="78"/>
      <c r="BB549" s="137"/>
      <c r="BC549" s="78"/>
      <c r="BD549" s="78" t="s">
        <v>7772</v>
      </c>
      <c r="BE549" s="78" t="s">
        <v>381</v>
      </c>
      <c r="BF549" s="78" t="s">
        <v>7770</v>
      </c>
      <c r="BG549" s="77" t="s">
        <v>488</v>
      </c>
      <c r="BH549" s="78" t="s">
        <v>3815</v>
      </c>
      <c r="BI549" s="78">
        <v>1</v>
      </c>
      <c r="BJ549" s="78"/>
      <c r="BK549" s="78" t="s">
        <v>571</v>
      </c>
      <c r="BL549" s="78">
        <v>4</v>
      </c>
      <c r="BM549" s="78"/>
      <c r="BN549" s="78"/>
      <c r="BO549" s="78"/>
      <c r="BP549" s="78"/>
      <c r="BQ549" s="78"/>
      <c r="BR549" s="78"/>
      <c r="BS549" s="78"/>
      <c r="BT549" s="78"/>
      <c r="BU549" s="78"/>
      <c r="BV549" s="78"/>
      <c r="BW549" s="78"/>
      <c r="BX549" s="78"/>
      <c r="BY549" s="78"/>
      <c r="BZ549" s="78"/>
      <c r="CA549" s="78"/>
      <c r="CB549" s="78"/>
      <c r="CC549" s="78"/>
      <c r="CD549" s="78"/>
    </row>
    <row r="550" spans="1:82" s="116" customFormat="1" ht="15" x14ac:dyDescent="0.25">
      <c r="A550" s="125" t="s">
        <v>7774</v>
      </c>
      <c r="B550" s="125" t="s">
        <v>7774</v>
      </c>
      <c r="C550" s="110" t="s">
        <v>335</v>
      </c>
      <c r="D550" s="125" t="s">
        <v>133</v>
      </c>
      <c r="E550" s="125" t="s">
        <v>7775</v>
      </c>
      <c r="F550" s="127">
        <v>46160</v>
      </c>
      <c r="G550" s="127">
        <v>46160</v>
      </c>
      <c r="H550" s="113">
        <f t="shared" si="48"/>
        <v>46250</v>
      </c>
      <c r="I550" s="125" t="s">
        <v>290</v>
      </c>
      <c r="J550" s="125" t="s">
        <v>4334</v>
      </c>
      <c r="K550" s="125" t="s">
        <v>4401</v>
      </c>
      <c r="L550" s="125" t="s">
        <v>7776</v>
      </c>
      <c r="M550" s="128" t="str">
        <f t="shared" ref="M550:M602" si="59">_xlfn.CONCAT(J550," ",K550," ",L550)</f>
        <v>AGUILAR MORENO JONATHAN JACOB</v>
      </c>
      <c r="N550" s="128" t="s">
        <v>7777</v>
      </c>
      <c r="O550" s="128" t="s">
        <v>7778</v>
      </c>
      <c r="P550" s="125" t="s">
        <v>1953</v>
      </c>
      <c r="Q550" s="127">
        <v>39483</v>
      </c>
      <c r="R550" s="125">
        <f t="shared" ref="R550:R600" si="60">DAY(Q550)</f>
        <v>5</v>
      </c>
      <c r="S550" s="125">
        <f t="shared" ref="S550:S600" si="61">MONTH(Q550)</f>
        <v>2</v>
      </c>
      <c r="T550" s="125">
        <f t="shared" ref="T550:T600" si="62">YEAR(Q550)</f>
        <v>2008</v>
      </c>
      <c r="U550" s="142">
        <f t="shared" ref="U550:U600" ca="1" si="63">(+TODAY()-Q550)/365</f>
        <v>18.695890410958903</v>
      </c>
      <c r="V550" s="128" t="s">
        <v>452</v>
      </c>
      <c r="W550" s="128" t="s">
        <v>7795</v>
      </c>
      <c r="X550" s="125" t="s">
        <v>454</v>
      </c>
      <c r="Y550" s="109" t="s">
        <v>139</v>
      </c>
      <c r="Z550" s="109" t="s">
        <v>136</v>
      </c>
      <c r="AA550" s="109" t="s">
        <v>347</v>
      </c>
      <c r="AB550" s="109" t="s">
        <v>670</v>
      </c>
      <c r="AC550" s="125" t="s">
        <v>313</v>
      </c>
      <c r="AD550" s="125" t="s">
        <v>314</v>
      </c>
      <c r="AE550" s="125">
        <v>90</v>
      </c>
      <c r="AF550" s="128" t="s">
        <v>671</v>
      </c>
      <c r="AG550" s="109" t="s">
        <v>290</v>
      </c>
      <c r="AH550" s="115" t="s">
        <v>672</v>
      </c>
      <c r="AI550" s="109" t="s">
        <v>317</v>
      </c>
      <c r="AJ550" s="109" t="s">
        <v>318</v>
      </c>
      <c r="AK550" s="110" t="s">
        <v>7779</v>
      </c>
      <c r="AL550" s="145" t="s">
        <v>7796</v>
      </c>
      <c r="AM550" s="110" t="s">
        <v>7780</v>
      </c>
      <c r="AN550" s="110" t="s">
        <v>381</v>
      </c>
      <c r="AO550" s="110" t="s">
        <v>398</v>
      </c>
      <c r="AP550" s="110" t="s">
        <v>398</v>
      </c>
      <c r="AQ550" s="110" t="s">
        <v>7781</v>
      </c>
      <c r="AR550" s="125">
        <v>244</v>
      </c>
      <c r="AS550" s="125" t="s">
        <v>581</v>
      </c>
      <c r="AT550" s="110" t="s">
        <v>3388</v>
      </c>
      <c r="AU550" s="110" t="s">
        <v>912</v>
      </c>
      <c r="AV550" s="125">
        <v>66614</v>
      </c>
      <c r="AW550" s="125" t="s">
        <v>329</v>
      </c>
      <c r="AX550" s="110" t="s">
        <v>329</v>
      </c>
      <c r="AY550" s="110" t="s">
        <v>329</v>
      </c>
      <c r="AZ550" s="110"/>
      <c r="BA550" s="110"/>
      <c r="BB550" s="138"/>
      <c r="BC550" s="110"/>
      <c r="BD550" s="110" t="s">
        <v>7780</v>
      </c>
      <c r="BE550" s="110" t="s">
        <v>478</v>
      </c>
      <c r="BF550" s="110" t="s">
        <v>7782</v>
      </c>
      <c r="BG550" s="125"/>
      <c r="BH550" s="110"/>
      <c r="BI550" s="110"/>
      <c r="BJ550" s="110"/>
      <c r="BK550" s="110"/>
      <c r="BL550" s="110"/>
      <c r="BM550" s="110"/>
      <c r="BN550" s="110"/>
      <c r="BO550" s="110"/>
      <c r="BP550" s="110"/>
      <c r="BQ550" s="110"/>
      <c r="BR550" s="110"/>
      <c r="BS550" s="110"/>
      <c r="BT550" s="110"/>
      <c r="BU550" s="110"/>
      <c r="BV550" s="110"/>
      <c r="BW550" s="110"/>
      <c r="BX550" s="110"/>
      <c r="BY550" s="110"/>
      <c r="BZ550" s="110"/>
      <c r="CA550" s="110"/>
      <c r="CB550" s="110"/>
      <c r="CC550" s="110"/>
      <c r="CD550" s="110"/>
    </row>
    <row r="551" spans="1:82" ht="15" x14ac:dyDescent="0.25">
      <c r="A551" s="77">
        <v>1042</v>
      </c>
      <c r="B551" s="77" t="s">
        <v>7783</v>
      </c>
      <c r="C551" s="78" t="s">
        <v>335</v>
      </c>
      <c r="D551" s="77" t="s">
        <v>116</v>
      </c>
      <c r="E551" s="77">
        <v>74907068725</v>
      </c>
      <c r="F551" s="79">
        <v>46160</v>
      </c>
      <c r="G551" s="79">
        <v>46160</v>
      </c>
      <c r="H551" s="101">
        <f t="shared" si="48"/>
        <v>46250</v>
      </c>
      <c r="I551" s="77" t="s">
        <v>291</v>
      </c>
      <c r="J551" s="77" t="s">
        <v>7784</v>
      </c>
      <c r="K551" s="77" t="s">
        <v>7785</v>
      </c>
      <c r="L551" s="77" t="s">
        <v>7786</v>
      </c>
      <c r="M551" s="102" t="str">
        <f t="shared" si="59"/>
        <v>VALADEZ FRIAS MARTIN</v>
      </c>
      <c r="N551" s="102" t="s">
        <v>7787</v>
      </c>
      <c r="O551" s="102" t="s">
        <v>7788</v>
      </c>
      <c r="P551" s="77" t="s">
        <v>1953</v>
      </c>
      <c r="Q551" s="79">
        <v>25578</v>
      </c>
      <c r="R551" s="77">
        <f t="shared" si="60"/>
        <v>10</v>
      </c>
      <c r="S551" s="77">
        <f t="shared" si="61"/>
        <v>1</v>
      </c>
      <c r="T551" s="77">
        <f t="shared" si="62"/>
        <v>1970</v>
      </c>
      <c r="U551" s="103">
        <f t="shared" ca="1" si="63"/>
        <v>56.791780821917811</v>
      </c>
      <c r="V551" s="102" t="s">
        <v>1959</v>
      </c>
      <c r="W551" s="102" t="s">
        <v>7789</v>
      </c>
      <c r="X551" s="77" t="s">
        <v>693</v>
      </c>
      <c r="Y551" s="77" t="s">
        <v>216</v>
      </c>
      <c r="Z551" s="12" t="s">
        <v>214</v>
      </c>
      <c r="AA551" s="12" t="s">
        <v>857</v>
      </c>
      <c r="AB551" s="12" t="s">
        <v>2306</v>
      </c>
      <c r="AC551" s="12" t="s">
        <v>313</v>
      </c>
      <c r="AD551" s="77" t="s">
        <v>314</v>
      </c>
      <c r="AE551" s="12">
        <v>90</v>
      </c>
      <c r="AF551" s="13" t="s">
        <v>350</v>
      </c>
      <c r="AG551" s="12" t="s">
        <v>290</v>
      </c>
      <c r="AH551" s="104" t="s">
        <v>351</v>
      </c>
      <c r="AI551" s="12" t="s">
        <v>317</v>
      </c>
      <c r="AJ551" s="12" t="s">
        <v>318</v>
      </c>
      <c r="AK551" s="78" t="s">
        <v>7790</v>
      </c>
      <c r="AL551" s="143" t="s">
        <v>7791</v>
      </c>
      <c r="AM551" s="78" t="s">
        <v>7792</v>
      </c>
      <c r="AN551" s="78" t="s">
        <v>832</v>
      </c>
      <c r="AO551" s="78" t="s">
        <v>398</v>
      </c>
      <c r="AP551" s="78" t="s">
        <v>398</v>
      </c>
      <c r="AQ551" s="78" t="s">
        <v>7793</v>
      </c>
      <c r="AR551" s="77">
        <v>1797</v>
      </c>
      <c r="AS551" s="77" t="s">
        <v>581</v>
      </c>
      <c r="AT551" s="78" t="s">
        <v>1132</v>
      </c>
      <c r="AU551" s="78" t="s">
        <v>583</v>
      </c>
      <c r="AV551" s="77">
        <v>45138</v>
      </c>
      <c r="AW551" s="77" t="s">
        <v>329</v>
      </c>
      <c r="AX551" s="78" t="s">
        <v>329</v>
      </c>
      <c r="AY551" s="78" t="s">
        <v>329</v>
      </c>
      <c r="AZ551" s="78"/>
      <c r="BA551" s="78"/>
      <c r="BB551" s="137"/>
      <c r="BC551" s="78"/>
      <c r="BD551" s="78" t="s">
        <v>7792</v>
      </c>
      <c r="BE551" s="78" t="s">
        <v>832</v>
      </c>
      <c r="BF551" s="78" t="s">
        <v>7794</v>
      </c>
      <c r="BG551" s="77" t="s">
        <v>488</v>
      </c>
      <c r="BH551" s="78" t="s">
        <v>398</v>
      </c>
      <c r="BI551" s="78">
        <v>3</v>
      </c>
      <c r="BJ551" s="78"/>
      <c r="BK551" s="78" t="s">
        <v>571</v>
      </c>
      <c r="BL551" s="78">
        <v>30</v>
      </c>
      <c r="BM551" s="78"/>
      <c r="BN551" s="78" t="s">
        <v>3911</v>
      </c>
      <c r="BO551" s="78">
        <v>36</v>
      </c>
      <c r="BP551" s="78"/>
      <c r="BQ551" s="78" t="s">
        <v>3911</v>
      </c>
      <c r="BR551" s="78">
        <v>34</v>
      </c>
      <c r="BS551" s="78"/>
      <c r="BT551" s="78"/>
      <c r="BU551" s="78"/>
      <c r="BV551" s="78"/>
      <c r="BW551" s="78"/>
      <c r="BX551" s="78"/>
      <c r="BY551" s="78"/>
      <c r="BZ551" s="78"/>
      <c r="CA551" s="78"/>
      <c r="CB551" s="78"/>
      <c r="CC551" s="78"/>
      <c r="CD551" s="78"/>
    </row>
    <row r="552" spans="1:82" s="116" customFormat="1" ht="15" x14ac:dyDescent="0.25">
      <c r="A552" s="125">
        <v>1043</v>
      </c>
      <c r="B552" s="125" t="s">
        <v>7798</v>
      </c>
      <c r="C552" s="110" t="s">
        <v>363</v>
      </c>
      <c r="D552" s="125" t="s">
        <v>249</v>
      </c>
      <c r="E552" s="125" t="s">
        <v>7799</v>
      </c>
      <c r="F552" s="127">
        <v>46167</v>
      </c>
      <c r="G552" s="127">
        <v>46167</v>
      </c>
      <c r="H552" s="113">
        <f t="shared" si="48"/>
        <v>46257</v>
      </c>
      <c r="I552" s="125" t="s">
        <v>291</v>
      </c>
      <c r="J552" s="125" t="s">
        <v>337</v>
      </c>
      <c r="K552" s="125" t="s">
        <v>7800</v>
      </c>
      <c r="L552" s="125" t="s">
        <v>7801</v>
      </c>
      <c r="M552" s="128" t="str">
        <f t="shared" si="59"/>
        <v>FLORES SANTAMARIA IGNACIO YOBANIC</v>
      </c>
      <c r="N552" s="128" t="s">
        <v>7802</v>
      </c>
      <c r="O552" s="128" t="s">
        <v>7803</v>
      </c>
      <c r="P552" s="125" t="s">
        <v>1953</v>
      </c>
      <c r="Q552" s="127">
        <v>33133</v>
      </c>
      <c r="R552" s="125">
        <f t="shared" si="60"/>
        <v>17</v>
      </c>
      <c r="S552" s="125">
        <f t="shared" si="61"/>
        <v>9</v>
      </c>
      <c r="T552" s="125">
        <f t="shared" si="62"/>
        <v>1990</v>
      </c>
      <c r="U552" s="142">
        <f t="shared" ca="1" si="63"/>
        <v>36.093150684931508</v>
      </c>
      <c r="V552" s="128" t="s">
        <v>452</v>
      </c>
      <c r="W552" s="128" t="s">
        <v>7811</v>
      </c>
      <c r="X552" s="125" t="s">
        <v>310</v>
      </c>
      <c r="Y552" s="125" t="s">
        <v>258</v>
      </c>
      <c r="Z552" s="109" t="s">
        <v>103</v>
      </c>
      <c r="AA552" s="109" t="s">
        <v>392</v>
      </c>
      <c r="AB552" s="109" t="s">
        <v>2285</v>
      </c>
      <c r="AC552" s="125" t="s">
        <v>313</v>
      </c>
      <c r="AD552" s="125" t="s">
        <v>314</v>
      </c>
      <c r="AE552" s="125">
        <v>90</v>
      </c>
      <c r="AF552" s="128" t="s">
        <v>375</v>
      </c>
      <c r="AG552" s="125" t="s">
        <v>290</v>
      </c>
      <c r="AH552" s="110" t="s">
        <v>473</v>
      </c>
      <c r="AI552" s="109" t="s">
        <v>317</v>
      </c>
      <c r="AJ552" s="109" t="s">
        <v>318</v>
      </c>
      <c r="AK552" s="110" t="s">
        <v>7804</v>
      </c>
      <c r="AL552" s="145" t="s">
        <v>7805</v>
      </c>
      <c r="AM552" s="110" t="s">
        <v>7806</v>
      </c>
      <c r="AN552" s="110" t="s">
        <v>478</v>
      </c>
      <c r="AO552" s="110" t="s">
        <v>398</v>
      </c>
      <c r="AP552" s="110" t="s">
        <v>398</v>
      </c>
      <c r="AQ552" s="110" t="s">
        <v>7807</v>
      </c>
      <c r="AR552" s="125">
        <v>303</v>
      </c>
      <c r="AS552" s="125" t="s">
        <v>581</v>
      </c>
      <c r="AT552" s="110" t="s">
        <v>7808</v>
      </c>
      <c r="AU552" s="110" t="s">
        <v>1105</v>
      </c>
      <c r="AV552" s="125">
        <v>91158</v>
      </c>
      <c r="AW552" s="125" t="s">
        <v>329</v>
      </c>
      <c r="AX552" s="110" t="s">
        <v>329</v>
      </c>
      <c r="AY552" s="110" t="s">
        <v>329</v>
      </c>
      <c r="AZ552" s="110"/>
      <c r="BA552" s="110"/>
      <c r="BB552" s="138"/>
      <c r="BC552" s="110"/>
      <c r="BD552" s="110" t="s">
        <v>7809</v>
      </c>
      <c r="BE552" s="110" t="s">
        <v>602</v>
      </c>
      <c r="BF552" s="110" t="s">
        <v>7810</v>
      </c>
      <c r="BG552" s="125" t="s">
        <v>333</v>
      </c>
      <c r="BH552" s="110" t="s">
        <v>3815</v>
      </c>
      <c r="BI552" s="110">
        <v>1</v>
      </c>
      <c r="BJ552" s="110"/>
      <c r="BK552" s="110" t="s">
        <v>3911</v>
      </c>
      <c r="BL552" s="110">
        <v>3</v>
      </c>
      <c r="BM552" s="110"/>
      <c r="BN552" s="110"/>
      <c r="BO552" s="110"/>
      <c r="BP552" s="110"/>
      <c r="BQ552" s="110"/>
      <c r="BR552" s="110"/>
      <c r="BS552" s="110"/>
      <c r="BT552" s="110"/>
      <c r="BU552" s="110"/>
      <c r="BV552" s="110"/>
      <c r="BW552" s="110"/>
      <c r="BX552" s="110"/>
      <c r="BY552" s="110"/>
      <c r="BZ552" s="110"/>
      <c r="CA552" s="110"/>
      <c r="CB552" s="110"/>
      <c r="CC552" s="110"/>
      <c r="CD552" s="110"/>
    </row>
    <row r="553" spans="1:82" ht="15" x14ac:dyDescent="0.25">
      <c r="A553" s="77">
        <v>1044</v>
      </c>
      <c r="B553" s="77" t="s">
        <v>7823</v>
      </c>
      <c r="C553" s="78" t="s">
        <v>363</v>
      </c>
      <c r="D553" s="77" t="s">
        <v>249</v>
      </c>
      <c r="E553" s="77" t="s">
        <v>7812</v>
      </c>
      <c r="F553" s="79">
        <v>46167</v>
      </c>
      <c r="G553" s="79">
        <v>46167</v>
      </c>
      <c r="H553" s="101">
        <f t="shared" si="48"/>
        <v>46257</v>
      </c>
      <c r="I553" s="77" t="s">
        <v>290</v>
      </c>
      <c r="J553" s="77" t="s">
        <v>1239</v>
      </c>
      <c r="K553" s="77" t="s">
        <v>793</v>
      </c>
      <c r="L553" s="77" t="s">
        <v>7813</v>
      </c>
      <c r="M553" s="102" t="str">
        <f t="shared" si="59"/>
        <v>VAZQUEZ LOPEZ MANUEL</v>
      </c>
      <c r="N553" s="102" t="s">
        <v>7814</v>
      </c>
      <c r="O553" s="102" t="s">
        <v>7815</v>
      </c>
      <c r="P553" s="77" t="s">
        <v>1953</v>
      </c>
      <c r="Q553" s="79">
        <v>35289</v>
      </c>
      <c r="R553" s="77">
        <f t="shared" si="60"/>
        <v>12</v>
      </c>
      <c r="S553" s="77">
        <f t="shared" si="61"/>
        <v>8</v>
      </c>
      <c r="T553" s="77">
        <f t="shared" si="62"/>
        <v>1996</v>
      </c>
      <c r="U553" s="103">
        <f t="shared" ca="1" si="63"/>
        <v>30.186301369863013</v>
      </c>
      <c r="V553" s="102" t="s">
        <v>452</v>
      </c>
      <c r="W553" s="102" t="s">
        <v>7816</v>
      </c>
      <c r="X553" s="77" t="s">
        <v>693</v>
      </c>
      <c r="Y553" s="77" t="s">
        <v>5543</v>
      </c>
      <c r="Z553" s="12" t="s">
        <v>104</v>
      </c>
      <c r="AA553" s="12" t="s">
        <v>392</v>
      </c>
      <c r="AB553" s="12" t="s">
        <v>2285</v>
      </c>
      <c r="AC553" s="77" t="s">
        <v>313</v>
      </c>
      <c r="AD553" s="77" t="s">
        <v>314</v>
      </c>
      <c r="AE553" s="77">
        <v>90</v>
      </c>
      <c r="AF553" s="102" t="s">
        <v>375</v>
      </c>
      <c r="AG553" s="77" t="s">
        <v>290</v>
      </c>
      <c r="AH553" s="78" t="s">
        <v>473</v>
      </c>
      <c r="AI553" s="12" t="s">
        <v>317</v>
      </c>
      <c r="AJ553" s="12" t="s">
        <v>318</v>
      </c>
      <c r="AK553" s="78" t="s">
        <v>7817</v>
      </c>
      <c r="AL553" s="143" t="s">
        <v>7818</v>
      </c>
      <c r="AM553" s="78" t="s">
        <v>7819</v>
      </c>
      <c r="AN553" s="78" t="s">
        <v>478</v>
      </c>
      <c r="AO553" s="78" t="s">
        <v>398</v>
      </c>
      <c r="AP553" s="78" t="s">
        <v>398</v>
      </c>
      <c r="AQ553" s="78" t="s">
        <v>7820</v>
      </c>
      <c r="AR553" s="77" t="s">
        <v>7821</v>
      </c>
      <c r="AS553" s="77">
        <v>24</v>
      </c>
      <c r="AT553" s="78" t="s">
        <v>5360</v>
      </c>
      <c r="AU553" s="78" t="s">
        <v>483</v>
      </c>
      <c r="AV553" s="77">
        <v>79460</v>
      </c>
      <c r="AW553" s="77" t="s">
        <v>329</v>
      </c>
      <c r="AX553" s="78" t="s">
        <v>329</v>
      </c>
      <c r="AY553" s="78" t="s">
        <v>329</v>
      </c>
      <c r="AZ553" s="78"/>
      <c r="BA553" s="78"/>
      <c r="BB553" s="137"/>
      <c r="BC553" s="78"/>
      <c r="BD553" s="78" t="s">
        <v>7819</v>
      </c>
      <c r="BE553" s="78" t="s">
        <v>478</v>
      </c>
      <c r="BF553" s="78" t="s">
        <v>7822</v>
      </c>
      <c r="BG553" s="77" t="s">
        <v>488</v>
      </c>
      <c r="BH553" s="78"/>
      <c r="BI553" s="78">
        <v>2</v>
      </c>
      <c r="BJ553" s="78"/>
      <c r="BK553" s="78" t="s">
        <v>571</v>
      </c>
      <c r="BL553" s="78">
        <v>7</v>
      </c>
      <c r="BM553" s="78"/>
      <c r="BN553" s="78" t="s">
        <v>3911</v>
      </c>
      <c r="BO553" s="78">
        <v>1</v>
      </c>
      <c r="BP553" s="78"/>
      <c r="BQ553" s="78"/>
      <c r="BR553" s="78"/>
      <c r="BS553" s="78"/>
      <c r="BT553" s="78"/>
      <c r="BU553" s="78"/>
      <c r="BV553" s="78"/>
      <c r="BW553" s="78"/>
      <c r="BX553" s="78"/>
      <c r="BY553" s="78"/>
      <c r="BZ553" s="78"/>
      <c r="CA553" s="78"/>
      <c r="CB553" s="78"/>
      <c r="CC553" s="78"/>
      <c r="CD553" s="78"/>
    </row>
    <row r="554" spans="1:82" ht="15" x14ac:dyDescent="0.25">
      <c r="A554" s="77">
        <v>1260</v>
      </c>
      <c r="B554" s="77" t="s">
        <v>7871</v>
      </c>
      <c r="C554" s="78" t="s">
        <v>299</v>
      </c>
      <c r="D554" s="99" t="s">
        <v>80</v>
      </c>
      <c r="E554" s="77">
        <v>73150034491</v>
      </c>
      <c r="F554" s="79">
        <v>46167</v>
      </c>
      <c r="G554" s="79">
        <v>46167</v>
      </c>
      <c r="H554" s="101">
        <f t="shared" si="48"/>
        <v>46257</v>
      </c>
      <c r="I554" s="77" t="s">
        <v>291</v>
      </c>
      <c r="J554" s="77" t="s">
        <v>384</v>
      </c>
      <c r="K554" s="77" t="s">
        <v>1408</v>
      </c>
      <c r="L554" s="77" t="s">
        <v>7824</v>
      </c>
      <c r="M554" s="102" t="str">
        <f t="shared" si="59"/>
        <v xml:space="preserve">SANCHEZ RUIZ TANIA DENISSE </v>
      </c>
      <c r="N554" s="102" t="s">
        <v>7825</v>
      </c>
      <c r="O554" s="102" t="s">
        <v>7826</v>
      </c>
      <c r="P554" s="77" t="s">
        <v>1954</v>
      </c>
      <c r="Q554" s="79">
        <v>36622</v>
      </c>
      <c r="R554" s="77">
        <f t="shared" si="60"/>
        <v>6</v>
      </c>
      <c r="S554" s="77">
        <f t="shared" si="61"/>
        <v>4</v>
      </c>
      <c r="T554" s="77">
        <f t="shared" si="62"/>
        <v>2000</v>
      </c>
      <c r="U554" s="103">
        <f t="shared" ca="1" si="63"/>
        <v>26.534246575342465</v>
      </c>
      <c r="V554" s="102" t="s">
        <v>1450</v>
      </c>
      <c r="W554" s="102" t="s">
        <v>7827</v>
      </c>
      <c r="X554" s="77" t="s">
        <v>693</v>
      </c>
      <c r="Y554" s="77" t="s">
        <v>5124</v>
      </c>
      <c r="Z554" s="12" t="s">
        <v>170</v>
      </c>
      <c r="AA554" s="12" t="s">
        <v>636</v>
      </c>
      <c r="AB554" s="12" t="s">
        <v>2279</v>
      </c>
      <c r="AC554" s="12" t="s">
        <v>313</v>
      </c>
      <c r="AD554" s="12" t="s">
        <v>314</v>
      </c>
      <c r="AE554" s="12">
        <v>90</v>
      </c>
      <c r="AF554" s="13" t="s">
        <v>315</v>
      </c>
      <c r="AG554" s="12" t="s">
        <v>291</v>
      </c>
      <c r="AH554" s="104" t="s">
        <v>316</v>
      </c>
      <c r="AI554" s="12" t="s">
        <v>317</v>
      </c>
      <c r="AJ554" s="12" t="s">
        <v>318</v>
      </c>
      <c r="AK554" s="78" t="s">
        <v>7828</v>
      </c>
      <c r="AL554" s="143" t="s">
        <v>7829</v>
      </c>
      <c r="AM554" s="78" t="s">
        <v>7830</v>
      </c>
      <c r="AN554" s="78" t="s">
        <v>3178</v>
      </c>
      <c r="AO554" s="78" t="s">
        <v>398</v>
      </c>
      <c r="AP554" s="78" t="s">
        <v>398</v>
      </c>
      <c r="AQ554" s="78" t="s">
        <v>7831</v>
      </c>
      <c r="AR554" s="77">
        <v>141</v>
      </c>
      <c r="AS554" s="77" t="s">
        <v>581</v>
      </c>
      <c r="AT554" s="78" t="s">
        <v>482</v>
      </c>
      <c r="AU554" s="78" t="s">
        <v>483</v>
      </c>
      <c r="AV554" s="77">
        <v>78430</v>
      </c>
      <c r="AW554" s="77" t="s">
        <v>329</v>
      </c>
      <c r="AX554" s="78" t="s">
        <v>329</v>
      </c>
      <c r="AY554" s="78" t="s">
        <v>329</v>
      </c>
      <c r="AZ554" s="78"/>
      <c r="BA554" s="78"/>
      <c r="BB554" s="137"/>
      <c r="BC554" s="78"/>
      <c r="BD554" s="78" t="s">
        <v>7830</v>
      </c>
      <c r="BE554" s="78" t="s">
        <v>3178</v>
      </c>
      <c r="BF554" s="78" t="s">
        <v>7832</v>
      </c>
      <c r="BG554" s="77"/>
      <c r="BH554" s="78"/>
      <c r="BI554" s="78">
        <v>1</v>
      </c>
      <c r="BJ554" s="78"/>
      <c r="BK554" s="78" t="s">
        <v>3911</v>
      </c>
      <c r="BL554" s="78">
        <v>8</v>
      </c>
      <c r="BM554" s="78"/>
      <c r="BN554" s="78"/>
      <c r="BO554" s="78"/>
      <c r="BP554" s="78"/>
      <c r="BQ554" s="78"/>
      <c r="BR554" s="78"/>
      <c r="BS554" s="78"/>
      <c r="BT554" s="78"/>
      <c r="BU554" s="78"/>
      <c r="BV554" s="78"/>
      <c r="BW554" s="78"/>
      <c r="BX554" s="78"/>
      <c r="BY554" s="78"/>
      <c r="BZ554" s="78"/>
      <c r="CA554" s="78"/>
      <c r="CB554" s="78"/>
      <c r="CC554" s="78"/>
      <c r="CD554" s="78"/>
    </row>
    <row r="555" spans="1:82" ht="15" x14ac:dyDescent="0.25">
      <c r="A555" s="77">
        <v>1045</v>
      </c>
      <c r="B555" s="77" t="s">
        <v>7833</v>
      </c>
      <c r="C555" s="78" t="s">
        <v>363</v>
      </c>
      <c r="D555" s="77" t="s">
        <v>6329</v>
      </c>
      <c r="E555" s="77" t="s">
        <v>7834</v>
      </c>
      <c r="F555" s="79">
        <v>46171</v>
      </c>
      <c r="G555" s="79">
        <v>46171</v>
      </c>
      <c r="H555" s="101">
        <f t="shared" si="48"/>
        <v>46261</v>
      </c>
      <c r="I555" s="77" t="s">
        <v>290</v>
      </c>
      <c r="J555" s="77" t="s">
        <v>851</v>
      </c>
      <c r="K555" s="77" t="s">
        <v>7835</v>
      </c>
      <c r="L555" s="77" t="s">
        <v>7836</v>
      </c>
      <c r="M555" s="153" t="str">
        <f t="shared" si="59"/>
        <v>LOPEZ  TERAN VICTOR HUGO</v>
      </c>
      <c r="N555" s="102" t="s">
        <v>7837</v>
      </c>
      <c r="O555" s="102" t="s">
        <v>7838</v>
      </c>
      <c r="P555" s="77" t="s">
        <v>1953</v>
      </c>
      <c r="Q555" s="79">
        <v>27193</v>
      </c>
      <c r="R555" s="77">
        <f t="shared" si="60"/>
        <v>13</v>
      </c>
      <c r="S555" s="77">
        <f t="shared" si="61"/>
        <v>6</v>
      </c>
      <c r="T555" s="77">
        <f t="shared" si="62"/>
        <v>1974</v>
      </c>
      <c r="U555" s="103">
        <f t="shared" ca="1" si="63"/>
        <v>52.367123287671234</v>
      </c>
      <c r="V555" s="102" t="s">
        <v>342</v>
      </c>
      <c r="W555" s="102" t="s">
        <v>7839</v>
      </c>
      <c r="X555" s="77" t="s">
        <v>693</v>
      </c>
      <c r="Y555" s="77" t="s">
        <v>5543</v>
      </c>
      <c r="Z555" s="77" t="s">
        <v>88</v>
      </c>
      <c r="AA555" s="77" t="s">
        <v>392</v>
      </c>
      <c r="AB555" s="77" t="s">
        <v>5085</v>
      </c>
      <c r="AC555" s="77" t="s">
        <v>313</v>
      </c>
      <c r="AD555" s="77" t="s">
        <v>314</v>
      </c>
      <c r="AE555" s="77">
        <v>90</v>
      </c>
      <c r="AF555" s="102" t="s">
        <v>375</v>
      </c>
      <c r="AG555" s="77" t="s">
        <v>290</v>
      </c>
      <c r="AH555" s="78" t="s">
        <v>473</v>
      </c>
      <c r="AI555" s="12" t="s">
        <v>317</v>
      </c>
      <c r="AJ555" s="12" t="s">
        <v>318</v>
      </c>
      <c r="AK555" s="78" t="s">
        <v>7840</v>
      </c>
      <c r="AL555" s="143" t="s">
        <v>7841</v>
      </c>
      <c r="AM555" s="78" t="s">
        <v>7842</v>
      </c>
      <c r="AN555" s="78" t="s">
        <v>325</v>
      </c>
      <c r="AO555" s="78" t="s">
        <v>398</v>
      </c>
      <c r="AP555" s="78" t="s">
        <v>398</v>
      </c>
      <c r="AQ555" s="78" t="s">
        <v>7843</v>
      </c>
      <c r="AR555" s="77">
        <v>661</v>
      </c>
      <c r="AS555" s="77">
        <v>2</v>
      </c>
      <c r="AT555" s="78" t="s">
        <v>483</v>
      </c>
      <c r="AU555" s="78" t="s">
        <v>483</v>
      </c>
      <c r="AV555" s="77">
        <v>78144</v>
      </c>
      <c r="AW555" s="77" t="s">
        <v>329</v>
      </c>
      <c r="AX555" s="78" t="s">
        <v>329</v>
      </c>
      <c r="AY555" s="78" t="s">
        <v>329</v>
      </c>
      <c r="AZ555" s="78"/>
      <c r="BA555" s="78"/>
      <c r="BB555" s="137"/>
      <c r="BC555" s="78"/>
      <c r="BD555" s="78" t="s">
        <v>7842</v>
      </c>
      <c r="BE555" s="78" t="s">
        <v>325</v>
      </c>
      <c r="BF555" s="78" t="s">
        <v>7844</v>
      </c>
      <c r="BG555" s="77" t="s">
        <v>333</v>
      </c>
      <c r="BH555" s="78" t="s">
        <v>3815</v>
      </c>
      <c r="BI555" s="78">
        <v>2</v>
      </c>
      <c r="BJ555" s="78" t="s">
        <v>7845</v>
      </c>
      <c r="BK555" s="78" t="s">
        <v>3911</v>
      </c>
      <c r="BL555" s="78">
        <v>15</v>
      </c>
      <c r="BM555" s="78"/>
      <c r="BN555" s="78" t="s">
        <v>3911</v>
      </c>
      <c r="BO555" s="78">
        <v>15</v>
      </c>
      <c r="BP555" s="78"/>
      <c r="BQ555" s="78"/>
      <c r="BR555" s="78"/>
      <c r="BS555" s="78"/>
      <c r="BT555" s="78"/>
      <c r="BU555" s="78"/>
      <c r="BV555" s="78"/>
      <c r="BW555" s="78"/>
      <c r="BX555" s="78"/>
      <c r="BY555" s="78"/>
      <c r="BZ555" s="78"/>
      <c r="CA555" s="78"/>
      <c r="CB555" s="78"/>
      <c r="CC555" s="78"/>
      <c r="CD555" s="78"/>
    </row>
    <row r="556" spans="1:82" ht="15" x14ac:dyDescent="0.25">
      <c r="A556" s="77">
        <v>1046</v>
      </c>
      <c r="B556" s="12" t="s">
        <v>7859</v>
      </c>
      <c r="C556" s="13" t="s">
        <v>564</v>
      </c>
      <c r="D556" s="107" t="s">
        <v>81</v>
      </c>
      <c r="E556" s="77" t="s">
        <v>7846</v>
      </c>
      <c r="F556" s="79">
        <v>46174</v>
      </c>
      <c r="G556" s="79">
        <v>46174</v>
      </c>
      <c r="H556" s="101">
        <f t="shared" si="48"/>
        <v>46264</v>
      </c>
      <c r="I556" s="77" t="s">
        <v>290</v>
      </c>
      <c r="J556" s="77" t="s">
        <v>7847</v>
      </c>
      <c r="K556" s="77" t="s">
        <v>7848</v>
      </c>
      <c r="L556" s="77" t="s">
        <v>7849</v>
      </c>
      <c r="M556" s="102" t="str">
        <f t="shared" si="59"/>
        <v>ESTRADA  PAJARITO ALEXIS LEONARDO</v>
      </c>
      <c r="N556" s="102" t="s">
        <v>7850</v>
      </c>
      <c r="O556" s="102" t="s">
        <v>7851</v>
      </c>
      <c r="P556" s="77" t="s">
        <v>1953</v>
      </c>
      <c r="Q556" s="79">
        <v>38738</v>
      </c>
      <c r="R556" s="77">
        <f t="shared" si="60"/>
        <v>21</v>
      </c>
      <c r="S556" s="77">
        <f t="shared" si="61"/>
        <v>1</v>
      </c>
      <c r="T556" s="77">
        <f t="shared" si="62"/>
        <v>2006</v>
      </c>
      <c r="U556" s="103">
        <f t="shared" ca="1" si="63"/>
        <v>20.736986301369864</v>
      </c>
      <c r="V556" s="102" t="s">
        <v>452</v>
      </c>
      <c r="W556" s="102" t="s">
        <v>7852</v>
      </c>
      <c r="X556" s="77" t="s">
        <v>454</v>
      </c>
      <c r="Y556" s="77" t="s">
        <v>115</v>
      </c>
      <c r="Z556" s="12" t="s">
        <v>84</v>
      </c>
      <c r="AA556" s="12" t="s">
        <v>532</v>
      </c>
      <c r="AB556" s="12" t="s">
        <v>574</v>
      </c>
      <c r="AC556" s="77" t="s">
        <v>313</v>
      </c>
      <c r="AD556" s="77" t="s">
        <v>314</v>
      </c>
      <c r="AE556" s="77">
        <v>90</v>
      </c>
      <c r="AF556" s="13" t="s">
        <v>710</v>
      </c>
      <c r="AG556" s="12" t="s">
        <v>290</v>
      </c>
      <c r="AH556" s="13" t="s">
        <v>575</v>
      </c>
      <c r="AI556" s="12" t="s">
        <v>317</v>
      </c>
      <c r="AJ556" s="12" t="s">
        <v>318</v>
      </c>
      <c r="AK556" s="102" t="s">
        <v>7853</v>
      </c>
      <c r="AL556" s="143" t="s">
        <v>7854</v>
      </c>
      <c r="AM556" s="78" t="s">
        <v>7855</v>
      </c>
      <c r="AN556" s="78" t="s">
        <v>478</v>
      </c>
      <c r="AO556" s="78" t="s">
        <v>398</v>
      </c>
      <c r="AP556" s="78" t="s">
        <v>398</v>
      </c>
      <c r="AQ556" s="78" t="s">
        <v>7856</v>
      </c>
      <c r="AR556" s="77">
        <v>2543</v>
      </c>
      <c r="AS556" s="77" t="s">
        <v>983</v>
      </c>
      <c r="AT556" s="78" t="s">
        <v>116</v>
      </c>
      <c r="AU556" s="78" t="s">
        <v>583</v>
      </c>
      <c r="AV556" s="77">
        <v>44440</v>
      </c>
      <c r="AW556" s="77" t="s">
        <v>329</v>
      </c>
      <c r="AX556" s="78" t="s">
        <v>329</v>
      </c>
      <c r="AY556" s="78" t="s">
        <v>329</v>
      </c>
      <c r="AZ556" s="78"/>
      <c r="BA556" s="78"/>
      <c r="BB556" s="137"/>
      <c r="BC556" s="78"/>
      <c r="BD556" s="78" t="s">
        <v>7857</v>
      </c>
      <c r="BE556" s="78" t="s">
        <v>478</v>
      </c>
      <c r="BF556" s="102" t="s">
        <v>7858</v>
      </c>
      <c r="BG556" s="77" t="s">
        <v>444</v>
      </c>
      <c r="BH556" s="78" t="s">
        <v>3815</v>
      </c>
      <c r="BI556" s="78">
        <v>1</v>
      </c>
      <c r="BJ556" s="78"/>
      <c r="BK556" s="78" t="s">
        <v>3911</v>
      </c>
      <c r="BL556" s="78">
        <v>1</v>
      </c>
      <c r="BM556" s="78"/>
      <c r="BN556" s="78"/>
      <c r="BO556" s="78"/>
      <c r="BP556" s="78"/>
      <c r="BQ556" s="78"/>
      <c r="BR556" s="78"/>
      <c r="BS556" s="78"/>
      <c r="BT556" s="78"/>
      <c r="BU556" s="78"/>
      <c r="BV556" s="78"/>
      <c r="BW556" s="78"/>
      <c r="BX556" s="78"/>
      <c r="BY556" s="78"/>
      <c r="BZ556" s="78"/>
      <c r="CA556" s="78"/>
      <c r="CB556" s="78"/>
      <c r="CC556" s="78"/>
      <c r="CD556" s="78"/>
    </row>
    <row r="557" spans="1:82" ht="15" x14ac:dyDescent="0.25">
      <c r="A557" s="77">
        <v>1047</v>
      </c>
      <c r="B557" s="77" t="s">
        <v>7860</v>
      </c>
      <c r="C557" s="78" t="s">
        <v>335</v>
      </c>
      <c r="D557" s="77" t="s">
        <v>116</v>
      </c>
      <c r="E557" s="77" t="s">
        <v>7861</v>
      </c>
      <c r="F557" s="79">
        <v>46174</v>
      </c>
      <c r="G557" s="79">
        <v>46174</v>
      </c>
      <c r="H557" s="101">
        <f t="shared" si="48"/>
        <v>46264</v>
      </c>
      <c r="I557" s="77" t="s">
        <v>290</v>
      </c>
      <c r="J557" s="77" t="s">
        <v>793</v>
      </c>
      <c r="K557" s="77" t="s">
        <v>960</v>
      </c>
      <c r="L557" s="77" t="s">
        <v>1753</v>
      </c>
      <c r="M557" s="102" t="str">
        <f t="shared" si="59"/>
        <v>LOPEZ TORRES LUIS</v>
      </c>
      <c r="N557" s="102" t="s">
        <v>7862</v>
      </c>
      <c r="O557" s="102" t="s">
        <v>7863</v>
      </c>
      <c r="P557" s="77" t="s">
        <v>1953</v>
      </c>
      <c r="Q557" s="79">
        <v>27874</v>
      </c>
      <c r="R557" s="77">
        <f t="shared" si="60"/>
        <v>24</v>
      </c>
      <c r="S557" s="77">
        <f t="shared" si="61"/>
        <v>4</v>
      </c>
      <c r="T557" s="77">
        <f t="shared" si="62"/>
        <v>1976</v>
      </c>
      <c r="U557" s="103">
        <f t="shared" ca="1" si="63"/>
        <v>50.5013698630137</v>
      </c>
      <c r="V557" s="102" t="s">
        <v>342</v>
      </c>
      <c r="W557" s="102" t="s">
        <v>7864</v>
      </c>
      <c r="X557" s="77" t="s">
        <v>454</v>
      </c>
      <c r="Y557" s="77" t="s">
        <v>7440</v>
      </c>
      <c r="Z557" s="77" t="s">
        <v>149</v>
      </c>
      <c r="AA557" s="77" t="s">
        <v>347</v>
      </c>
      <c r="AB557" s="77" t="s">
        <v>2293</v>
      </c>
      <c r="AC557" s="12" t="s">
        <v>313</v>
      </c>
      <c r="AD557" s="77" t="s">
        <v>314</v>
      </c>
      <c r="AE557" s="12">
        <v>90</v>
      </c>
      <c r="AF557" s="13" t="s">
        <v>350</v>
      </c>
      <c r="AG557" s="12" t="s">
        <v>290</v>
      </c>
      <c r="AH557" s="104" t="s">
        <v>351</v>
      </c>
      <c r="AI557" s="12" t="s">
        <v>317</v>
      </c>
      <c r="AJ557" s="12" t="s">
        <v>318</v>
      </c>
      <c r="AK557" s="78" t="s">
        <v>7865</v>
      </c>
      <c r="AL557" s="143" t="s">
        <v>7866</v>
      </c>
      <c r="AM557" s="78" t="s">
        <v>7867</v>
      </c>
      <c r="AN557" s="78" t="s">
        <v>381</v>
      </c>
      <c r="AO557" s="78" t="s">
        <v>398</v>
      </c>
      <c r="AP557" s="78" t="s">
        <v>398</v>
      </c>
      <c r="AQ557" s="78" t="s">
        <v>7868</v>
      </c>
      <c r="AR557" s="77">
        <v>437</v>
      </c>
      <c r="AS557" s="77" t="s">
        <v>581</v>
      </c>
      <c r="AT557" s="78" t="s">
        <v>5660</v>
      </c>
      <c r="AU557" s="78" t="s">
        <v>583</v>
      </c>
      <c r="AV557" s="77">
        <v>45306</v>
      </c>
      <c r="AW557" s="77" t="s">
        <v>329</v>
      </c>
      <c r="AX557" s="78" t="s">
        <v>329</v>
      </c>
      <c r="AY557" s="78" t="s">
        <v>329</v>
      </c>
      <c r="AZ557" s="78"/>
      <c r="BA557" s="78"/>
      <c r="BB557" s="137"/>
      <c r="BC557" s="78"/>
      <c r="BD557" s="78" t="s">
        <v>7869</v>
      </c>
      <c r="BE557" s="78" t="s">
        <v>381</v>
      </c>
      <c r="BF557" s="78" t="s">
        <v>7870</v>
      </c>
      <c r="BG557" s="77" t="s">
        <v>333</v>
      </c>
      <c r="BH557" s="78" t="s">
        <v>398</v>
      </c>
      <c r="BI557" s="78">
        <v>2</v>
      </c>
      <c r="BJ557" s="78"/>
      <c r="BK557" s="78" t="s">
        <v>571</v>
      </c>
      <c r="BL557" s="78">
        <v>15</v>
      </c>
      <c r="BM557" s="78"/>
      <c r="BN557" s="78" t="s">
        <v>571</v>
      </c>
      <c r="BO557" s="78">
        <v>20</v>
      </c>
      <c r="BP557" s="78"/>
      <c r="BQ557" s="78"/>
      <c r="BR557" s="78"/>
      <c r="BS557" s="78"/>
      <c r="BT557" s="78"/>
      <c r="BU557" s="78"/>
      <c r="BV557" s="78"/>
      <c r="BW557" s="78"/>
      <c r="BX557" s="78"/>
      <c r="BY557" s="78"/>
      <c r="BZ557" s="78"/>
      <c r="CA557" s="78"/>
      <c r="CB557" s="78"/>
      <c r="CC557" s="78"/>
      <c r="CD557" s="78"/>
    </row>
    <row r="558" spans="1:82" ht="15" x14ac:dyDescent="0.25">
      <c r="A558" s="77">
        <v>1263</v>
      </c>
      <c r="B558" s="77" t="s">
        <v>7893</v>
      </c>
      <c r="C558" s="78" t="s">
        <v>299</v>
      </c>
      <c r="D558" s="99" t="s">
        <v>80</v>
      </c>
      <c r="E558" s="77">
        <v>41978039208</v>
      </c>
      <c r="F558" s="79">
        <v>46181</v>
      </c>
      <c r="G558" s="79">
        <v>46181</v>
      </c>
      <c r="H558" s="101">
        <f t="shared" si="48"/>
        <v>46271</v>
      </c>
      <c r="I558" s="77" t="s">
        <v>290</v>
      </c>
      <c r="J558" s="77" t="s">
        <v>4377</v>
      </c>
      <c r="K558" s="77" t="s">
        <v>337</v>
      </c>
      <c r="L558" s="77" t="s">
        <v>1703</v>
      </c>
      <c r="M558" s="102" t="str">
        <f>_xlfn.CONCAT(J558," ",K558," ",L558)</f>
        <v>SALAZAR  FLORES JOSE LUIS</v>
      </c>
      <c r="N558" s="102" t="s">
        <v>7894</v>
      </c>
      <c r="O558" s="102" t="s">
        <v>7895</v>
      </c>
      <c r="P558" s="77" t="s">
        <v>1953</v>
      </c>
      <c r="Q558" s="79">
        <v>29456</v>
      </c>
      <c r="R558" s="77">
        <f>DAY(Q558)</f>
        <v>23</v>
      </c>
      <c r="S558" s="77">
        <f>MONTH(Q558)</f>
        <v>8</v>
      </c>
      <c r="T558" s="77">
        <f>YEAR(Q558)</f>
        <v>1980</v>
      </c>
      <c r="U558" s="103">
        <f ca="1">(+TODAY()-Q558)/365</f>
        <v>46.167123287671231</v>
      </c>
      <c r="V558" s="102" t="s">
        <v>342</v>
      </c>
      <c r="W558" s="102" t="s">
        <v>7896</v>
      </c>
      <c r="X558" s="77" t="s">
        <v>454</v>
      </c>
      <c r="Y558" s="107" t="s">
        <v>72</v>
      </c>
      <c r="Z558" s="12" t="s">
        <v>73</v>
      </c>
      <c r="AA558" s="12" t="s">
        <v>311</v>
      </c>
      <c r="AB558" s="12" t="s">
        <v>312</v>
      </c>
      <c r="AC558" s="12" t="s">
        <v>313</v>
      </c>
      <c r="AD558" s="12" t="s">
        <v>314</v>
      </c>
      <c r="AE558" s="12">
        <v>90</v>
      </c>
      <c r="AF558" s="13" t="s">
        <v>315</v>
      </c>
      <c r="AG558" s="12" t="s">
        <v>291</v>
      </c>
      <c r="AH558" s="104" t="s">
        <v>316</v>
      </c>
      <c r="AI558" s="12" t="s">
        <v>317</v>
      </c>
      <c r="AJ558" s="12" t="s">
        <v>318</v>
      </c>
      <c r="AK558" s="78" t="s">
        <v>7897</v>
      </c>
      <c r="AL558" s="143" t="s">
        <v>7898</v>
      </c>
      <c r="AM558" s="78" t="s">
        <v>7899</v>
      </c>
      <c r="AN558" s="78" t="s">
        <v>381</v>
      </c>
      <c r="AO558" s="78" t="s">
        <v>398</v>
      </c>
      <c r="AP558" s="78" t="s">
        <v>398</v>
      </c>
      <c r="AQ558" s="78" t="s">
        <v>7900</v>
      </c>
      <c r="AR558" s="77" t="s">
        <v>880</v>
      </c>
      <c r="AS558" s="77" t="s">
        <v>581</v>
      </c>
      <c r="AT558" s="78" t="s">
        <v>483</v>
      </c>
      <c r="AU558" s="78" t="s">
        <v>483</v>
      </c>
      <c r="AV558" s="77">
        <v>78370</v>
      </c>
      <c r="AW558" s="77" t="s">
        <v>329</v>
      </c>
      <c r="AX558" s="78" t="s">
        <v>329</v>
      </c>
      <c r="AY558" s="78" t="s">
        <v>329</v>
      </c>
      <c r="AZ558" s="78"/>
      <c r="BA558" s="78"/>
      <c r="BB558" s="137"/>
      <c r="BC558" s="78"/>
      <c r="BD558" s="78" t="s">
        <v>7899</v>
      </c>
      <c r="BE558" s="78" t="s">
        <v>381</v>
      </c>
      <c r="BF558" s="78" t="s">
        <v>7901</v>
      </c>
      <c r="BG558" s="77" t="s">
        <v>333</v>
      </c>
      <c r="BH558" s="78" t="s">
        <v>3815</v>
      </c>
      <c r="BI558" s="78">
        <v>1</v>
      </c>
      <c r="BJ558" s="78"/>
      <c r="BK558" s="78" t="s">
        <v>571</v>
      </c>
      <c r="BL558" s="78">
        <v>25</v>
      </c>
      <c r="BM558" s="78"/>
      <c r="BN558" s="78"/>
      <c r="BO558" s="78"/>
      <c r="BP558" s="78"/>
      <c r="BQ558" s="78"/>
      <c r="BR558" s="78"/>
      <c r="BS558" s="78"/>
      <c r="BT558" s="78"/>
      <c r="BU558" s="78"/>
      <c r="BV558" s="78"/>
      <c r="BW558" s="78"/>
      <c r="BX558" s="78"/>
      <c r="BY558" s="78"/>
      <c r="BZ558" s="78"/>
      <c r="CA558" s="78"/>
      <c r="CB558" s="78"/>
      <c r="CC558" s="78"/>
      <c r="CD558" s="78"/>
    </row>
    <row r="559" spans="1:82" s="116" customFormat="1" ht="15" x14ac:dyDescent="0.25">
      <c r="A559" s="125">
        <v>1048</v>
      </c>
      <c r="B559" s="125" t="s">
        <v>7892</v>
      </c>
      <c r="C559" s="110" t="s">
        <v>363</v>
      </c>
      <c r="D559" s="125" t="s">
        <v>86</v>
      </c>
      <c r="E559" s="125">
        <v>41028115487</v>
      </c>
      <c r="F559" s="127">
        <v>46182</v>
      </c>
      <c r="G559" s="127">
        <v>46182</v>
      </c>
      <c r="H559" s="113">
        <f t="shared" si="48"/>
        <v>46272</v>
      </c>
      <c r="I559" s="125" t="s">
        <v>291</v>
      </c>
      <c r="J559" s="125" t="s">
        <v>7877</v>
      </c>
      <c r="K559" s="125" t="s">
        <v>1004</v>
      </c>
      <c r="L559" s="125" t="s">
        <v>7878</v>
      </c>
      <c r="M559" s="128" t="str">
        <f t="shared" si="59"/>
        <v>MORTERA JIMENEZ GABRIELA IVETT</v>
      </c>
      <c r="N559" s="128" t="s">
        <v>7879</v>
      </c>
      <c r="O559" s="128" t="s">
        <v>7880</v>
      </c>
      <c r="P559" s="125" t="s">
        <v>1954</v>
      </c>
      <c r="Q559" s="127">
        <v>29699</v>
      </c>
      <c r="R559" s="125">
        <f t="shared" si="60"/>
        <v>23</v>
      </c>
      <c r="S559" s="125">
        <f t="shared" si="61"/>
        <v>4</v>
      </c>
      <c r="T559" s="125">
        <f t="shared" si="62"/>
        <v>1981</v>
      </c>
      <c r="U559" s="142">
        <f t="shared" ca="1" si="63"/>
        <v>45.5013698630137</v>
      </c>
      <c r="V559" s="128" t="s">
        <v>308</v>
      </c>
      <c r="W559" s="128" t="s">
        <v>7881</v>
      </c>
      <c r="X559" s="125" t="s">
        <v>693</v>
      </c>
      <c r="Y559" s="125" t="s">
        <v>5976</v>
      </c>
      <c r="Z559" s="109" t="s">
        <v>93</v>
      </c>
      <c r="AA559" s="109" t="s">
        <v>636</v>
      </c>
      <c r="AB559" s="109" t="s">
        <v>1428</v>
      </c>
      <c r="AC559" s="125" t="s">
        <v>313</v>
      </c>
      <c r="AD559" s="125" t="s">
        <v>314</v>
      </c>
      <c r="AE559" s="125">
        <v>90</v>
      </c>
      <c r="AF559" s="128" t="s">
        <v>375</v>
      </c>
      <c r="AG559" s="125" t="s">
        <v>290</v>
      </c>
      <c r="AH559" s="110" t="s">
        <v>473</v>
      </c>
      <c r="AI559" s="109" t="s">
        <v>317</v>
      </c>
      <c r="AJ559" s="109" t="s">
        <v>318</v>
      </c>
      <c r="AK559" s="110" t="s">
        <v>7882</v>
      </c>
      <c r="AL559" s="145" t="s">
        <v>7883</v>
      </c>
      <c r="AM559" s="110" t="s">
        <v>7884</v>
      </c>
      <c r="AN559" s="110" t="s">
        <v>401</v>
      </c>
      <c r="AO559" s="110" t="s">
        <v>398</v>
      </c>
      <c r="AP559" s="110" t="s">
        <v>327</v>
      </c>
      <c r="AQ559" s="110" t="s">
        <v>7885</v>
      </c>
      <c r="AR559" s="125" t="s">
        <v>7886</v>
      </c>
      <c r="AS559" s="125" t="s">
        <v>7887</v>
      </c>
      <c r="AT559" s="110" t="s">
        <v>7888</v>
      </c>
      <c r="AU559" s="110" t="s">
        <v>912</v>
      </c>
      <c r="AV559" s="125">
        <v>66215</v>
      </c>
      <c r="AW559" s="125" t="s">
        <v>329</v>
      </c>
      <c r="AX559" s="110" t="s">
        <v>329</v>
      </c>
      <c r="AY559" s="110" t="s">
        <v>329</v>
      </c>
      <c r="AZ559" s="110"/>
      <c r="BA559" s="110"/>
      <c r="BB559" s="138"/>
      <c r="BC559" s="110"/>
      <c r="BD559" s="110" t="s">
        <v>7884</v>
      </c>
      <c r="BE559" s="110" t="s">
        <v>401</v>
      </c>
      <c r="BF559" s="110" t="s">
        <v>7889</v>
      </c>
      <c r="BG559" s="125" t="s">
        <v>333</v>
      </c>
      <c r="BH559" s="110" t="s">
        <v>3815</v>
      </c>
      <c r="BI559" s="110">
        <v>0</v>
      </c>
      <c r="BJ559" s="110"/>
      <c r="BK559" s="110"/>
      <c r="BL559" s="110"/>
      <c r="BM559" s="110"/>
      <c r="BN559" s="110"/>
      <c r="BO559" s="110"/>
      <c r="BP559" s="110"/>
      <c r="BQ559" s="110"/>
      <c r="BR559" s="110"/>
      <c r="BS559" s="110"/>
      <c r="BT559" s="110"/>
      <c r="BU559" s="110"/>
      <c r="BV559" s="110"/>
      <c r="BW559" s="110"/>
      <c r="BX559" s="110"/>
      <c r="BY559" s="110"/>
      <c r="BZ559" s="110"/>
      <c r="CA559" s="110"/>
      <c r="CB559" s="110"/>
      <c r="CC559" s="110"/>
      <c r="CD559" s="110"/>
    </row>
    <row r="560" spans="1:82" s="116" customFormat="1" x14ac:dyDescent="0.2">
      <c r="A560" s="125">
        <v>1049</v>
      </c>
      <c r="B560" s="125" t="s">
        <v>7902</v>
      </c>
      <c r="C560" s="110" t="s">
        <v>363</v>
      </c>
      <c r="D560" s="125" t="s">
        <v>86</v>
      </c>
      <c r="E560" s="125">
        <v>46180031471</v>
      </c>
      <c r="F560" s="127">
        <v>46183</v>
      </c>
      <c r="G560" s="127">
        <v>45087</v>
      </c>
      <c r="H560" s="113">
        <f t="shared" si="48"/>
        <v>45177</v>
      </c>
      <c r="I560" s="125" t="s">
        <v>290</v>
      </c>
      <c r="J560" s="125" t="s">
        <v>5286</v>
      </c>
      <c r="K560" s="125" t="s">
        <v>507</v>
      </c>
      <c r="L560" s="125" t="s">
        <v>1847</v>
      </c>
      <c r="M560" s="128" t="str">
        <f t="shared" si="59"/>
        <v>CUELLAR MARTINEZ JUAN JESUS</v>
      </c>
      <c r="N560" s="128" t="s">
        <v>7903</v>
      </c>
      <c r="O560" s="128" t="s">
        <v>7904</v>
      </c>
      <c r="P560" s="125" t="s">
        <v>1953</v>
      </c>
      <c r="Q560" s="127">
        <v>36598</v>
      </c>
      <c r="R560" s="125">
        <f t="shared" si="60"/>
        <v>13</v>
      </c>
      <c r="S560" s="125">
        <f t="shared" si="61"/>
        <v>3</v>
      </c>
      <c r="T560" s="125">
        <f t="shared" si="62"/>
        <v>2000</v>
      </c>
      <c r="U560" s="142">
        <f t="shared" ca="1" si="63"/>
        <v>26.6</v>
      </c>
      <c r="V560" s="128" t="s">
        <v>389</v>
      </c>
      <c r="W560" s="128" t="s">
        <v>7905</v>
      </c>
      <c r="X560" s="125" t="s">
        <v>454</v>
      </c>
      <c r="Y560" s="125" t="s">
        <v>91</v>
      </c>
      <c r="Z560" s="125" t="s">
        <v>88</v>
      </c>
      <c r="AA560" s="125" t="s">
        <v>392</v>
      </c>
      <c r="AB560" s="125" t="s">
        <v>374</v>
      </c>
      <c r="AC560" s="125" t="s">
        <v>313</v>
      </c>
      <c r="AD560" s="125" t="s">
        <v>314</v>
      </c>
      <c r="AE560" s="125">
        <v>90</v>
      </c>
      <c r="AF560" s="128" t="s">
        <v>375</v>
      </c>
      <c r="AG560" s="125" t="s">
        <v>290</v>
      </c>
      <c r="AH560" s="110" t="s">
        <v>473</v>
      </c>
      <c r="AI560" s="109" t="s">
        <v>317</v>
      </c>
      <c r="AJ560" s="109" t="s">
        <v>318</v>
      </c>
      <c r="AK560" s="110" t="s">
        <v>7906</v>
      </c>
      <c r="AL560" s="110"/>
      <c r="AM560" s="110" t="s">
        <v>7907</v>
      </c>
      <c r="AN560" s="110" t="s">
        <v>325</v>
      </c>
      <c r="AO560" s="110" t="s">
        <v>398</v>
      </c>
      <c r="AP560" s="110" t="s">
        <v>398</v>
      </c>
      <c r="AQ560" s="110" t="s">
        <v>7908</v>
      </c>
      <c r="AR560" s="125">
        <v>402</v>
      </c>
      <c r="AS560" s="125" t="s">
        <v>581</v>
      </c>
      <c r="AT560" s="110" t="s">
        <v>7909</v>
      </c>
      <c r="AU560" s="110" t="s">
        <v>1184</v>
      </c>
      <c r="AV560" s="125">
        <v>36773</v>
      </c>
      <c r="AW560" s="125" t="s">
        <v>329</v>
      </c>
      <c r="AX560" s="110" t="s">
        <v>329</v>
      </c>
      <c r="AY560" s="110" t="s">
        <v>329</v>
      </c>
      <c r="AZ560" s="110"/>
      <c r="BA560" s="110"/>
      <c r="BB560" s="138"/>
      <c r="BC560" s="110"/>
      <c r="BD560" s="110" t="s">
        <v>7907</v>
      </c>
      <c r="BE560" s="110" t="s">
        <v>325</v>
      </c>
      <c r="BF560" s="110" t="s">
        <v>7910</v>
      </c>
      <c r="BG560" s="125" t="s">
        <v>333</v>
      </c>
      <c r="BH560" s="110" t="s">
        <v>3815</v>
      </c>
      <c r="BI560" s="110">
        <v>0</v>
      </c>
      <c r="BJ560" s="110"/>
      <c r="BK560" s="110"/>
      <c r="BL560" s="110"/>
      <c r="BM560" s="110"/>
      <c r="BN560" s="110"/>
      <c r="BO560" s="110"/>
      <c r="BP560" s="110"/>
      <c r="BQ560" s="110"/>
      <c r="BR560" s="110"/>
      <c r="BS560" s="110"/>
      <c r="BT560" s="110"/>
      <c r="BU560" s="110"/>
      <c r="BV560" s="110"/>
      <c r="BW560" s="110"/>
      <c r="BX560" s="110"/>
      <c r="BY560" s="110"/>
      <c r="BZ560" s="110"/>
      <c r="CA560" s="110"/>
      <c r="CB560" s="110"/>
      <c r="CC560" s="110"/>
      <c r="CD560" s="110"/>
    </row>
    <row r="561" spans="1:82" ht="15" x14ac:dyDescent="0.25">
      <c r="A561" s="77">
        <v>651</v>
      </c>
      <c r="B561" s="77" t="s">
        <v>7255</v>
      </c>
      <c r="C561" s="78" t="s">
        <v>363</v>
      </c>
      <c r="D561" s="77" t="s">
        <v>86</v>
      </c>
      <c r="E561" s="77">
        <v>41109221105</v>
      </c>
      <c r="F561" s="79">
        <v>46184</v>
      </c>
      <c r="G561" s="79">
        <v>46184</v>
      </c>
      <c r="H561" s="101">
        <f t="shared" si="48"/>
        <v>46274</v>
      </c>
      <c r="I561" s="77" t="s">
        <v>290</v>
      </c>
      <c r="J561" s="77" t="s">
        <v>4449</v>
      </c>
      <c r="K561" s="77" t="s">
        <v>960</v>
      </c>
      <c r="L561" s="77" t="s">
        <v>1746</v>
      </c>
      <c r="M561" s="102" t="str">
        <f t="shared" si="59"/>
        <v>VELAZQUEZ TORRES JUAN MANUEL</v>
      </c>
      <c r="N561" s="102" t="s">
        <v>7171</v>
      </c>
      <c r="O561" s="102" t="s">
        <v>4605</v>
      </c>
      <c r="P561" s="77" t="s">
        <v>1953</v>
      </c>
      <c r="Q561" s="79">
        <v>33737</v>
      </c>
      <c r="R561" s="77">
        <f t="shared" si="60"/>
        <v>13</v>
      </c>
      <c r="S561" s="77">
        <f t="shared" si="61"/>
        <v>5</v>
      </c>
      <c r="T561" s="77">
        <f t="shared" si="62"/>
        <v>1992</v>
      </c>
      <c r="U561" s="103">
        <f t="shared" ca="1" si="63"/>
        <v>34.438356164383563</v>
      </c>
      <c r="V561" s="102" t="s">
        <v>452</v>
      </c>
      <c r="W561" s="102" t="s">
        <v>7911</v>
      </c>
      <c r="X561" s="77" t="s">
        <v>452</v>
      </c>
      <c r="Y561" s="77" t="s">
        <v>391</v>
      </c>
      <c r="Z561" s="77" t="s">
        <v>88</v>
      </c>
      <c r="AA561" s="77" t="s">
        <v>392</v>
      </c>
      <c r="AB561" s="77" t="s">
        <v>374</v>
      </c>
      <c r="AC561" s="77" t="s">
        <v>313</v>
      </c>
      <c r="AD561" s="77" t="s">
        <v>314</v>
      </c>
      <c r="AE561" s="77">
        <v>90</v>
      </c>
      <c r="AF561" s="102" t="s">
        <v>375</v>
      </c>
      <c r="AG561" s="77" t="s">
        <v>290</v>
      </c>
      <c r="AH561" s="78" t="s">
        <v>473</v>
      </c>
      <c r="AI561" s="12" t="s">
        <v>317</v>
      </c>
      <c r="AJ561" s="12" t="s">
        <v>318</v>
      </c>
      <c r="AK561" s="78" t="s">
        <v>7912</v>
      </c>
      <c r="AL561" s="143" t="s">
        <v>2923</v>
      </c>
      <c r="AM561" s="78" t="s">
        <v>7913</v>
      </c>
      <c r="AN561" s="78" t="s">
        <v>401</v>
      </c>
      <c r="AO561" s="78" t="s">
        <v>398</v>
      </c>
      <c r="AP561" s="78" t="s">
        <v>398</v>
      </c>
      <c r="AQ561" s="78" t="s">
        <v>5824</v>
      </c>
      <c r="AR561" s="77">
        <v>78</v>
      </c>
      <c r="AS561" s="77" t="s">
        <v>581</v>
      </c>
      <c r="AT561" s="78" t="s">
        <v>1375</v>
      </c>
      <c r="AU561" s="78" t="s">
        <v>681</v>
      </c>
      <c r="AV561" s="77">
        <v>2770</v>
      </c>
      <c r="AW561" s="77" t="s">
        <v>329</v>
      </c>
      <c r="AX561" s="78" t="s">
        <v>329</v>
      </c>
      <c r="AY561" s="78" t="s">
        <v>329</v>
      </c>
      <c r="AZ561" s="78"/>
      <c r="BA561" s="78"/>
      <c r="BB561" s="137"/>
      <c r="BC561" s="78"/>
      <c r="BD561" s="78" t="s">
        <v>7913</v>
      </c>
      <c r="BE561" s="78" t="s">
        <v>401</v>
      </c>
      <c r="BF561" s="78" t="s">
        <v>7914</v>
      </c>
      <c r="BG561" s="77" t="s">
        <v>333</v>
      </c>
      <c r="BH561" s="78" t="s">
        <v>334</v>
      </c>
      <c r="BI561" s="78">
        <v>2</v>
      </c>
      <c r="BJ561" s="78"/>
      <c r="BK561" s="78" t="s">
        <v>571</v>
      </c>
      <c r="BL561" s="78">
        <v>11</v>
      </c>
      <c r="BM561" s="78"/>
      <c r="BN561" s="78" t="s">
        <v>3911</v>
      </c>
      <c r="BO561" s="78">
        <v>3</v>
      </c>
      <c r="BP561" s="78"/>
      <c r="BQ561" s="78"/>
      <c r="BR561" s="78"/>
      <c r="BS561" s="78"/>
      <c r="BT561" s="78"/>
      <c r="BU561" s="78"/>
      <c r="BV561" s="78"/>
      <c r="BW561" s="78"/>
      <c r="BX561" s="78"/>
      <c r="BY561" s="78"/>
      <c r="BZ561" s="78"/>
      <c r="CA561" s="78"/>
      <c r="CB561" s="78"/>
      <c r="CC561" s="78"/>
      <c r="CD561" s="78"/>
    </row>
    <row r="562" spans="1:82" s="116" customFormat="1" ht="15" x14ac:dyDescent="0.25">
      <c r="A562" s="125">
        <v>1050</v>
      </c>
      <c r="B562" s="109" t="s">
        <v>7915</v>
      </c>
      <c r="C562" s="114" t="s">
        <v>564</v>
      </c>
      <c r="D562" s="109" t="s">
        <v>81</v>
      </c>
      <c r="E562" s="125" t="s">
        <v>7916</v>
      </c>
      <c r="F562" s="127">
        <v>46189</v>
      </c>
      <c r="G562" s="127">
        <v>46189</v>
      </c>
      <c r="H562" s="113">
        <f t="shared" si="48"/>
        <v>46279</v>
      </c>
      <c r="I562" s="125" t="s">
        <v>290</v>
      </c>
      <c r="J562" s="125" t="s">
        <v>4508</v>
      </c>
      <c r="K562" s="125" t="s">
        <v>507</v>
      </c>
      <c r="L562" s="125" t="s">
        <v>1942</v>
      </c>
      <c r="M562" s="128" t="str">
        <f t="shared" si="59"/>
        <v>PUENTE MARTINEZ ADOLFO</v>
      </c>
      <c r="N562" s="128" t="s">
        <v>7917</v>
      </c>
      <c r="O562" s="128" t="s">
        <v>7918</v>
      </c>
      <c r="P562" s="125" t="s">
        <v>1953</v>
      </c>
      <c r="Q562" s="127">
        <v>38192</v>
      </c>
      <c r="R562" s="125">
        <f t="shared" si="60"/>
        <v>24</v>
      </c>
      <c r="S562" s="125">
        <f t="shared" si="61"/>
        <v>7</v>
      </c>
      <c r="T562" s="125">
        <f t="shared" si="62"/>
        <v>2004</v>
      </c>
      <c r="U562" s="142">
        <f t="shared" ca="1" si="63"/>
        <v>22.232876712328768</v>
      </c>
      <c r="V562" s="128" t="s">
        <v>452</v>
      </c>
      <c r="W562" s="128" t="s">
        <v>7919</v>
      </c>
      <c r="X562" s="125" t="s">
        <v>472</v>
      </c>
      <c r="Y562" s="125" t="s">
        <v>115</v>
      </c>
      <c r="Z562" s="109" t="s">
        <v>84</v>
      </c>
      <c r="AA562" s="109" t="s">
        <v>532</v>
      </c>
      <c r="AB562" s="109" t="s">
        <v>574</v>
      </c>
      <c r="AC562" s="125" t="s">
        <v>313</v>
      </c>
      <c r="AD562" s="125" t="s">
        <v>314</v>
      </c>
      <c r="AE562" s="125">
        <v>90</v>
      </c>
      <c r="AF562" s="114" t="s">
        <v>710</v>
      </c>
      <c r="AG562" s="109" t="s">
        <v>290</v>
      </c>
      <c r="AH562" s="114" t="s">
        <v>575</v>
      </c>
      <c r="AI562" s="109" t="s">
        <v>317</v>
      </c>
      <c r="AJ562" s="109" t="s">
        <v>318</v>
      </c>
      <c r="AK562" s="110" t="s">
        <v>7920</v>
      </c>
      <c r="AL562" s="145" t="s">
        <v>7921</v>
      </c>
      <c r="AM562" s="110" t="s">
        <v>7922</v>
      </c>
      <c r="AN562" s="110" t="s">
        <v>3175</v>
      </c>
      <c r="AO562" s="110" t="s">
        <v>398</v>
      </c>
      <c r="AP562" s="110" t="s">
        <v>398</v>
      </c>
      <c r="AQ562" s="110" t="s">
        <v>7923</v>
      </c>
      <c r="AR562" s="125">
        <v>63</v>
      </c>
      <c r="AS562" s="125">
        <v>18</v>
      </c>
      <c r="AT562" s="110" t="s">
        <v>116</v>
      </c>
      <c r="AU562" s="110" t="s">
        <v>583</v>
      </c>
      <c r="AV562" s="125">
        <v>44700</v>
      </c>
      <c r="AW562" s="125" t="s">
        <v>329</v>
      </c>
      <c r="AX562" s="110" t="s">
        <v>329</v>
      </c>
      <c r="AY562" s="110" t="s">
        <v>329</v>
      </c>
      <c r="AZ562" s="110"/>
      <c r="BA562" s="110"/>
      <c r="BB562" s="138"/>
      <c r="BC562" s="110"/>
      <c r="BD562" s="110" t="s">
        <v>7922</v>
      </c>
      <c r="BE562" s="110" t="s">
        <v>776</v>
      </c>
      <c r="BF562" s="110" t="s">
        <v>7924</v>
      </c>
      <c r="BG562" s="125" t="s">
        <v>333</v>
      </c>
      <c r="BH562" s="110" t="s">
        <v>334</v>
      </c>
      <c r="BI562" s="110">
        <v>1</v>
      </c>
      <c r="BJ562" s="110"/>
      <c r="BK562" s="110" t="s">
        <v>571</v>
      </c>
      <c r="BL562" s="110">
        <v>8</v>
      </c>
      <c r="BM562" s="110"/>
      <c r="BN562" s="110"/>
      <c r="BO562" s="110"/>
      <c r="BP562" s="110"/>
      <c r="BQ562" s="110"/>
      <c r="BR562" s="110"/>
      <c r="BS562" s="110"/>
      <c r="BT562" s="110"/>
      <c r="BU562" s="110"/>
      <c r="BV562" s="110"/>
      <c r="BW562" s="110"/>
      <c r="BX562" s="110"/>
      <c r="BY562" s="110"/>
      <c r="BZ562" s="110"/>
      <c r="CA562" s="110"/>
      <c r="CB562" s="110"/>
      <c r="CC562" s="110"/>
      <c r="CD562" s="110"/>
    </row>
    <row r="563" spans="1:82" ht="15" x14ac:dyDescent="0.25">
      <c r="A563" s="77">
        <v>840</v>
      </c>
      <c r="B563" s="12" t="s">
        <v>7926</v>
      </c>
      <c r="C563" s="13" t="s">
        <v>564</v>
      </c>
      <c r="D563" s="107" t="s">
        <v>81</v>
      </c>
      <c r="E563" s="78" t="s">
        <v>7927</v>
      </c>
      <c r="F563" s="79">
        <v>45761</v>
      </c>
      <c r="G563" s="79">
        <v>45761</v>
      </c>
      <c r="H563" s="101">
        <f t="shared" si="48"/>
        <v>45851</v>
      </c>
      <c r="I563" s="77" t="s">
        <v>291</v>
      </c>
      <c r="J563" s="77" t="s">
        <v>704</v>
      </c>
      <c r="K563" s="77" t="s">
        <v>4334</v>
      </c>
      <c r="L563" s="77" t="s">
        <v>7928</v>
      </c>
      <c r="M563" s="102" t="str">
        <f t="shared" si="59"/>
        <v>GONZALEZ AGUILAR JOSE OMAR OSCAR</v>
      </c>
      <c r="N563" s="102" t="s">
        <v>7929</v>
      </c>
      <c r="O563" s="102" t="s">
        <v>7930</v>
      </c>
      <c r="P563" s="77" t="s">
        <v>1953</v>
      </c>
      <c r="Q563" s="79">
        <v>27129</v>
      </c>
      <c r="R563" s="77">
        <f t="shared" si="60"/>
        <v>10</v>
      </c>
      <c r="S563" s="77">
        <f t="shared" si="61"/>
        <v>4</v>
      </c>
      <c r="T563" s="77">
        <f t="shared" si="62"/>
        <v>1974</v>
      </c>
      <c r="U563" s="103">
        <f t="shared" ca="1" si="63"/>
        <v>52.542465753424658</v>
      </c>
      <c r="V563" s="102" t="s">
        <v>1959</v>
      </c>
      <c r="W563" s="102" t="s">
        <v>7931</v>
      </c>
      <c r="X563" s="77"/>
      <c r="Y563" s="77"/>
      <c r="Z563" s="12" t="s">
        <v>84</v>
      </c>
      <c r="AA563" s="12" t="s">
        <v>532</v>
      </c>
      <c r="AB563" s="12" t="s">
        <v>574</v>
      </c>
      <c r="AC563" s="77" t="s">
        <v>313</v>
      </c>
      <c r="AD563" s="77" t="s">
        <v>314</v>
      </c>
      <c r="AE563" s="77">
        <v>90</v>
      </c>
      <c r="AF563" s="13" t="s">
        <v>710</v>
      </c>
      <c r="AG563" s="12" t="s">
        <v>290</v>
      </c>
      <c r="AH563" s="13" t="s">
        <v>575</v>
      </c>
      <c r="AI563" s="12" t="s">
        <v>317</v>
      </c>
      <c r="AJ563" s="12" t="s">
        <v>318</v>
      </c>
      <c r="AK563" s="78"/>
      <c r="AL563" s="143" t="s">
        <v>7932</v>
      </c>
      <c r="AM563" s="78"/>
      <c r="AN563" s="78"/>
      <c r="AO563" s="78"/>
      <c r="AP563" s="78"/>
      <c r="AQ563" s="78"/>
      <c r="AR563" s="77"/>
      <c r="AS563" s="77"/>
      <c r="AT563" s="78"/>
      <c r="AU563" s="78"/>
      <c r="AV563" s="77"/>
      <c r="AW563" s="77"/>
      <c r="AX563" s="78"/>
      <c r="AY563" s="78"/>
      <c r="AZ563" s="78"/>
      <c r="BA563" s="78"/>
      <c r="BB563" s="137"/>
      <c r="BC563" s="78"/>
      <c r="BD563" s="78"/>
      <c r="BE563" s="78"/>
      <c r="BF563" s="102"/>
      <c r="BG563" s="77"/>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row>
    <row r="564" spans="1:82" s="116" customFormat="1" ht="15" x14ac:dyDescent="0.25">
      <c r="A564" s="125">
        <v>493</v>
      </c>
      <c r="B564" s="109" t="s">
        <v>8339</v>
      </c>
      <c r="C564" s="114" t="s">
        <v>564</v>
      </c>
      <c r="D564" s="109" t="s">
        <v>81</v>
      </c>
      <c r="E564" s="125" t="s">
        <v>7933</v>
      </c>
      <c r="F564" s="127">
        <v>46198</v>
      </c>
      <c r="G564" s="127">
        <v>46198</v>
      </c>
      <c r="H564" s="113">
        <f t="shared" si="48"/>
        <v>46288</v>
      </c>
      <c r="I564" s="125" t="s">
        <v>290</v>
      </c>
      <c r="J564" s="125" t="s">
        <v>4359</v>
      </c>
      <c r="K564" s="125" t="s">
        <v>507</v>
      </c>
      <c r="L564" s="125" t="s">
        <v>7934</v>
      </c>
      <c r="M564" s="128" t="str">
        <f t="shared" si="59"/>
        <v>ROSAS MARTINEZ LUIS ALFREDO</v>
      </c>
      <c r="N564" s="128" t="s">
        <v>7935</v>
      </c>
      <c r="O564" s="128" t="s">
        <v>7936</v>
      </c>
      <c r="P564" s="125" t="s">
        <v>1953</v>
      </c>
      <c r="Q564" s="127">
        <v>35464</v>
      </c>
      <c r="R564" s="125">
        <f t="shared" si="60"/>
        <v>3</v>
      </c>
      <c r="S564" s="125">
        <f t="shared" si="61"/>
        <v>2</v>
      </c>
      <c r="T564" s="125">
        <f t="shared" si="62"/>
        <v>1997</v>
      </c>
      <c r="U564" s="142">
        <f t="shared" ca="1" si="63"/>
        <v>29.706849315068492</v>
      </c>
      <c r="V564" s="128" t="s">
        <v>342</v>
      </c>
      <c r="W564" s="128" t="s">
        <v>7937</v>
      </c>
      <c r="X564" s="125" t="s">
        <v>454</v>
      </c>
      <c r="Y564" s="125" t="s">
        <v>1498</v>
      </c>
      <c r="Z564" s="109" t="s">
        <v>84</v>
      </c>
      <c r="AA564" s="109" t="s">
        <v>532</v>
      </c>
      <c r="AB564" s="109" t="s">
        <v>574</v>
      </c>
      <c r="AC564" s="125" t="s">
        <v>313</v>
      </c>
      <c r="AD564" s="125" t="s">
        <v>314</v>
      </c>
      <c r="AE564" s="125">
        <v>90</v>
      </c>
      <c r="AF564" s="114" t="s">
        <v>710</v>
      </c>
      <c r="AG564" s="109" t="s">
        <v>290</v>
      </c>
      <c r="AH564" s="114" t="s">
        <v>575</v>
      </c>
      <c r="AI564" s="109" t="s">
        <v>317</v>
      </c>
      <c r="AJ564" s="109" t="s">
        <v>318</v>
      </c>
      <c r="AK564" s="110">
        <v>3325590255</v>
      </c>
      <c r="AL564" s="145" t="s">
        <v>7938</v>
      </c>
      <c r="AM564" s="110" t="s">
        <v>7939</v>
      </c>
      <c r="AN564" s="110" t="s">
        <v>478</v>
      </c>
      <c r="AO564" s="110" t="s">
        <v>327</v>
      </c>
      <c r="AP564" s="110" t="s">
        <v>398</v>
      </c>
      <c r="AQ564" s="110" t="s">
        <v>7940</v>
      </c>
      <c r="AR564" s="125">
        <v>4383</v>
      </c>
      <c r="AS564" s="125" t="s">
        <v>581</v>
      </c>
      <c r="AT564" s="110" t="s">
        <v>116</v>
      </c>
      <c r="AU564" s="110" t="s">
        <v>583</v>
      </c>
      <c r="AV564" s="125">
        <v>44970</v>
      </c>
      <c r="AW564" s="125" t="s">
        <v>329</v>
      </c>
      <c r="AX564" s="110" t="s">
        <v>329</v>
      </c>
      <c r="AY564" s="110" t="s">
        <v>329</v>
      </c>
      <c r="AZ564" s="110"/>
      <c r="BA564" s="110"/>
      <c r="BB564" s="138"/>
      <c r="BC564" s="110"/>
      <c r="BD564" s="110" t="s">
        <v>7939</v>
      </c>
      <c r="BE564" s="110" t="s">
        <v>478</v>
      </c>
      <c r="BF564" s="128">
        <v>3339499288</v>
      </c>
      <c r="BG564" s="125" t="s">
        <v>333</v>
      </c>
      <c r="BH564" s="110" t="s">
        <v>398</v>
      </c>
      <c r="BI564" s="110">
        <v>2</v>
      </c>
      <c r="BJ564" s="110"/>
      <c r="BK564" s="110" t="s">
        <v>571</v>
      </c>
      <c r="BL564" s="110">
        <v>7</v>
      </c>
      <c r="BM564" s="110"/>
      <c r="BN564" s="110" t="s">
        <v>3946</v>
      </c>
      <c r="BO564" s="110" t="s">
        <v>3961</v>
      </c>
      <c r="BP564" s="110"/>
      <c r="BQ564" s="110"/>
      <c r="BR564" s="110"/>
      <c r="BS564" s="110"/>
      <c r="BT564" s="110"/>
      <c r="BU564" s="110"/>
      <c r="BV564" s="110"/>
      <c r="BW564" s="110"/>
      <c r="BX564" s="110"/>
      <c r="BY564" s="110"/>
      <c r="BZ564" s="110"/>
      <c r="CA564" s="110"/>
      <c r="CB564" s="110"/>
      <c r="CC564" s="110"/>
      <c r="CD564" s="110"/>
    </row>
    <row r="565" spans="1:82" ht="15" x14ac:dyDescent="0.25">
      <c r="A565" s="77">
        <v>1051</v>
      </c>
      <c r="B565" s="77" t="s">
        <v>8338</v>
      </c>
      <c r="C565" s="78" t="s">
        <v>335</v>
      </c>
      <c r="D565" s="77" t="s">
        <v>86</v>
      </c>
      <c r="E565" s="77">
        <v>44160208078</v>
      </c>
      <c r="F565" s="79">
        <v>46202</v>
      </c>
      <c r="G565" s="79">
        <v>46202</v>
      </c>
      <c r="H565" s="101">
        <f t="shared" si="48"/>
        <v>46292</v>
      </c>
      <c r="I565" s="77" t="s">
        <v>291</v>
      </c>
      <c r="J565" s="77" t="s">
        <v>7941</v>
      </c>
      <c r="K565" s="77" t="s">
        <v>7942</v>
      </c>
      <c r="L565" s="77" t="s">
        <v>7943</v>
      </c>
      <c r="M565" s="102" t="str">
        <f t="shared" si="59"/>
        <v>CAMPOS  LEAL CLAUDIO ALEXIS</v>
      </c>
      <c r="N565" s="102" t="s">
        <v>7944</v>
      </c>
      <c r="O565" s="102" t="s">
        <v>7945</v>
      </c>
      <c r="P565" s="77" t="s">
        <v>1953</v>
      </c>
      <c r="Q565" s="79">
        <v>37363</v>
      </c>
      <c r="R565" s="77">
        <f t="shared" si="60"/>
        <v>17</v>
      </c>
      <c r="S565" s="77">
        <f t="shared" si="61"/>
        <v>4</v>
      </c>
      <c r="T565" s="77">
        <f t="shared" si="62"/>
        <v>2002</v>
      </c>
      <c r="U565" s="103">
        <f t="shared" ca="1" si="63"/>
        <v>24.504109589041096</v>
      </c>
      <c r="V565" s="102" t="s">
        <v>389</v>
      </c>
      <c r="W565" s="102" t="s">
        <v>7954</v>
      </c>
      <c r="X565" s="77" t="s">
        <v>530</v>
      </c>
      <c r="Y565" s="77" t="s">
        <v>216</v>
      </c>
      <c r="Z565" s="12" t="s">
        <v>214</v>
      </c>
      <c r="AA565" s="12" t="s">
        <v>857</v>
      </c>
      <c r="AB565" s="12" t="s">
        <v>2306</v>
      </c>
      <c r="AC565" s="12" t="s">
        <v>313</v>
      </c>
      <c r="AD565" s="12" t="s">
        <v>314</v>
      </c>
      <c r="AE565" s="12">
        <v>90</v>
      </c>
      <c r="AF565" s="13" t="s">
        <v>315</v>
      </c>
      <c r="AG565" s="12" t="s">
        <v>291</v>
      </c>
      <c r="AH565" s="104" t="s">
        <v>2342</v>
      </c>
      <c r="AI565" s="12" t="s">
        <v>317</v>
      </c>
      <c r="AJ565" s="12" t="s">
        <v>318</v>
      </c>
      <c r="AK565" s="78" t="s">
        <v>7946</v>
      </c>
      <c r="AL565" s="143" t="s">
        <v>7947</v>
      </c>
      <c r="AM565" s="78" t="s">
        <v>7948</v>
      </c>
      <c r="AN565" s="78" t="s">
        <v>325</v>
      </c>
      <c r="AO565" s="78" t="s">
        <v>398</v>
      </c>
      <c r="AP565" s="78" t="s">
        <v>398</v>
      </c>
      <c r="AQ565" s="78" t="s">
        <v>7949</v>
      </c>
      <c r="AR565" s="77" t="s">
        <v>7950</v>
      </c>
      <c r="AS565" s="77" t="s">
        <v>7951</v>
      </c>
      <c r="AT565" s="78" t="s">
        <v>7952</v>
      </c>
      <c r="AU565" s="78" t="s">
        <v>1066</v>
      </c>
      <c r="AV565" s="77">
        <v>55296</v>
      </c>
      <c r="AW565" s="77" t="s">
        <v>329</v>
      </c>
      <c r="AX565" s="78" t="s">
        <v>329</v>
      </c>
      <c r="AY565" s="78" t="s">
        <v>329</v>
      </c>
      <c r="AZ565" s="78"/>
      <c r="BA565" s="78"/>
      <c r="BB565" s="137"/>
      <c r="BC565" s="78"/>
      <c r="BD565" s="78" t="s">
        <v>7948</v>
      </c>
      <c r="BE565" s="78" t="s">
        <v>325</v>
      </c>
      <c r="BF565" s="102">
        <v>4444203898</v>
      </c>
      <c r="BG565" s="77" t="s">
        <v>7953</v>
      </c>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row>
    <row r="566" spans="1:82" ht="15" x14ac:dyDescent="0.25">
      <c r="A566" s="77">
        <v>1052</v>
      </c>
      <c r="B566" s="77" t="s">
        <v>7955</v>
      </c>
      <c r="C566" s="78" t="s">
        <v>363</v>
      </c>
      <c r="D566" s="77" t="s">
        <v>86</v>
      </c>
      <c r="E566" s="77">
        <v>41078845561</v>
      </c>
      <c r="F566" s="79">
        <v>46209</v>
      </c>
      <c r="G566" s="79">
        <v>46209</v>
      </c>
      <c r="H566" s="101">
        <f t="shared" si="48"/>
        <v>46299</v>
      </c>
      <c r="I566" s="77" t="s">
        <v>290</v>
      </c>
      <c r="J566" s="77" t="s">
        <v>4385</v>
      </c>
      <c r="K566" s="77" t="s">
        <v>507</v>
      </c>
      <c r="L566" s="77" t="s">
        <v>1492</v>
      </c>
      <c r="M566" s="102" t="str">
        <f t="shared" si="59"/>
        <v>ROCHA MARTINEZ JOSE ALFREDO</v>
      </c>
      <c r="N566" s="151" t="s">
        <v>7956</v>
      </c>
      <c r="O566" s="102" t="s">
        <v>7957</v>
      </c>
      <c r="P566" s="77" t="s">
        <v>1953</v>
      </c>
      <c r="Q566" s="79">
        <v>32240</v>
      </c>
      <c r="R566" s="77">
        <f t="shared" si="60"/>
        <v>7</v>
      </c>
      <c r="S566" s="77">
        <f t="shared" si="61"/>
        <v>4</v>
      </c>
      <c r="T566" s="77">
        <f t="shared" si="62"/>
        <v>1988</v>
      </c>
      <c r="U566" s="103">
        <f t="shared" ca="1" si="63"/>
        <v>38.539726027397258</v>
      </c>
      <c r="V566" s="102" t="s">
        <v>342</v>
      </c>
      <c r="W566" s="102" t="s">
        <v>7958</v>
      </c>
      <c r="X566" s="77" t="s">
        <v>530</v>
      </c>
      <c r="Y566" s="77" t="s">
        <v>391</v>
      </c>
      <c r="Z566" s="77" t="s">
        <v>88</v>
      </c>
      <c r="AA566" s="77" t="s">
        <v>392</v>
      </c>
      <c r="AB566" s="77" t="s">
        <v>374</v>
      </c>
      <c r="AC566" s="77" t="s">
        <v>313</v>
      </c>
      <c r="AD566" s="77" t="s">
        <v>314</v>
      </c>
      <c r="AE566" s="77">
        <v>90</v>
      </c>
      <c r="AF566" s="102" t="s">
        <v>375</v>
      </c>
      <c r="AG566" s="77" t="s">
        <v>290</v>
      </c>
      <c r="AH566" s="78" t="s">
        <v>473</v>
      </c>
      <c r="AI566" s="12" t="s">
        <v>317</v>
      </c>
      <c r="AJ566" s="12" t="s">
        <v>318</v>
      </c>
      <c r="AK566" s="78" t="s">
        <v>7959</v>
      </c>
      <c r="AL566" s="78" t="s">
        <v>7960</v>
      </c>
      <c r="AM566" s="78" t="s">
        <v>7961</v>
      </c>
      <c r="AN566" s="78" t="s">
        <v>381</v>
      </c>
      <c r="AO566" s="78" t="s">
        <v>327</v>
      </c>
      <c r="AP566" s="78" t="s">
        <v>398</v>
      </c>
      <c r="AQ566" s="78" t="s">
        <v>7962</v>
      </c>
      <c r="AR566" s="77">
        <v>141</v>
      </c>
      <c r="AS566" s="77" t="s">
        <v>581</v>
      </c>
      <c r="AT566" s="78" t="s">
        <v>483</v>
      </c>
      <c r="AU566" s="78" t="s">
        <v>483</v>
      </c>
      <c r="AV566" s="77">
        <v>78280</v>
      </c>
      <c r="AW566" s="77" t="s">
        <v>329</v>
      </c>
      <c r="AX566" s="78" t="s">
        <v>329</v>
      </c>
      <c r="AY566" s="78" t="s">
        <v>329</v>
      </c>
      <c r="AZ566" s="78"/>
      <c r="BA566" s="78"/>
      <c r="BB566" s="137"/>
      <c r="BC566" s="78"/>
      <c r="BD566" s="78" t="s">
        <v>7961</v>
      </c>
      <c r="BE566" s="78" t="s">
        <v>381</v>
      </c>
      <c r="BF566" s="78">
        <v>4442207776</v>
      </c>
      <c r="BG566" s="77" t="s">
        <v>333</v>
      </c>
      <c r="BH566" s="78" t="s">
        <v>334</v>
      </c>
      <c r="BI566" s="78">
        <v>3</v>
      </c>
      <c r="BJ566" s="78"/>
      <c r="BK566" s="78" t="s">
        <v>3946</v>
      </c>
      <c r="BL566" s="78">
        <v>15</v>
      </c>
      <c r="BM566" s="78"/>
      <c r="BN566" s="78" t="s">
        <v>3911</v>
      </c>
      <c r="BO566" s="78">
        <v>10</v>
      </c>
      <c r="BP566" s="78"/>
      <c r="BQ566" s="78" t="s">
        <v>3911</v>
      </c>
      <c r="BR566" s="78">
        <v>6</v>
      </c>
      <c r="BS566" s="78"/>
      <c r="BT566" s="78"/>
      <c r="BU566" s="78"/>
      <c r="BV566" s="78"/>
      <c r="BW566" s="78"/>
      <c r="BX566" s="78"/>
      <c r="BY566" s="78"/>
      <c r="BZ566" s="78"/>
      <c r="CA566" s="78"/>
      <c r="CB566" s="78"/>
      <c r="CC566" s="78"/>
      <c r="CD566" s="78"/>
    </row>
    <row r="567" spans="1:82" ht="15" x14ac:dyDescent="0.25">
      <c r="A567" s="77">
        <v>721</v>
      </c>
      <c r="B567" s="12" t="s">
        <v>3998</v>
      </c>
      <c r="C567" s="13" t="s">
        <v>564</v>
      </c>
      <c r="D567" s="107" t="s">
        <v>81</v>
      </c>
      <c r="E567" s="77" t="s">
        <v>7963</v>
      </c>
      <c r="F567" s="79">
        <v>46218</v>
      </c>
      <c r="G567" s="79">
        <v>46218</v>
      </c>
      <c r="H567" s="101">
        <f t="shared" si="48"/>
        <v>46308</v>
      </c>
      <c r="I567" s="77" t="s">
        <v>290</v>
      </c>
      <c r="J567" s="77" t="s">
        <v>4325</v>
      </c>
      <c r="K567" s="77" t="s">
        <v>4451</v>
      </c>
      <c r="L567" s="77" t="s">
        <v>1723</v>
      </c>
      <c r="M567" s="102" t="str">
        <f t="shared" si="59"/>
        <v>TRANQUILINO ENRIQUEZ JOSE MARTIN</v>
      </c>
      <c r="N567" s="102" t="s">
        <v>7015</v>
      </c>
      <c r="O567" s="102" t="s">
        <v>4581</v>
      </c>
      <c r="P567" s="77" t="s">
        <v>1953</v>
      </c>
      <c r="Q567" s="79">
        <v>30022</v>
      </c>
      <c r="R567" s="77">
        <f t="shared" si="60"/>
        <v>12</v>
      </c>
      <c r="S567" s="77">
        <f t="shared" si="61"/>
        <v>3</v>
      </c>
      <c r="T567" s="77">
        <f t="shared" si="62"/>
        <v>1982</v>
      </c>
      <c r="U567" s="103">
        <f t="shared" ca="1" si="63"/>
        <v>44.61643835616438</v>
      </c>
      <c r="V567" s="102" t="s">
        <v>452</v>
      </c>
      <c r="W567" s="102" t="s">
        <v>7964</v>
      </c>
      <c r="X567" s="77" t="s">
        <v>472</v>
      </c>
      <c r="Y567" s="77" t="s">
        <v>115</v>
      </c>
      <c r="Z567" s="12" t="s">
        <v>84</v>
      </c>
      <c r="AA567" s="12" t="s">
        <v>532</v>
      </c>
      <c r="AB567" s="12" t="s">
        <v>574</v>
      </c>
      <c r="AC567" s="77" t="s">
        <v>313</v>
      </c>
      <c r="AD567" s="77" t="s">
        <v>314</v>
      </c>
      <c r="AE567" s="77">
        <v>90</v>
      </c>
      <c r="AF567" s="13" t="s">
        <v>710</v>
      </c>
      <c r="AG567" s="12" t="s">
        <v>290</v>
      </c>
      <c r="AH567" s="13" t="s">
        <v>575</v>
      </c>
      <c r="AI567" s="12" t="s">
        <v>317</v>
      </c>
      <c r="AJ567" s="12" t="s">
        <v>318</v>
      </c>
      <c r="AK567" s="78" t="s">
        <v>7965</v>
      </c>
      <c r="AL567" s="143" t="s">
        <v>2898</v>
      </c>
      <c r="AM567" s="78" t="s">
        <v>7966</v>
      </c>
      <c r="AN567" s="78" t="s">
        <v>832</v>
      </c>
      <c r="AO567" s="78" t="s">
        <v>327</v>
      </c>
      <c r="AP567" s="78" t="s">
        <v>327</v>
      </c>
      <c r="AQ567" s="78" t="s">
        <v>7967</v>
      </c>
      <c r="AR567" s="77">
        <v>1300</v>
      </c>
      <c r="AS567" s="77" t="s">
        <v>699</v>
      </c>
      <c r="AT567" s="78" t="s">
        <v>116</v>
      </c>
      <c r="AU567" s="78" t="s">
        <v>583</v>
      </c>
      <c r="AV567" s="77">
        <v>44300</v>
      </c>
      <c r="AW567" s="77" t="s">
        <v>329</v>
      </c>
      <c r="AX567" s="78" t="s">
        <v>329</v>
      </c>
      <c r="AY567" s="78" t="s">
        <v>329</v>
      </c>
      <c r="AZ567" s="78"/>
      <c r="BA567" s="78"/>
      <c r="BB567" s="137"/>
      <c r="BC567" s="78"/>
      <c r="BD567" s="78" t="s">
        <v>2380</v>
      </c>
      <c r="BE567" s="78" t="s">
        <v>478</v>
      </c>
      <c r="BF567" s="78" t="s">
        <v>7968</v>
      </c>
      <c r="BG567" s="77" t="s">
        <v>333</v>
      </c>
      <c r="BH567" s="78" t="s">
        <v>398</v>
      </c>
      <c r="BI567" s="78">
        <v>2</v>
      </c>
      <c r="BJ567" s="78"/>
      <c r="BK567" s="78" t="s">
        <v>633</v>
      </c>
      <c r="BL567" s="78">
        <v>27</v>
      </c>
      <c r="BM567" s="78"/>
      <c r="BN567" s="78" t="s">
        <v>633</v>
      </c>
      <c r="BO567" s="78">
        <v>21</v>
      </c>
      <c r="BP567" s="78"/>
      <c r="BQ567" s="78"/>
      <c r="BR567" s="78"/>
      <c r="BS567" s="78"/>
      <c r="BT567" s="78"/>
      <c r="BU567" s="78"/>
      <c r="BV567" s="78"/>
      <c r="BW567" s="78"/>
      <c r="BX567" s="78"/>
      <c r="BY567" s="78"/>
      <c r="BZ567" s="78"/>
      <c r="CA567" s="78"/>
      <c r="CB567" s="78"/>
      <c r="CC567" s="78"/>
      <c r="CD567" s="78"/>
    </row>
    <row r="568" spans="1:82" ht="15" x14ac:dyDescent="0.25">
      <c r="A568" s="77">
        <v>1053</v>
      </c>
      <c r="B568" s="77" t="s">
        <v>7969</v>
      </c>
      <c r="C568" s="78" t="s">
        <v>335</v>
      </c>
      <c r="D568" s="77" t="s">
        <v>161</v>
      </c>
      <c r="E568" s="77">
        <v>10159809556</v>
      </c>
      <c r="F568" s="79">
        <v>46226</v>
      </c>
      <c r="G568" s="79">
        <v>46226</v>
      </c>
      <c r="H568" s="101">
        <f t="shared" ref="H568:H631" si="64">+G568+AE568</f>
        <v>46316</v>
      </c>
      <c r="I568" s="77" t="s">
        <v>290</v>
      </c>
      <c r="J568" s="77" t="s">
        <v>7970</v>
      </c>
      <c r="K568" s="77" t="s">
        <v>590</v>
      </c>
      <c r="L568" s="77" t="s">
        <v>1704</v>
      </c>
      <c r="M568" s="102" t="str">
        <f t="shared" si="59"/>
        <v>ACUÑA PEREZ RAUL</v>
      </c>
      <c r="N568" s="102" t="s">
        <v>7971</v>
      </c>
      <c r="O568" s="102" t="s">
        <v>7972</v>
      </c>
      <c r="P568" s="77" t="s">
        <v>1953</v>
      </c>
      <c r="Q568" s="79">
        <v>35901</v>
      </c>
      <c r="R568" s="77">
        <f t="shared" si="60"/>
        <v>16</v>
      </c>
      <c r="S568" s="77">
        <f t="shared" si="61"/>
        <v>4</v>
      </c>
      <c r="T568" s="77">
        <f t="shared" si="62"/>
        <v>1998</v>
      </c>
      <c r="U568" s="103">
        <f t="shared" ca="1" si="63"/>
        <v>28.509589041095889</v>
      </c>
      <c r="V568" s="102" t="s">
        <v>452</v>
      </c>
      <c r="W568" s="102" t="s">
        <v>7973</v>
      </c>
      <c r="X568" s="77" t="s">
        <v>454</v>
      </c>
      <c r="Y568" s="77" t="s">
        <v>5083</v>
      </c>
      <c r="Z568" s="12" t="s">
        <v>164</v>
      </c>
      <c r="AA568" s="12" t="s">
        <v>347</v>
      </c>
      <c r="AB568" s="12" t="s">
        <v>2297</v>
      </c>
      <c r="AC568" s="77" t="s">
        <v>313</v>
      </c>
      <c r="AD568" s="77" t="s">
        <v>314</v>
      </c>
      <c r="AE568" s="77">
        <v>90</v>
      </c>
      <c r="AF568" s="13" t="s">
        <v>2330</v>
      </c>
      <c r="AG568" s="12" t="s">
        <v>290</v>
      </c>
      <c r="AH568" s="78" t="s">
        <v>2343</v>
      </c>
      <c r="AI568" s="12" t="s">
        <v>317</v>
      </c>
      <c r="AJ568" s="12" t="s">
        <v>318</v>
      </c>
      <c r="AK568" s="78" t="s">
        <v>7974</v>
      </c>
      <c r="AL568" s="143" t="s">
        <v>7975</v>
      </c>
      <c r="AM568" s="78" t="s">
        <v>7976</v>
      </c>
      <c r="AN568" s="78" t="s">
        <v>325</v>
      </c>
      <c r="AO568" s="78" t="s">
        <v>398</v>
      </c>
      <c r="AP568" s="78" t="s">
        <v>398</v>
      </c>
      <c r="AQ568" s="78" t="s">
        <v>7977</v>
      </c>
      <c r="AR568" s="77">
        <v>255</v>
      </c>
      <c r="AS568" s="77" t="s">
        <v>699</v>
      </c>
      <c r="AT568" s="78" t="s">
        <v>3376</v>
      </c>
      <c r="AU568" s="78" t="s">
        <v>483</v>
      </c>
      <c r="AV568" s="77">
        <v>79060</v>
      </c>
      <c r="AW568" s="77" t="s">
        <v>329</v>
      </c>
      <c r="AX568" s="78" t="s">
        <v>329</v>
      </c>
      <c r="AY568" s="78" t="s">
        <v>329</v>
      </c>
      <c r="AZ568" s="78"/>
      <c r="BA568" s="78"/>
      <c r="BB568" s="137"/>
      <c r="BC568" s="78"/>
      <c r="BD568" s="78" t="s">
        <v>7976</v>
      </c>
      <c r="BE568" s="78" t="s">
        <v>325</v>
      </c>
      <c r="BF568" s="78" t="s">
        <v>7978</v>
      </c>
      <c r="BG568" s="77"/>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row>
    <row r="569" spans="1:82" ht="15" x14ac:dyDescent="0.25">
      <c r="A569" s="77">
        <v>1054</v>
      </c>
      <c r="B569" s="77" t="s">
        <v>7979</v>
      </c>
      <c r="C569" s="78" t="s">
        <v>335</v>
      </c>
      <c r="D569" s="77" t="s">
        <v>116</v>
      </c>
      <c r="E569" s="77">
        <v>17230627667</v>
      </c>
      <c r="F569" s="79">
        <v>46232</v>
      </c>
      <c r="G569" s="79">
        <v>46232</v>
      </c>
      <c r="H569" s="101">
        <f t="shared" si="64"/>
        <v>46322</v>
      </c>
      <c r="I569" s="77" t="s">
        <v>290</v>
      </c>
      <c r="J569" s="77" t="s">
        <v>793</v>
      </c>
      <c r="K569" s="77" t="s">
        <v>5329</v>
      </c>
      <c r="L569" s="77" t="s">
        <v>1787</v>
      </c>
      <c r="M569" s="102" t="str">
        <f t="shared" si="59"/>
        <v>LOPEZ BELTRAN LUIS ANTONIO</v>
      </c>
      <c r="N569" s="102" t="s">
        <v>7980</v>
      </c>
      <c r="O569" s="102" t="s">
        <v>7981</v>
      </c>
      <c r="P569" s="77" t="s">
        <v>1953</v>
      </c>
      <c r="Q569" s="79">
        <v>38867</v>
      </c>
      <c r="R569" s="77">
        <f t="shared" si="60"/>
        <v>30</v>
      </c>
      <c r="S569" s="77">
        <f t="shared" si="61"/>
        <v>5</v>
      </c>
      <c r="T569" s="77">
        <f t="shared" si="62"/>
        <v>2006</v>
      </c>
      <c r="U569" s="103">
        <f t="shared" ca="1" si="63"/>
        <v>20.383561643835616</v>
      </c>
      <c r="V569" s="102" t="s">
        <v>389</v>
      </c>
      <c r="W569" s="102" t="s">
        <v>7982</v>
      </c>
      <c r="X569" s="77" t="s">
        <v>6412</v>
      </c>
      <c r="Y569" s="77" t="s">
        <v>7440</v>
      </c>
      <c r="Z569" s="77" t="s">
        <v>149</v>
      </c>
      <c r="AA569" s="77" t="s">
        <v>347</v>
      </c>
      <c r="AB569" s="77" t="s">
        <v>2293</v>
      </c>
      <c r="AC569" s="12" t="s">
        <v>313</v>
      </c>
      <c r="AD569" s="77" t="s">
        <v>314</v>
      </c>
      <c r="AE569" s="12">
        <v>90</v>
      </c>
      <c r="AF569" s="13" t="s">
        <v>350</v>
      </c>
      <c r="AG569" s="12" t="s">
        <v>290</v>
      </c>
      <c r="AH569" s="104" t="s">
        <v>351</v>
      </c>
      <c r="AI569" s="12" t="s">
        <v>317</v>
      </c>
      <c r="AJ569" s="12" t="s">
        <v>318</v>
      </c>
      <c r="AK569" s="78" t="s">
        <v>7983</v>
      </c>
      <c r="AL569" s="143" t="s">
        <v>7984</v>
      </c>
      <c r="AM569" s="78" t="s">
        <v>7985</v>
      </c>
      <c r="AN569" s="78" t="s">
        <v>1003</v>
      </c>
      <c r="AO569" s="78" t="s">
        <v>398</v>
      </c>
      <c r="AP569" s="78" t="s">
        <v>398</v>
      </c>
      <c r="AQ569" s="78" t="s">
        <v>7986</v>
      </c>
      <c r="AR569" s="77" t="s">
        <v>7987</v>
      </c>
      <c r="AS569" s="77" t="s">
        <v>581</v>
      </c>
      <c r="AT569" s="78" t="s">
        <v>7988</v>
      </c>
      <c r="AU569" s="78" t="s">
        <v>583</v>
      </c>
      <c r="AV569" s="77">
        <v>45350</v>
      </c>
      <c r="AW569" s="77" t="s">
        <v>329</v>
      </c>
      <c r="AX569" s="78" t="s">
        <v>329</v>
      </c>
      <c r="AY569" s="78" t="s">
        <v>329</v>
      </c>
      <c r="AZ569" s="78"/>
      <c r="BA569" s="78"/>
      <c r="BB569" s="137"/>
      <c r="BC569" s="78"/>
      <c r="BD569" s="78" t="s">
        <v>7989</v>
      </c>
      <c r="BE569" s="78" t="s">
        <v>7990</v>
      </c>
      <c r="BF569" s="78" t="s">
        <v>7870</v>
      </c>
      <c r="BG569" s="77" t="s">
        <v>5910</v>
      </c>
      <c r="BH569" s="78" t="s">
        <v>327</v>
      </c>
      <c r="BI569" s="78">
        <v>2</v>
      </c>
      <c r="BJ569" s="78"/>
      <c r="BK569" s="78" t="s">
        <v>3911</v>
      </c>
      <c r="BL569" s="78">
        <v>3</v>
      </c>
      <c r="BM569" s="78"/>
      <c r="BN569" s="78" t="s">
        <v>3946</v>
      </c>
      <c r="BO569" s="78">
        <v>2</v>
      </c>
      <c r="BP569" s="78"/>
      <c r="BQ569" s="78"/>
      <c r="BR569" s="78"/>
      <c r="BS569" s="78"/>
      <c r="BT569" s="78"/>
      <c r="BU569" s="78"/>
      <c r="BV569" s="78"/>
      <c r="BW569" s="78"/>
      <c r="BX569" s="78"/>
      <c r="BY569" s="78"/>
      <c r="BZ569" s="78"/>
      <c r="CA569" s="78"/>
      <c r="CB569" s="78"/>
      <c r="CC569" s="78"/>
      <c r="CD569" s="78"/>
    </row>
    <row r="570" spans="1:82" ht="15" x14ac:dyDescent="0.25">
      <c r="A570" s="77">
        <v>1288</v>
      </c>
      <c r="B570" s="77" t="s">
        <v>8061</v>
      </c>
      <c r="C570" s="78" t="s">
        <v>299</v>
      </c>
      <c r="D570" s="99" t="s">
        <v>80</v>
      </c>
      <c r="E570" s="77">
        <v>41896718032</v>
      </c>
      <c r="F570" s="79">
        <v>46237</v>
      </c>
      <c r="G570" s="79">
        <v>46237</v>
      </c>
      <c r="H570" s="101">
        <f t="shared" si="64"/>
        <v>46327</v>
      </c>
      <c r="I570" s="77" t="s">
        <v>291</v>
      </c>
      <c r="J570" s="77" t="s">
        <v>1044</v>
      </c>
      <c r="K570" s="77" t="s">
        <v>7991</v>
      </c>
      <c r="L570" s="77" t="s">
        <v>7992</v>
      </c>
      <c r="M570" s="102" t="str">
        <f t="shared" si="59"/>
        <v>RODRIGUEZ VIDAL EIZO LUIS</v>
      </c>
      <c r="N570" s="102" t="s">
        <v>7993</v>
      </c>
      <c r="O570" s="102" t="s">
        <v>7994</v>
      </c>
      <c r="P570" s="77" t="s">
        <v>1953</v>
      </c>
      <c r="Q570" s="79">
        <v>24709</v>
      </c>
      <c r="R570" s="77">
        <f t="shared" si="60"/>
        <v>25</v>
      </c>
      <c r="S570" s="77">
        <f t="shared" si="61"/>
        <v>8</v>
      </c>
      <c r="T570" s="77">
        <f t="shared" si="62"/>
        <v>1967</v>
      </c>
      <c r="U570" s="103">
        <f t="shared" ca="1" si="63"/>
        <v>59.172602739726024</v>
      </c>
      <c r="V570" s="102" t="s">
        <v>342</v>
      </c>
      <c r="W570" s="102" t="s">
        <v>7995</v>
      </c>
      <c r="X570" s="77" t="s">
        <v>7394</v>
      </c>
      <c r="Y570" s="77" t="s">
        <v>8212</v>
      </c>
      <c r="Z570" s="12" t="s">
        <v>170</v>
      </c>
      <c r="AA570" s="12" t="s">
        <v>636</v>
      </c>
      <c r="AB570" s="12" t="s">
        <v>1368</v>
      </c>
      <c r="AC570" s="12" t="s">
        <v>313</v>
      </c>
      <c r="AD570" s="12" t="s">
        <v>314</v>
      </c>
      <c r="AE570" s="12">
        <v>90</v>
      </c>
      <c r="AF570" s="13" t="s">
        <v>315</v>
      </c>
      <c r="AG570" s="12" t="s">
        <v>291</v>
      </c>
      <c r="AH570" s="104" t="s">
        <v>316</v>
      </c>
      <c r="AI570" s="12" t="s">
        <v>317</v>
      </c>
      <c r="AJ570" s="12" t="s">
        <v>318</v>
      </c>
      <c r="AK570" s="78" t="s">
        <v>7996</v>
      </c>
      <c r="AL570" s="143" t="s">
        <v>7997</v>
      </c>
      <c r="AM570" s="78" t="s">
        <v>7998</v>
      </c>
      <c r="AN570" s="78" t="s">
        <v>832</v>
      </c>
      <c r="AO570" s="78" t="s">
        <v>398</v>
      </c>
      <c r="AP570" s="78" t="s">
        <v>398</v>
      </c>
      <c r="AQ570" s="78" t="s">
        <v>7999</v>
      </c>
      <c r="AR570" s="77">
        <v>120</v>
      </c>
      <c r="AS570" s="77" t="s">
        <v>8000</v>
      </c>
      <c r="AT570" s="78" t="s">
        <v>483</v>
      </c>
      <c r="AU570" s="78" t="s">
        <v>483</v>
      </c>
      <c r="AV570" s="77">
        <v>78180</v>
      </c>
      <c r="AW570" s="77" t="s">
        <v>329</v>
      </c>
      <c r="AX570" s="78" t="s">
        <v>329</v>
      </c>
      <c r="AY570" s="78" t="s">
        <v>329</v>
      </c>
      <c r="AZ570" s="78"/>
      <c r="BA570" s="78"/>
      <c r="BB570" s="137"/>
      <c r="BC570" s="78"/>
      <c r="BD570" s="78" t="s">
        <v>7998</v>
      </c>
      <c r="BE570" s="78" t="s">
        <v>832</v>
      </c>
      <c r="BF570" s="78" t="s">
        <v>8001</v>
      </c>
      <c r="BG570" s="77" t="s">
        <v>1406</v>
      </c>
      <c r="BH570" s="78" t="s">
        <v>3815</v>
      </c>
      <c r="BI570" s="78">
        <v>2</v>
      </c>
      <c r="BJ570" s="78"/>
      <c r="BK570" s="78" t="s">
        <v>571</v>
      </c>
      <c r="BL570" s="78">
        <v>21</v>
      </c>
      <c r="BM570" s="78"/>
      <c r="BN570" s="78" t="s">
        <v>3911</v>
      </c>
      <c r="BO570" s="78">
        <v>23</v>
      </c>
      <c r="BP570" s="78"/>
      <c r="BQ570" s="78"/>
      <c r="BR570" s="78"/>
      <c r="BS570" s="78"/>
      <c r="BT570" s="78"/>
      <c r="BU570" s="78"/>
      <c r="BV570" s="78"/>
      <c r="BW570" s="78"/>
      <c r="BX570" s="78"/>
      <c r="BY570" s="78"/>
      <c r="BZ570" s="78"/>
      <c r="CA570" s="78"/>
      <c r="CB570" s="78"/>
      <c r="CC570" s="78"/>
      <c r="CD570" s="78" t="s">
        <v>0</v>
      </c>
    </row>
    <row r="571" spans="1:82" ht="15" x14ac:dyDescent="0.25">
      <c r="A571" s="77">
        <v>1055</v>
      </c>
      <c r="B571" s="77" t="s">
        <v>8002</v>
      </c>
      <c r="C571" s="78" t="s">
        <v>363</v>
      </c>
      <c r="D571" s="77" t="s">
        <v>98</v>
      </c>
      <c r="E571" s="77" t="s">
        <v>8003</v>
      </c>
      <c r="F571" s="79">
        <v>46237</v>
      </c>
      <c r="G571" s="79">
        <v>46237</v>
      </c>
      <c r="H571" s="101">
        <f t="shared" si="64"/>
        <v>46327</v>
      </c>
      <c r="I571" s="77" t="s">
        <v>291</v>
      </c>
      <c r="J571" s="77" t="s">
        <v>793</v>
      </c>
      <c r="K571" s="77" t="s">
        <v>704</v>
      </c>
      <c r="L571" s="77" t="s">
        <v>1722</v>
      </c>
      <c r="M571" s="102" t="str">
        <f t="shared" si="59"/>
        <v>LOPEZ GONZALEZ SERGIO</v>
      </c>
      <c r="N571" s="102" t="s">
        <v>8004</v>
      </c>
      <c r="O571" s="102" t="s">
        <v>8005</v>
      </c>
      <c r="P571" s="77" t="s">
        <v>1953</v>
      </c>
      <c r="Q571" s="79">
        <v>28201</v>
      </c>
      <c r="R571" s="77">
        <f t="shared" si="60"/>
        <v>17</v>
      </c>
      <c r="S571" s="77">
        <f t="shared" si="61"/>
        <v>3</v>
      </c>
      <c r="T571" s="77">
        <f t="shared" si="62"/>
        <v>1977</v>
      </c>
      <c r="U571" s="103">
        <f t="shared" ca="1" si="63"/>
        <v>49.605479452054794</v>
      </c>
      <c r="V571" s="102" t="s">
        <v>342</v>
      </c>
      <c r="W571" s="102" t="s">
        <v>8010</v>
      </c>
      <c r="X571" s="77" t="s">
        <v>310</v>
      </c>
      <c r="Y571" s="77" t="s">
        <v>8006</v>
      </c>
      <c r="Z571" s="12" t="s">
        <v>263</v>
      </c>
      <c r="AA571" s="12" t="s">
        <v>636</v>
      </c>
      <c r="AB571" s="12" t="s">
        <v>2315</v>
      </c>
      <c r="AC571" s="77" t="s">
        <v>313</v>
      </c>
      <c r="AD571" s="77" t="s">
        <v>314</v>
      </c>
      <c r="AE571" s="77">
        <v>90</v>
      </c>
      <c r="AF571" s="13" t="s">
        <v>597</v>
      </c>
      <c r="AG571" s="12" t="s">
        <v>291</v>
      </c>
      <c r="AH571" s="78" t="s">
        <v>598</v>
      </c>
      <c r="AI571" s="12" t="s">
        <v>317</v>
      </c>
      <c r="AJ571" s="12" t="s">
        <v>318</v>
      </c>
      <c r="AK571" s="78" t="s">
        <v>8007</v>
      </c>
      <c r="AL571" s="143" t="s">
        <v>8008</v>
      </c>
      <c r="AM571" s="78" t="s">
        <v>8034</v>
      </c>
      <c r="AN571" s="78" t="s">
        <v>381</v>
      </c>
      <c r="AO571" s="78"/>
      <c r="AP571" s="78"/>
      <c r="AQ571" s="78" t="s">
        <v>8009</v>
      </c>
      <c r="AR571" s="77">
        <v>39</v>
      </c>
      <c r="AS571" s="77" t="s">
        <v>581</v>
      </c>
      <c r="AT571" s="78" t="s">
        <v>1132</v>
      </c>
      <c r="AU571" s="78" t="s">
        <v>583</v>
      </c>
      <c r="AV571" s="77">
        <v>45187</v>
      </c>
      <c r="AW571" s="77" t="s">
        <v>329</v>
      </c>
      <c r="AX571" s="78" t="s">
        <v>329</v>
      </c>
      <c r="AY571" s="78" t="s">
        <v>329</v>
      </c>
      <c r="AZ571" s="78"/>
      <c r="BA571" s="78"/>
      <c r="BB571" s="137"/>
      <c r="BC571" s="78"/>
      <c r="BD571" s="78"/>
      <c r="BE571" s="78"/>
      <c r="BF571" s="78"/>
      <c r="BG571" s="77"/>
      <c r="BH571" s="78"/>
      <c r="BI571" s="78">
        <v>2</v>
      </c>
      <c r="BJ571" s="78"/>
      <c r="BK571" s="78" t="s">
        <v>3911</v>
      </c>
      <c r="BL571" s="78">
        <v>27</v>
      </c>
      <c r="BM571" s="78"/>
      <c r="BN571" s="78" t="s">
        <v>3911</v>
      </c>
      <c r="BO571" s="78">
        <v>21</v>
      </c>
      <c r="BP571" s="78"/>
      <c r="BQ571" s="78"/>
      <c r="BR571" s="78"/>
      <c r="BS571" s="78"/>
      <c r="BT571" s="78"/>
      <c r="BU571" s="78"/>
      <c r="BV571" s="78"/>
      <c r="BW571" s="78"/>
      <c r="BX571" s="78"/>
      <c r="BY571" s="78"/>
      <c r="BZ571" s="78"/>
      <c r="CA571" s="78"/>
      <c r="CB571" s="78"/>
      <c r="CC571" s="78"/>
      <c r="CD571" s="78" t="s">
        <v>8207</v>
      </c>
    </row>
    <row r="572" spans="1:82" ht="15" x14ac:dyDescent="0.25">
      <c r="A572" s="77">
        <v>1056</v>
      </c>
      <c r="B572" s="77" t="s">
        <v>8340</v>
      </c>
      <c r="C572" s="78" t="s">
        <v>335</v>
      </c>
      <c r="D572" s="77" t="s">
        <v>127</v>
      </c>
      <c r="E572" s="77" t="s">
        <v>8021</v>
      </c>
      <c r="F572" s="79">
        <v>46237</v>
      </c>
      <c r="G572" s="79">
        <v>46237</v>
      </c>
      <c r="H572" s="101">
        <f t="shared" si="64"/>
        <v>46327</v>
      </c>
      <c r="I572" s="77" t="s">
        <v>290</v>
      </c>
      <c r="J572" s="77" t="s">
        <v>4512</v>
      </c>
      <c r="K572" s="77" t="s">
        <v>366</v>
      </c>
      <c r="L572" s="77" t="s">
        <v>1938</v>
      </c>
      <c r="M572" s="102" t="str">
        <f t="shared" si="59"/>
        <v>SALINAS HERNANDEZ LUIS ENRIQUE</v>
      </c>
      <c r="N572" s="102" t="s">
        <v>8022</v>
      </c>
      <c r="O572" s="102" t="s">
        <v>8023</v>
      </c>
      <c r="P572" s="77" t="s">
        <v>1953</v>
      </c>
      <c r="Q572" s="79">
        <v>34432</v>
      </c>
      <c r="R572" s="77">
        <f t="shared" si="60"/>
        <v>8</v>
      </c>
      <c r="S572" s="77">
        <f t="shared" si="61"/>
        <v>4</v>
      </c>
      <c r="T572" s="77">
        <f t="shared" si="62"/>
        <v>1994</v>
      </c>
      <c r="U572" s="103">
        <f t="shared" ca="1" si="63"/>
        <v>32.534246575342465</v>
      </c>
      <c r="V572" s="102" t="s">
        <v>452</v>
      </c>
      <c r="W572" s="102" t="s">
        <v>8024</v>
      </c>
      <c r="X572" s="77" t="s">
        <v>693</v>
      </c>
      <c r="Y572" s="77" t="s">
        <v>115</v>
      </c>
      <c r="Z572" s="12" t="s">
        <v>84</v>
      </c>
      <c r="AA572" s="12" t="s">
        <v>347</v>
      </c>
      <c r="AB572" s="12" t="s">
        <v>2289</v>
      </c>
      <c r="AC572" s="12" t="s">
        <v>313</v>
      </c>
      <c r="AD572" s="12" t="s">
        <v>314</v>
      </c>
      <c r="AE572" s="12">
        <v>90</v>
      </c>
      <c r="AF572" s="13" t="s">
        <v>413</v>
      </c>
      <c r="AG572" s="12" t="s">
        <v>291</v>
      </c>
      <c r="AH572" s="104" t="s">
        <v>2339</v>
      </c>
      <c r="AI572" s="12" t="s">
        <v>317</v>
      </c>
      <c r="AJ572" s="12" t="s">
        <v>318</v>
      </c>
      <c r="AK572" s="132" t="s">
        <v>8025</v>
      </c>
      <c r="AL572" s="143" t="s">
        <v>8026</v>
      </c>
      <c r="AM572" s="78" t="s">
        <v>8027</v>
      </c>
      <c r="AN572" s="78" t="s">
        <v>602</v>
      </c>
      <c r="AO572" s="78" t="s">
        <v>581</v>
      </c>
      <c r="AP572" s="78" t="s">
        <v>581</v>
      </c>
      <c r="AQ572" s="78" t="s">
        <v>8028</v>
      </c>
      <c r="AR572" s="77">
        <v>904</v>
      </c>
      <c r="AS572" s="77" t="s">
        <v>699</v>
      </c>
      <c r="AT572" s="78" t="s">
        <v>127</v>
      </c>
      <c r="AU572" s="78" t="s">
        <v>483</v>
      </c>
      <c r="AV572" s="77">
        <v>78740</v>
      </c>
      <c r="AW572" s="77" t="s">
        <v>329</v>
      </c>
      <c r="AX572" s="78" t="s">
        <v>329</v>
      </c>
      <c r="AY572" s="78" t="s">
        <v>329</v>
      </c>
      <c r="AZ572" s="78"/>
      <c r="BA572" s="78"/>
      <c r="BB572" s="137"/>
      <c r="BC572" s="78"/>
      <c r="BD572" s="78" t="s">
        <v>8029</v>
      </c>
      <c r="BE572" s="78" t="s">
        <v>478</v>
      </c>
      <c r="BF572" s="78" t="s">
        <v>8030</v>
      </c>
      <c r="BG572" s="77" t="s">
        <v>444</v>
      </c>
      <c r="BH572" s="78" t="s">
        <v>334</v>
      </c>
      <c r="BI572" s="78">
        <v>1</v>
      </c>
      <c r="BJ572" s="78" t="s">
        <v>8031</v>
      </c>
      <c r="BK572" s="78" t="s">
        <v>8032</v>
      </c>
      <c r="BL572" s="78">
        <v>3</v>
      </c>
      <c r="BM572" s="78"/>
      <c r="BN572" s="78"/>
      <c r="BO572" s="78"/>
      <c r="BP572" s="78"/>
      <c r="BQ572" s="78"/>
      <c r="BR572" s="78"/>
      <c r="BS572" s="78"/>
      <c r="BT572" s="78"/>
      <c r="BU572" s="78"/>
      <c r="BV572" s="78"/>
      <c r="BW572" s="78"/>
      <c r="BX572" s="78"/>
      <c r="BY572" s="78"/>
      <c r="BZ572" s="78"/>
      <c r="CA572" s="78"/>
      <c r="CB572" s="78"/>
      <c r="CC572" s="78"/>
      <c r="CD572" s="78" t="s">
        <v>0</v>
      </c>
    </row>
    <row r="573" spans="1:82" s="116" customFormat="1" ht="15" x14ac:dyDescent="0.25">
      <c r="A573" s="125">
        <v>1057</v>
      </c>
      <c r="B573" s="109" t="s">
        <v>8033</v>
      </c>
      <c r="C573" s="114" t="s">
        <v>564</v>
      </c>
      <c r="D573" s="109" t="s">
        <v>81</v>
      </c>
      <c r="E573" s="125">
        <v>75988115020</v>
      </c>
      <c r="F573" s="127">
        <v>46238</v>
      </c>
      <c r="G573" s="127">
        <v>46238</v>
      </c>
      <c r="H573" s="113">
        <f t="shared" si="64"/>
        <v>46328</v>
      </c>
      <c r="I573" s="125" t="s">
        <v>291</v>
      </c>
      <c r="J573" s="125" t="s">
        <v>8011</v>
      </c>
      <c r="K573" s="125" t="s">
        <v>5551</v>
      </c>
      <c r="L573" s="125" t="s">
        <v>8012</v>
      </c>
      <c r="M573" s="128" t="str">
        <f t="shared" si="59"/>
        <v>CONDE MONTES RIGOBERTO</v>
      </c>
      <c r="N573" s="128" t="s">
        <v>8013</v>
      </c>
      <c r="O573" s="128" t="s">
        <v>8014</v>
      </c>
      <c r="P573" s="125" t="s">
        <v>1953</v>
      </c>
      <c r="Q573" s="127">
        <v>29807</v>
      </c>
      <c r="R573" s="125">
        <f t="shared" si="60"/>
        <v>9</v>
      </c>
      <c r="S573" s="125">
        <f t="shared" si="61"/>
        <v>8</v>
      </c>
      <c r="T573" s="125">
        <f t="shared" si="62"/>
        <v>1981</v>
      </c>
      <c r="U573" s="142">
        <f t="shared" ca="1" si="63"/>
        <v>45.205479452054796</v>
      </c>
      <c r="V573" s="128" t="s">
        <v>452</v>
      </c>
      <c r="W573" s="128" t="s">
        <v>8015</v>
      </c>
      <c r="X573" s="125" t="s">
        <v>530</v>
      </c>
      <c r="Y573" s="120" t="s">
        <v>261</v>
      </c>
      <c r="Z573" s="109" t="s">
        <v>260</v>
      </c>
      <c r="AA573" s="109" t="s">
        <v>532</v>
      </c>
      <c r="AB573" s="109" t="s">
        <v>637</v>
      </c>
      <c r="AC573" s="125" t="s">
        <v>313</v>
      </c>
      <c r="AD573" s="125" t="s">
        <v>314</v>
      </c>
      <c r="AE573" s="125">
        <v>90</v>
      </c>
      <c r="AF573" s="114" t="s">
        <v>710</v>
      </c>
      <c r="AG573" s="109" t="s">
        <v>290</v>
      </c>
      <c r="AH573" s="114" t="s">
        <v>575</v>
      </c>
      <c r="AI573" s="109" t="s">
        <v>317</v>
      </c>
      <c r="AJ573" s="109" t="s">
        <v>318</v>
      </c>
      <c r="AK573" s="110" t="s">
        <v>8016</v>
      </c>
      <c r="AL573" s="145" t="s">
        <v>8017</v>
      </c>
      <c r="AM573" s="110" t="s">
        <v>8019</v>
      </c>
      <c r="AN573" s="110" t="s">
        <v>478</v>
      </c>
      <c r="AO573" s="110" t="s">
        <v>398</v>
      </c>
      <c r="AP573" s="110" t="s">
        <v>327</v>
      </c>
      <c r="AQ573" s="110" t="s">
        <v>8035</v>
      </c>
      <c r="AR573" s="125" t="s">
        <v>8018</v>
      </c>
      <c r="AS573" s="125" t="s">
        <v>581</v>
      </c>
      <c r="AT573" s="110" t="s">
        <v>624</v>
      </c>
      <c r="AU573" s="110" t="s">
        <v>583</v>
      </c>
      <c r="AV573" s="125">
        <v>45690</v>
      </c>
      <c r="AW573" s="125" t="s">
        <v>329</v>
      </c>
      <c r="AX573" s="110" t="s">
        <v>329</v>
      </c>
      <c r="AY573" s="110" t="s">
        <v>329</v>
      </c>
      <c r="AZ573" s="110"/>
      <c r="BA573" s="110"/>
      <c r="BB573" s="138"/>
      <c r="BC573" s="110"/>
      <c r="BD573" s="110" t="s">
        <v>8019</v>
      </c>
      <c r="BE573" s="110" t="s">
        <v>602</v>
      </c>
      <c r="BF573" s="110" t="s">
        <v>8020</v>
      </c>
      <c r="BG573" s="125" t="s">
        <v>488</v>
      </c>
      <c r="BH573" s="110"/>
      <c r="BI573" s="110">
        <v>2</v>
      </c>
      <c r="BJ573" s="110"/>
      <c r="BK573" s="110" t="s">
        <v>571</v>
      </c>
      <c r="BL573" s="110">
        <v>8</v>
      </c>
      <c r="BM573" s="110"/>
      <c r="BN573" s="110" t="s">
        <v>571</v>
      </c>
      <c r="BO573" s="110">
        <v>13</v>
      </c>
      <c r="BP573" s="110"/>
      <c r="BQ573" s="110"/>
      <c r="BR573" s="110"/>
      <c r="BS573" s="110"/>
      <c r="BT573" s="110"/>
      <c r="BU573" s="110"/>
      <c r="BV573" s="110"/>
      <c r="BW573" s="110"/>
      <c r="BX573" s="110"/>
      <c r="BY573" s="110"/>
      <c r="BZ573" s="110"/>
      <c r="CA573" s="110"/>
      <c r="CB573" s="110"/>
      <c r="CC573" s="110"/>
      <c r="CD573" s="110" t="s">
        <v>8207</v>
      </c>
    </row>
    <row r="574" spans="1:82" s="116" customFormat="1" ht="15" x14ac:dyDescent="0.25">
      <c r="A574" s="125">
        <v>1058</v>
      </c>
      <c r="B574" s="125" t="s">
        <v>8036</v>
      </c>
      <c r="C574" s="110" t="s">
        <v>335</v>
      </c>
      <c r="D574" s="125" t="s">
        <v>116</v>
      </c>
      <c r="E574" s="125">
        <v>75048722849</v>
      </c>
      <c r="F574" s="127">
        <v>46238</v>
      </c>
      <c r="G574" s="127">
        <v>46238</v>
      </c>
      <c r="H574" s="113">
        <f t="shared" si="64"/>
        <v>46328</v>
      </c>
      <c r="I574" s="125" t="s">
        <v>290</v>
      </c>
      <c r="J574" s="125" t="s">
        <v>8038</v>
      </c>
      <c r="K574" s="125" t="s">
        <v>4386</v>
      </c>
      <c r="L574" s="125" t="s">
        <v>8039</v>
      </c>
      <c r="M574" s="128" t="str">
        <f t="shared" si="59"/>
        <v>GALAN BAUTISTA JERONIMO</v>
      </c>
      <c r="N574" s="128" t="s">
        <v>8040</v>
      </c>
      <c r="O574" s="128" t="s">
        <v>8041</v>
      </c>
      <c r="P574" s="125" t="s">
        <v>1953</v>
      </c>
      <c r="Q574" s="127">
        <v>31877</v>
      </c>
      <c r="R574" s="125">
        <f t="shared" si="60"/>
        <v>10</v>
      </c>
      <c r="S574" s="125">
        <f t="shared" si="61"/>
        <v>4</v>
      </c>
      <c r="T574" s="125">
        <f t="shared" si="62"/>
        <v>1987</v>
      </c>
      <c r="U574" s="142">
        <f t="shared" ca="1" si="63"/>
        <v>39.534246575342465</v>
      </c>
      <c r="V574" s="128" t="s">
        <v>452</v>
      </c>
      <c r="W574" s="128" t="s">
        <v>8042</v>
      </c>
      <c r="X574" s="125" t="s">
        <v>472</v>
      </c>
      <c r="Y574" s="125" t="s">
        <v>7440</v>
      </c>
      <c r="Z574" s="125" t="s">
        <v>149</v>
      </c>
      <c r="AA574" s="125" t="s">
        <v>347</v>
      </c>
      <c r="AB574" s="125" t="s">
        <v>2293</v>
      </c>
      <c r="AC574" s="109" t="s">
        <v>313</v>
      </c>
      <c r="AD574" s="125" t="s">
        <v>314</v>
      </c>
      <c r="AE574" s="109">
        <v>90</v>
      </c>
      <c r="AF574" s="114" t="s">
        <v>350</v>
      </c>
      <c r="AG574" s="109" t="s">
        <v>290</v>
      </c>
      <c r="AH574" s="115" t="s">
        <v>351</v>
      </c>
      <c r="AI574" s="109" t="s">
        <v>317</v>
      </c>
      <c r="AJ574" s="109" t="s">
        <v>318</v>
      </c>
      <c r="AK574" s="110" t="s">
        <v>8043</v>
      </c>
      <c r="AL574" s="145" t="s">
        <v>8044</v>
      </c>
      <c r="AM574" s="110" t="s">
        <v>8045</v>
      </c>
      <c r="AN574" s="110" t="s">
        <v>478</v>
      </c>
      <c r="AO574" s="110" t="s">
        <v>327</v>
      </c>
      <c r="AP574" s="110" t="s">
        <v>398</v>
      </c>
      <c r="AQ574" s="110" t="s">
        <v>8046</v>
      </c>
      <c r="AR574" s="125" t="s">
        <v>8047</v>
      </c>
      <c r="AS574" s="125" t="s">
        <v>581</v>
      </c>
      <c r="AT574" s="110" t="s">
        <v>5660</v>
      </c>
      <c r="AU574" s="110" t="s">
        <v>583</v>
      </c>
      <c r="AV574" s="125">
        <v>45310</v>
      </c>
      <c r="AW574" s="125" t="s">
        <v>329</v>
      </c>
      <c r="AX574" s="110" t="s">
        <v>329</v>
      </c>
      <c r="AY574" s="110" t="s">
        <v>329</v>
      </c>
      <c r="AZ574" s="110"/>
      <c r="BA574" s="110"/>
      <c r="BB574" s="138"/>
      <c r="BC574" s="110"/>
      <c r="BD574" s="110" t="s">
        <v>8048</v>
      </c>
      <c r="BE574" s="110" t="s">
        <v>832</v>
      </c>
      <c r="BF574" s="110" t="s">
        <v>8049</v>
      </c>
      <c r="BG574" s="125" t="s">
        <v>333</v>
      </c>
      <c r="BH574" s="110" t="s">
        <v>398</v>
      </c>
      <c r="BI574" s="110">
        <v>1</v>
      </c>
      <c r="BJ574" s="110"/>
      <c r="BK574" s="110" t="s">
        <v>3911</v>
      </c>
      <c r="BL574" s="110">
        <v>16</v>
      </c>
      <c r="BM574" s="110"/>
      <c r="BN574" s="110"/>
      <c r="BO574" s="110"/>
      <c r="BP574" s="110"/>
      <c r="BQ574" s="110"/>
      <c r="BR574" s="110"/>
      <c r="BS574" s="110"/>
      <c r="BT574" s="110"/>
      <c r="BU574" s="110"/>
      <c r="BV574" s="110"/>
      <c r="BW574" s="110"/>
      <c r="BX574" s="110"/>
      <c r="BY574" s="110"/>
      <c r="BZ574" s="110"/>
      <c r="CA574" s="110"/>
      <c r="CB574" s="110"/>
      <c r="CC574" s="110"/>
      <c r="CD574" s="110" t="s">
        <v>0</v>
      </c>
    </row>
    <row r="575" spans="1:82" s="116" customFormat="1" ht="15" x14ac:dyDescent="0.25">
      <c r="A575" s="125">
        <v>1059</v>
      </c>
      <c r="B575" s="125" t="s">
        <v>8037</v>
      </c>
      <c r="C575" s="110" t="s">
        <v>335</v>
      </c>
      <c r="D575" s="125" t="s">
        <v>105</v>
      </c>
      <c r="E575" s="125">
        <v>59170372326</v>
      </c>
      <c r="F575" s="127">
        <v>46239</v>
      </c>
      <c r="G575" s="127">
        <v>46239</v>
      </c>
      <c r="H575" s="113">
        <f t="shared" si="64"/>
        <v>46329</v>
      </c>
      <c r="I575" s="125" t="s">
        <v>290</v>
      </c>
      <c r="J575" s="125" t="s">
        <v>5569</v>
      </c>
      <c r="K575" s="125" t="s">
        <v>4334</v>
      </c>
      <c r="L575" s="125" t="s">
        <v>8050</v>
      </c>
      <c r="M575" s="128" t="str">
        <f t="shared" si="59"/>
        <v>HUERTA  AGUILAR LUIS ARMANDO</v>
      </c>
      <c r="N575" s="128" t="s">
        <v>8051</v>
      </c>
      <c r="O575" s="128" t="s">
        <v>8052</v>
      </c>
      <c r="P575" s="125" t="s">
        <v>1953</v>
      </c>
      <c r="Q575" s="127">
        <v>37960</v>
      </c>
      <c r="R575" s="125">
        <f t="shared" si="60"/>
        <v>5</v>
      </c>
      <c r="S575" s="125">
        <f t="shared" si="61"/>
        <v>12</v>
      </c>
      <c r="T575" s="125">
        <f t="shared" si="62"/>
        <v>2003</v>
      </c>
      <c r="U575" s="142">
        <f t="shared" ca="1" si="63"/>
        <v>22.86849315068493</v>
      </c>
      <c r="V575" s="128" t="s">
        <v>389</v>
      </c>
      <c r="W575" s="128" t="s">
        <v>8053</v>
      </c>
      <c r="X575" s="125" t="s">
        <v>530</v>
      </c>
      <c r="Y575" s="125" t="s">
        <v>5083</v>
      </c>
      <c r="Z575" s="125" t="s">
        <v>111</v>
      </c>
      <c r="AA575" s="125" t="s">
        <v>347</v>
      </c>
      <c r="AB575" s="125" t="s">
        <v>858</v>
      </c>
      <c r="AC575" s="125" t="s">
        <v>313</v>
      </c>
      <c r="AD575" s="125" t="s">
        <v>314</v>
      </c>
      <c r="AE575" s="125">
        <v>90</v>
      </c>
      <c r="AF575" s="114" t="s">
        <v>859</v>
      </c>
      <c r="AG575" s="109" t="s">
        <v>291</v>
      </c>
      <c r="AH575" s="115" t="s">
        <v>2338</v>
      </c>
      <c r="AI575" s="109" t="s">
        <v>317</v>
      </c>
      <c r="AJ575" s="109" t="s">
        <v>318</v>
      </c>
      <c r="AK575" s="110" t="s">
        <v>8054</v>
      </c>
      <c r="AL575" s="145" t="s">
        <v>8055</v>
      </c>
      <c r="AM575" s="110" t="s">
        <v>8056</v>
      </c>
      <c r="AN575" s="110" t="s">
        <v>8057</v>
      </c>
      <c r="AO575" s="110" t="s">
        <v>398</v>
      </c>
      <c r="AP575" s="110" t="s">
        <v>398</v>
      </c>
      <c r="AQ575" s="110" t="s">
        <v>8058</v>
      </c>
      <c r="AR575" s="125" t="s">
        <v>8059</v>
      </c>
      <c r="AS575" s="125" t="s">
        <v>642</v>
      </c>
      <c r="AT575" s="110" t="s">
        <v>105</v>
      </c>
      <c r="AU575" s="110" t="s">
        <v>105</v>
      </c>
      <c r="AV575" s="125">
        <v>20280</v>
      </c>
      <c r="AW575" s="125" t="s">
        <v>329</v>
      </c>
      <c r="AX575" s="110" t="s">
        <v>329</v>
      </c>
      <c r="AY575" s="110" t="s">
        <v>329</v>
      </c>
      <c r="AZ575" s="110"/>
      <c r="BA575" s="110"/>
      <c r="BB575" s="138"/>
      <c r="BC575" s="110"/>
      <c r="BD575" s="110" t="s">
        <v>8056</v>
      </c>
      <c r="BE575" s="110" t="s">
        <v>8057</v>
      </c>
      <c r="BF575" s="110" t="s">
        <v>8060</v>
      </c>
      <c r="BG575" s="125" t="s">
        <v>685</v>
      </c>
      <c r="BH575" s="110" t="s">
        <v>334</v>
      </c>
      <c r="BI575" s="110">
        <v>0</v>
      </c>
      <c r="BJ575" s="110"/>
      <c r="BK575" s="110"/>
      <c r="BL575" s="110"/>
      <c r="BM575" s="110"/>
      <c r="BN575" s="110"/>
      <c r="BO575" s="110"/>
      <c r="BP575" s="110"/>
      <c r="BQ575" s="110"/>
      <c r="BR575" s="110"/>
      <c r="BS575" s="110"/>
      <c r="BT575" s="110"/>
      <c r="BU575" s="110"/>
      <c r="BV575" s="110"/>
      <c r="BW575" s="110"/>
      <c r="BX575" s="110"/>
      <c r="BY575" s="110"/>
      <c r="BZ575" s="110"/>
      <c r="CA575" s="110"/>
      <c r="CB575" s="110"/>
      <c r="CC575" s="110"/>
      <c r="CD575" s="110" t="s">
        <v>0</v>
      </c>
    </row>
    <row r="576" spans="1:82" ht="15" x14ac:dyDescent="0.25">
      <c r="A576" s="77">
        <v>1060</v>
      </c>
      <c r="B576" s="77" t="s">
        <v>8083</v>
      </c>
      <c r="C576" s="78" t="s">
        <v>335</v>
      </c>
      <c r="D576" s="77" t="s">
        <v>161</v>
      </c>
      <c r="E576" s="77">
        <v>41037700261</v>
      </c>
      <c r="F576" s="79">
        <v>46251</v>
      </c>
      <c r="G576" s="79">
        <v>46251</v>
      </c>
      <c r="H576" s="101">
        <f t="shared" si="64"/>
        <v>46341</v>
      </c>
      <c r="I576" s="77" t="s">
        <v>290</v>
      </c>
      <c r="J576" s="77" t="s">
        <v>8062</v>
      </c>
      <c r="K576" s="77" t="s">
        <v>4498</v>
      </c>
      <c r="L576" s="77" t="s">
        <v>688</v>
      </c>
      <c r="M576" s="102" t="str">
        <f t="shared" si="59"/>
        <v>ROJAS SANTIAGO JUAN ANTONIO</v>
      </c>
      <c r="N576" s="102" t="s">
        <v>8063</v>
      </c>
      <c r="O576" s="102" t="s">
        <v>8064</v>
      </c>
      <c r="P576" s="77" t="s">
        <v>1953</v>
      </c>
      <c r="Q576" s="79">
        <v>28289</v>
      </c>
      <c r="R576" s="77">
        <f t="shared" si="60"/>
        <v>13</v>
      </c>
      <c r="S576" s="77">
        <f t="shared" si="61"/>
        <v>6</v>
      </c>
      <c r="T576" s="77">
        <f t="shared" si="62"/>
        <v>1977</v>
      </c>
      <c r="U576" s="103">
        <f t="shared" ca="1" si="63"/>
        <v>49.364383561643834</v>
      </c>
      <c r="V576" s="102" t="s">
        <v>342</v>
      </c>
      <c r="W576" s="102" t="s">
        <v>8065</v>
      </c>
      <c r="X576" s="77" t="s">
        <v>454</v>
      </c>
      <c r="Y576" s="77" t="s">
        <v>8066</v>
      </c>
      <c r="Z576" s="12" t="s">
        <v>164</v>
      </c>
      <c r="AA576" s="12" t="s">
        <v>347</v>
      </c>
      <c r="AB576" s="12" t="s">
        <v>2297</v>
      </c>
      <c r="AC576" s="77" t="s">
        <v>313</v>
      </c>
      <c r="AD576" s="77" t="s">
        <v>314</v>
      </c>
      <c r="AE576" s="77">
        <v>90</v>
      </c>
      <c r="AF576" s="13" t="s">
        <v>2330</v>
      </c>
      <c r="AG576" s="12" t="s">
        <v>290</v>
      </c>
      <c r="AH576" s="78" t="s">
        <v>2343</v>
      </c>
      <c r="AI576" s="12" t="s">
        <v>317</v>
      </c>
      <c r="AJ576" s="12" t="s">
        <v>318</v>
      </c>
      <c r="AK576" s="78" t="s">
        <v>8067</v>
      </c>
      <c r="AL576" s="143" t="s">
        <v>8068</v>
      </c>
      <c r="AM576" s="78" t="s">
        <v>8069</v>
      </c>
      <c r="AN576" s="78" t="s">
        <v>478</v>
      </c>
      <c r="AO576" s="78" t="s">
        <v>398</v>
      </c>
      <c r="AP576" s="78" t="s">
        <v>398</v>
      </c>
      <c r="AQ576" s="78" t="s">
        <v>8070</v>
      </c>
      <c r="AR576" s="77" t="s">
        <v>699</v>
      </c>
      <c r="AS576" s="77" t="s">
        <v>581</v>
      </c>
      <c r="AT576" s="78" t="s">
        <v>3376</v>
      </c>
      <c r="AU576" s="78" t="s">
        <v>483</v>
      </c>
      <c r="AV576" s="77">
        <v>79050</v>
      </c>
      <c r="AW576" s="77" t="s">
        <v>329</v>
      </c>
      <c r="AX576" s="78" t="s">
        <v>329</v>
      </c>
      <c r="AY576" s="78" t="s">
        <v>329</v>
      </c>
      <c r="AZ576" s="78"/>
      <c r="BA576" s="78"/>
      <c r="BB576" s="137"/>
      <c r="BC576" s="78"/>
      <c r="BD576" s="78" t="s">
        <v>8069</v>
      </c>
      <c r="BE576" s="78" t="s">
        <v>478</v>
      </c>
      <c r="BF576" s="78" t="s">
        <v>8071</v>
      </c>
      <c r="BG576" s="77"/>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t="s">
        <v>0</v>
      </c>
    </row>
    <row r="577" spans="1:82" s="116" customFormat="1" ht="15" x14ac:dyDescent="0.25">
      <c r="A577" s="125">
        <v>1061</v>
      </c>
      <c r="B577" s="125" t="s">
        <v>8084</v>
      </c>
      <c r="C577" s="110" t="s">
        <v>335</v>
      </c>
      <c r="D577" s="125" t="s">
        <v>105</v>
      </c>
      <c r="E577" s="125">
        <v>51069105560</v>
      </c>
      <c r="F577" s="127">
        <v>46251</v>
      </c>
      <c r="G577" s="127">
        <v>46251</v>
      </c>
      <c r="H577" s="113">
        <f t="shared" si="64"/>
        <v>46341</v>
      </c>
      <c r="I577" s="125" t="s">
        <v>291</v>
      </c>
      <c r="J577" s="125" t="s">
        <v>1004</v>
      </c>
      <c r="K577" s="125" t="s">
        <v>1004</v>
      </c>
      <c r="L577" s="125" t="s">
        <v>8072</v>
      </c>
      <c r="M577" s="128" t="str">
        <f t="shared" si="59"/>
        <v>JIMENEZ JIMENEZ STEPHANIE ARLET</v>
      </c>
      <c r="N577" s="128" t="s">
        <v>8073</v>
      </c>
      <c r="O577" s="128" t="s">
        <v>8074</v>
      </c>
      <c r="P577" s="125" t="s">
        <v>1954</v>
      </c>
      <c r="Q577" s="127">
        <v>33432</v>
      </c>
      <c r="R577" s="125">
        <f t="shared" si="60"/>
        <v>13</v>
      </c>
      <c r="S577" s="125">
        <f t="shared" si="61"/>
        <v>7</v>
      </c>
      <c r="T577" s="125">
        <f t="shared" si="62"/>
        <v>1991</v>
      </c>
      <c r="U577" s="142">
        <f t="shared" ca="1" si="63"/>
        <v>35.273972602739725</v>
      </c>
      <c r="V577" s="128" t="s">
        <v>308</v>
      </c>
      <c r="W577" s="128" t="s">
        <v>8075</v>
      </c>
      <c r="X577" s="125" t="s">
        <v>693</v>
      </c>
      <c r="Y577" s="125" t="s">
        <v>1452</v>
      </c>
      <c r="Z577" s="109" t="s">
        <v>227</v>
      </c>
      <c r="AA577" s="109" t="s">
        <v>857</v>
      </c>
      <c r="AB577" s="109" t="s">
        <v>858</v>
      </c>
      <c r="AC577" s="125" t="s">
        <v>313</v>
      </c>
      <c r="AD577" s="125" t="s">
        <v>314</v>
      </c>
      <c r="AE577" s="125">
        <v>90</v>
      </c>
      <c r="AF577" s="114" t="s">
        <v>859</v>
      </c>
      <c r="AG577" s="109" t="s">
        <v>291</v>
      </c>
      <c r="AH577" s="115" t="s">
        <v>2338</v>
      </c>
      <c r="AI577" s="109" t="s">
        <v>317</v>
      </c>
      <c r="AJ577" s="109" t="s">
        <v>318</v>
      </c>
      <c r="AK577" s="110" t="s">
        <v>8076</v>
      </c>
      <c r="AL577" s="145" t="s">
        <v>8077</v>
      </c>
      <c r="AM577" s="110" t="s">
        <v>8078</v>
      </c>
      <c r="AN577" s="110" t="s">
        <v>325</v>
      </c>
      <c r="AO577" s="110" t="s">
        <v>327</v>
      </c>
      <c r="AP577" s="110" t="s">
        <v>398</v>
      </c>
      <c r="AQ577" s="110" t="s">
        <v>8079</v>
      </c>
      <c r="AR577" s="125">
        <v>688</v>
      </c>
      <c r="AS577" s="125" t="s">
        <v>8080</v>
      </c>
      <c r="AT577" s="110" t="s">
        <v>1335</v>
      </c>
      <c r="AU577" s="110" t="s">
        <v>681</v>
      </c>
      <c r="AV577" s="125" t="s">
        <v>8085</v>
      </c>
      <c r="AW577" s="125" t="s">
        <v>329</v>
      </c>
      <c r="AX577" s="110" t="s">
        <v>329</v>
      </c>
      <c r="AY577" s="110" t="s">
        <v>329</v>
      </c>
      <c r="AZ577" s="110"/>
      <c r="BA577" s="110"/>
      <c r="BB577" s="138"/>
      <c r="BC577" s="110"/>
      <c r="BD577" s="110" t="s">
        <v>8078</v>
      </c>
      <c r="BE577" s="110" t="s">
        <v>325</v>
      </c>
      <c r="BF577" s="110" t="s">
        <v>8081</v>
      </c>
      <c r="BG577" s="125" t="s">
        <v>488</v>
      </c>
      <c r="BH577" s="110" t="s">
        <v>3815</v>
      </c>
      <c r="BI577" s="110">
        <v>1</v>
      </c>
      <c r="BJ577" s="110" t="s">
        <v>8082</v>
      </c>
      <c r="BK577" s="110" t="s">
        <v>571</v>
      </c>
      <c r="BL577" s="110">
        <v>15</v>
      </c>
      <c r="BM577" s="110"/>
      <c r="BN577" s="110"/>
      <c r="BO577" s="110"/>
      <c r="BP577" s="110"/>
      <c r="BQ577" s="110"/>
      <c r="BR577" s="110"/>
      <c r="BS577" s="110"/>
      <c r="BT577" s="110"/>
      <c r="BU577" s="110"/>
      <c r="BV577" s="110"/>
      <c r="BW577" s="110"/>
      <c r="BX577" s="110"/>
      <c r="BY577" s="110"/>
      <c r="BZ577" s="110"/>
      <c r="CA577" s="110"/>
      <c r="CB577" s="110"/>
      <c r="CC577" s="110"/>
      <c r="CD577" s="110" t="s">
        <v>8205</v>
      </c>
    </row>
    <row r="578" spans="1:82" s="116" customFormat="1" ht="15" x14ac:dyDescent="0.25">
      <c r="A578" s="125">
        <v>1062</v>
      </c>
      <c r="B578" s="125" t="s">
        <v>8086</v>
      </c>
      <c r="C578" s="110" t="s">
        <v>335</v>
      </c>
      <c r="D578" s="125" t="s">
        <v>133</v>
      </c>
      <c r="E578" s="125" t="s">
        <v>8087</v>
      </c>
      <c r="F578" s="127">
        <v>46251</v>
      </c>
      <c r="G578" s="127">
        <v>46251</v>
      </c>
      <c r="H578" s="113">
        <f t="shared" si="64"/>
        <v>46341</v>
      </c>
      <c r="I578" s="125" t="s">
        <v>290</v>
      </c>
      <c r="J578" s="125" t="s">
        <v>870</v>
      </c>
      <c r="K578" s="125" t="s">
        <v>1280</v>
      </c>
      <c r="L578" s="125" t="s">
        <v>8088</v>
      </c>
      <c r="M578" s="128" t="str">
        <f t="shared" si="59"/>
        <v>ALVARADO RAMIREZ YOSHIO ALEJANDRO</v>
      </c>
      <c r="N578" s="128" t="s">
        <v>8089</v>
      </c>
      <c r="O578" s="128" t="s">
        <v>8090</v>
      </c>
      <c r="P578" s="125" t="s">
        <v>1953</v>
      </c>
      <c r="Q578" s="127">
        <v>39419</v>
      </c>
      <c r="R578" s="125">
        <f t="shared" si="60"/>
        <v>3</v>
      </c>
      <c r="S578" s="125">
        <f t="shared" si="61"/>
        <v>12</v>
      </c>
      <c r="T578" s="125">
        <f t="shared" si="62"/>
        <v>2007</v>
      </c>
      <c r="U578" s="142">
        <f t="shared" ca="1" si="63"/>
        <v>18.87123287671233</v>
      </c>
      <c r="V578" s="128" t="s">
        <v>389</v>
      </c>
      <c r="W578" s="128" t="s">
        <v>8091</v>
      </c>
      <c r="X578" s="125" t="s">
        <v>454</v>
      </c>
      <c r="Y578" s="125" t="s">
        <v>7440</v>
      </c>
      <c r="Z578" s="109" t="s">
        <v>136</v>
      </c>
      <c r="AA578" s="109" t="s">
        <v>347</v>
      </c>
      <c r="AB578" s="109" t="s">
        <v>670</v>
      </c>
      <c r="AC578" s="125" t="s">
        <v>313</v>
      </c>
      <c r="AD578" s="125" t="s">
        <v>314</v>
      </c>
      <c r="AE578" s="125">
        <v>90</v>
      </c>
      <c r="AF578" s="128" t="s">
        <v>671</v>
      </c>
      <c r="AG578" s="109" t="s">
        <v>290</v>
      </c>
      <c r="AH578" s="115" t="s">
        <v>672</v>
      </c>
      <c r="AI578" s="109" t="s">
        <v>317</v>
      </c>
      <c r="AJ578" s="109" t="s">
        <v>318</v>
      </c>
      <c r="AK578" s="110" t="s">
        <v>8093</v>
      </c>
      <c r="AL578" s="145" t="s">
        <v>8094</v>
      </c>
      <c r="AM578" s="110" t="s">
        <v>8095</v>
      </c>
      <c r="AN578" s="110" t="s">
        <v>622</v>
      </c>
      <c r="AO578" s="110" t="s">
        <v>398</v>
      </c>
      <c r="AP578" s="110" t="s">
        <v>398</v>
      </c>
      <c r="AQ578" s="110" t="s">
        <v>8092</v>
      </c>
      <c r="AR578" s="125">
        <v>124</v>
      </c>
      <c r="AS578" s="125" t="s">
        <v>983</v>
      </c>
      <c r="AT578" s="110" t="s">
        <v>3389</v>
      </c>
      <c r="AU578" s="110" t="s">
        <v>912</v>
      </c>
      <c r="AV578" s="125">
        <v>65515</v>
      </c>
      <c r="AW578" s="125" t="s">
        <v>329</v>
      </c>
      <c r="AX578" s="110" t="s">
        <v>329</v>
      </c>
      <c r="AY578" s="110" t="s">
        <v>329</v>
      </c>
      <c r="AZ578" s="110"/>
      <c r="BA578" s="110"/>
      <c r="BB578" s="138"/>
      <c r="BC578" s="110"/>
      <c r="BD578" s="110" t="s">
        <v>8095</v>
      </c>
      <c r="BE578" s="110" t="s">
        <v>622</v>
      </c>
      <c r="BF578" s="110" t="s">
        <v>8096</v>
      </c>
      <c r="BG578" s="125"/>
      <c r="BH578" s="110"/>
      <c r="BI578" s="110">
        <v>1</v>
      </c>
      <c r="BJ578" s="110"/>
      <c r="BK578" s="110" t="s">
        <v>3946</v>
      </c>
      <c r="BL578" s="110" t="s">
        <v>3919</v>
      </c>
      <c r="BM578" s="110"/>
      <c r="BN578" s="110"/>
      <c r="BO578" s="110"/>
      <c r="BP578" s="110"/>
      <c r="BQ578" s="110"/>
      <c r="BR578" s="110"/>
      <c r="BS578" s="110"/>
      <c r="BT578" s="110"/>
      <c r="BU578" s="110"/>
      <c r="BV578" s="110"/>
      <c r="BW578" s="110"/>
      <c r="BX578" s="110"/>
      <c r="BY578" s="110"/>
      <c r="BZ578" s="110"/>
      <c r="CA578" s="110"/>
      <c r="CB578" s="110"/>
      <c r="CC578" s="110"/>
      <c r="CD578" s="110" t="s">
        <v>0</v>
      </c>
    </row>
    <row r="579" spans="1:82" ht="15" x14ac:dyDescent="0.25">
      <c r="A579" s="77">
        <v>1063</v>
      </c>
      <c r="B579" s="77" t="s">
        <v>8097</v>
      </c>
      <c r="C579" s="78" t="s">
        <v>335</v>
      </c>
      <c r="D579" s="77" t="s">
        <v>105</v>
      </c>
      <c r="E579" s="77">
        <v>51078802520</v>
      </c>
      <c r="F579" s="79">
        <v>46253</v>
      </c>
      <c r="G579" s="79">
        <v>46253</v>
      </c>
      <c r="H579" s="101">
        <f t="shared" si="64"/>
        <v>46343</v>
      </c>
      <c r="I579" s="77" t="s">
        <v>290</v>
      </c>
      <c r="J579" s="77" t="s">
        <v>836</v>
      </c>
      <c r="K579" s="77" t="s">
        <v>337</v>
      </c>
      <c r="L579" s="77" t="s">
        <v>8098</v>
      </c>
      <c r="M579" s="153" t="str">
        <f t="shared" si="59"/>
        <v>MENDEZ FLORES OSCAR EMMANUEL</v>
      </c>
      <c r="N579" s="102" t="s">
        <v>8099</v>
      </c>
      <c r="O579" s="102" t="s">
        <v>8100</v>
      </c>
      <c r="P579" s="77" t="s">
        <v>1953</v>
      </c>
      <c r="Q579" s="79">
        <v>32181</v>
      </c>
      <c r="R579" s="77">
        <f t="shared" si="60"/>
        <v>8</v>
      </c>
      <c r="S579" s="77">
        <f t="shared" si="61"/>
        <v>2</v>
      </c>
      <c r="T579" s="77">
        <f t="shared" si="62"/>
        <v>1988</v>
      </c>
      <c r="U579" s="103">
        <f t="shared" ca="1" si="63"/>
        <v>38.701369863013696</v>
      </c>
      <c r="V579" s="102" t="s">
        <v>342</v>
      </c>
      <c r="W579" s="102" t="s">
        <v>8101</v>
      </c>
      <c r="X579" s="77" t="s">
        <v>454</v>
      </c>
      <c r="Y579" s="77" t="s">
        <v>8102</v>
      </c>
      <c r="Z579" s="12" t="s">
        <v>111</v>
      </c>
      <c r="AA579" s="12" t="s">
        <v>347</v>
      </c>
      <c r="AB579" s="12" t="s">
        <v>2287</v>
      </c>
      <c r="AC579" s="77" t="s">
        <v>313</v>
      </c>
      <c r="AD579" s="77" t="s">
        <v>314</v>
      </c>
      <c r="AE579" s="77">
        <v>90</v>
      </c>
      <c r="AF579" s="13" t="s">
        <v>859</v>
      </c>
      <c r="AG579" s="12" t="s">
        <v>291</v>
      </c>
      <c r="AH579" s="104" t="s">
        <v>2338</v>
      </c>
      <c r="AI579" s="12" t="s">
        <v>317</v>
      </c>
      <c r="AJ579" s="12" t="s">
        <v>318</v>
      </c>
      <c r="AK579" s="78" t="s">
        <v>8103</v>
      </c>
      <c r="AL579" s="143" t="s">
        <v>8104</v>
      </c>
      <c r="AM579" s="78" t="s">
        <v>8105</v>
      </c>
      <c r="AN579" s="78" t="s">
        <v>381</v>
      </c>
      <c r="AO579" s="78" t="s">
        <v>327</v>
      </c>
      <c r="AP579" s="78" t="s">
        <v>327</v>
      </c>
      <c r="AQ579" s="78" t="s">
        <v>8106</v>
      </c>
      <c r="AR579" s="77">
        <v>2831</v>
      </c>
      <c r="AS579" s="77">
        <v>13</v>
      </c>
      <c r="AT579" s="78" t="s">
        <v>606</v>
      </c>
      <c r="AU579" s="78" t="s">
        <v>583</v>
      </c>
      <c r="AV579" s="77">
        <v>45609</v>
      </c>
      <c r="AW579" s="77" t="s">
        <v>329</v>
      </c>
      <c r="AX579" s="78" t="s">
        <v>329</v>
      </c>
      <c r="AY579" s="78" t="s">
        <v>329</v>
      </c>
      <c r="AZ579" s="78"/>
      <c r="BA579" s="78"/>
      <c r="BB579" s="137"/>
      <c r="BC579" s="78"/>
      <c r="BD579" s="78" t="s">
        <v>8105</v>
      </c>
      <c r="BE579" s="78" t="s">
        <v>381</v>
      </c>
      <c r="BF579" s="78" t="s">
        <v>8107</v>
      </c>
      <c r="BG579" s="77" t="s">
        <v>333</v>
      </c>
      <c r="BH579" s="78" t="s">
        <v>334</v>
      </c>
      <c r="BI579" s="78">
        <v>2</v>
      </c>
      <c r="BJ579" s="78" t="s">
        <v>8108</v>
      </c>
      <c r="BK579" s="78" t="s">
        <v>571</v>
      </c>
      <c r="BL579" s="78">
        <v>15</v>
      </c>
      <c r="BM579" s="78" t="s">
        <v>8109</v>
      </c>
      <c r="BN579" s="78" t="s">
        <v>8110</v>
      </c>
      <c r="BO579" s="78">
        <v>12</v>
      </c>
      <c r="BP579" s="78"/>
      <c r="BQ579" s="78"/>
      <c r="BR579" s="78"/>
      <c r="BS579" s="78"/>
      <c r="BT579" s="78"/>
      <c r="BU579" s="78"/>
      <c r="BV579" s="78"/>
      <c r="BW579" s="78"/>
      <c r="BX579" s="78"/>
      <c r="BY579" s="78"/>
      <c r="BZ579" s="78"/>
      <c r="CA579" s="78"/>
      <c r="CB579" s="78"/>
      <c r="CC579" s="78"/>
      <c r="CD579" s="78" t="s">
        <v>0</v>
      </c>
    </row>
    <row r="580" spans="1:82" ht="15" x14ac:dyDescent="0.25">
      <c r="A580" s="77">
        <v>1064</v>
      </c>
      <c r="B580" s="77" t="s">
        <v>8111</v>
      </c>
      <c r="C580" s="78" t="s">
        <v>335</v>
      </c>
      <c r="D580" s="77" t="s">
        <v>105</v>
      </c>
      <c r="E580" s="77">
        <v>50210764374</v>
      </c>
      <c r="F580" s="79">
        <v>46253</v>
      </c>
      <c r="G580" s="79">
        <v>46253</v>
      </c>
      <c r="H580" s="101">
        <f t="shared" si="64"/>
        <v>46343</v>
      </c>
      <c r="I580" s="77" t="s">
        <v>290</v>
      </c>
      <c r="J580" s="77" t="s">
        <v>704</v>
      </c>
      <c r="K580" s="77" t="s">
        <v>1147</v>
      </c>
      <c r="L580" s="77" t="s">
        <v>8112</v>
      </c>
      <c r="M580" s="153" t="str">
        <f t="shared" si="59"/>
        <v>GONZALEZ HERRERA MICHELLE GUADALUPE</v>
      </c>
      <c r="N580" s="102" t="s">
        <v>8113</v>
      </c>
      <c r="O580" s="102" t="s">
        <v>8114</v>
      </c>
      <c r="P580" s="77" t="s">
        <v>1954</v>
      </c>
      <c r="Q580" s="79">
        <v>39440</v>
      </c>
      <c r="R580" s="77">
        <f t="shared" si="60"/>
        <v>24</v>
      </c>
      <c r="S580" s="77">
        <f t="shared" si="61"/>
        <v>12</v>
      </c>
      <c r="T580" s="77">
        <f t="shared" si="62"/>
        <v>2007</v>
      </c>
      <c r="U580" s="103">
        <f t="shared" ca="1" si="63"/>
        <v>18.813698630136987</v>
      </c>
      <c r="V580" s="102" t="s">
        <v>308</v>
      </c>
      <c r="W580" s="102" t="s">
        <v>8115</v>
      </c>
      <c r="X580" s="77" t="s">
        <v>454</v>
      </c>
      <c r="Y580" s="77" t="s">
        <v>5083</v>
      </c>
      <c r="Z580" s="77" t="s">
        <v>111</v>
      </c>
      <c r="AA580" s="77" t="s">
        <v>347</v>
      </c>
      <c r="AB580" s="77" t="s">
        <v>858</v>
      </c>
      <c r="AC580" s="77" t="s">
        <v>313</v>
      </c>
      <c r="AD580" s="77" t="s">
        <v>314</v>
      </c>
      <c r="AE580" s="77">
        <v>90</v>
      </c>
      <c r="AF580" s="13" t="s">
        <v>859</v>
      </c>
      <c r="AG580" s="12" t="s">
        <v>291</v>
      </c>
      <c r="AH580" s="104" t="s">
        <v>2338</v>
      </c>
      <c r="AI580" s="12" t="s">
        <v>317</v>
      </c>
      <c r="AJ580" s="12" t="s">
        <v>318</v>
      </c>
      <c r="AK580" s="78" t="s">
        <v>8116</v>
      </c>
      <c r="AL580" s="143" t="s">
        <v>8117</v>
      </c>
      <c r="AM580" s="78" t="s">
        <v>8118</v>
      </c>
      <c r="AN580" s="78" t="s">
        <v>439</v>
      </c>
      <c r="AO580" s="78" t="s">
        <v>398</v>
      </c>
      <c r="AP580" s="78" t="s">
        <v>398</v>
      </c>
      <c r="AQ580" s="78" t="s">
        <v>8119</v>
      </c>
      <c r="AR580" s="77">
        <v>112</v>
      </c>
      <c r="AS580" s="77" t="s">
        <v>581</v>
      </c>
      <c r="AT580" s="78" t="s">
        <v>105</v>
      </c>
      <c r="AU580" s="78" t="s">
        <v>105</v>
      </c>
      <c r="AV580" s="77">
        <v>20263</v>
      </c>
      <c r="AW580" s="77" t="s">
        <v>329</v>
      </c>
      <c r="AX580" s="78" t="s">
        <v>329</v>
      </c>
      <c r="AY580" s="78" t="s">
        <v>329</v>
      </c>
      <c r="AZ580" s="78"/>
      <c r="BA580" s="78"/>
      <c r="BB580" s="137"/>
      <c r="BC580" s="78"/>
      <c r="BD580" s="78" t="s">
        <v>8120</v>
      </c>
      <c r="BE580" s="78" t="s">
        <v>325</v>
      </c>
      <c r="BF580" s="78" t="s">
        <v>8121</v>
      </c>
      <c r="BG580" s="77"/>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t="s">
        <v>0</v>
      </c>
    </row>
    <row r="581" spans="1:82" ht="15" x14ac:dyDescent="0.25">
      <c r="A581" s="77">
        <v>1065</v>
      </c>
      <c r="B581" s="77" t="s">
        <v>8122</v>
      </c>
      <c r="C581" s="78" t="s">
        <v>363</v>
      </c>
      <c r="D581" s="77" t="s">
        <v>86</v>
      </c>
      <c r="E581" s="77">
        <v>18250557586</v>
      </c>
      <c r="F581" s="79">
        <v>46258</v>
      </c>
      <c r="G581" s="79">
        <v>46258</v>
      </c>
      <c r="H581" s="101">
        <f t="shared" si="64"/>
        <v>46348</v>
      </c>
      <c r="I581" s="77" t="s">
        <v>290</v>
      </c>
      <c r="J581" s="77" t="s">
        <v>447</v>
      </c>
      <c r="K581" s="77" t="s">
        <v>447</v>
      </c>
      <c r="L581" s="77" t="s">
        <v>8123</v>
      </c>
      <c r="M581" s="102" t="str">
        <f t="shared" si="59"/>
        <v>GARCIA GARCIA SERGIO JESUS</v>
      </c>
      <c r="N581" s="102" t="s">
        <v>8124</v>
      </c>
      <c r="O581" s="102" t="s">
        <v>8125</v>
      </c>
      <c r="P581" s="77" t="s">
        <v>1953</v>
      </c>
      <c r="Q581" s="79">
        <v>38575</v>
      </c>
      <c r="R581" s="77">
        <f t="shared" si="60"/>
        <v>11</v>
      </c>
      <c r="S581" s="77">
        <f t="shared" si="61"/>
        <v>8</v>
      </c>
      <c r="T581" s="77">
        <f t="shared" si="62"/>
        <v>2005</v>
      </c>
      <c r="U581" s="103">
        <f t="shared" ca="1" si="63"/>
        <v>21.183561643835617</v>
      </c>
      <c r="V581" s="102" t="s">
        <v>8126</v>
      </c>
      <c r="W581" s="102" t="s">
        <v>8127</v>
      </c>
      <c r="X581" s="77" t="s">
        <v>8128</v>
      </c>
      <c r="Y581" s="77" t="s">
        <v>8129</v>
      </c>
      <c r="Z581" s="139" t="s">
        <v>88</v>
      </c>
      <c r="AA581" s="139" t="s">
        <v>392</v>
      </c>
      <c r="AB581" s="139" t="s">
        <v>374</v>
      </c>
      <c r="AC581" s="77" t="s">
        <v>313</v>
      </c>
      <c r="AD581" s="77" t="s">
        <v>314</v>
      </c>
      <c r="AE581" s="77">
        <v>90</v>
      </c>
      <c r="AF581" s="102" t="s">
        <v>375</v>
      </c>
      <c r="AG581" s="77" t="s">
        <v>290</v>
      </c>
      <c r="AH581" s="78" t="s">
        <v>473</v>
      </c>
      <c r="AI581" s="12" t="s">
        <v>317</v>
      </c>
      <c r="AJ581" s="12" t="s">
        <v>318</v>
      </c>
      <c r="AK581" s="78" t="s">
        <v>8130</v>
      </c>
      <c r="AL581" s="143" t="s">
        <v>8131</v>
      </c>
      <c r="AM581" s="78" t="s">
        <v>8132</v>
      </c>
      <c r="AN581" s="78" t="s">
        <v>478</v>
      </c>
      <c r="AO581" s="78" t="s">
        <v>398</v>
      </c>
      <c r="AP581" s="78" t="s">
        <v>398</v>
      </c>
      <c r="AQ581" s="78" t="s">
        <v>8133</v>
      </c>
      <c r="AR581" s="77">
        <v>104</v>
      </c>
      <c r="AS581" s="77" t="s">
        <v>581</v>
      </c>
      <c r="AT581" s="78" t="s">
        <v>482</v>
      </c>
      <c r="AU581" s="78" t="s">
        <v>483</v>
      </c>
      <c r="AV581" s="77">
        <v>78433</v>
      </c>
      <c r="AW581" s="77" t="s">
        <v>329</v>
      </c>
      <c r="AX581" s="78" t="s">
        <v>329</v>
      </c>
      <c r="AY581" s="78" t="s">
        <v>329</v>
      </c>
      <c r="AZ581" s="78"/>
      <c r="BA581" s="78"/>
      <c r="BB581" s="137"/>
      <c r="BC581" s="78"/>
      <c r="BD581" s="78" t="s">
        <v>8132</v>
      </c>
      <c r="BE581" s="78" t="s">
        <v>478</v>
      </c>
      <c r="BF581" s="78" t="s">
        <v>8134</v>
      </c>
      <c r="BG581" s="77" t="s">
        <v>333</v>
      </c>
      <c r="BH581" s="78" t="s">
        <v>334</v>
      </c>
      <c r="BI581" s="78">
        <v>1</v>
      </c>
      <c r="BJ581" s="78" t="s">
        <v>8135</v>
      </c>
      <c r="BK581" s="78" t="s">
        <v>571</v>
      </c>
      <c r="BL581" s="78">
        <v>1.5</v>
      </c>
      <c r="BM581" s="78"/>
      <c r="BN581" s="78" t="s">
        <v>571</v>
      </c>
      <c r="BO581" s="78"/>
      <c r="BP581" s="78"/>
      <c r="BQ581" s="78"/>
      <c r="BR581" s="78"/>
      <c r="BS581" s="78"/>
      <c r="BT581" s="78"/>
      <c r="BU581" s="78"/>
      <c r="BV581" s="78"/>
      <c r="BW581" s="78"/>
      <c r="BX581" s="78"/>
      <c r="BY581" s="78"/>
      <c r="BZ581" s="78"/>
      <c r="CA581" s="78"/>
      <c r="CB581" s="78"/>
      <c r="CC581" s="78"/>
      <c r="CD581" s="78" t="s">
        <v>0</v>
      </c>
    </row>
    <row r="582" spans="1:82" ht="15" x14ac:dyDescent="0.25">
      <c r="A582" s="77">
        <v>1066</v>
      </c>
      <c r="B582" s="77" t="s">
        <v>8136</v>
      </c>
      <c r="C582" s="78" t="s">
        <v>335</v>
      </c>
      <c r="D582" s="77" t="s">
        <v>116</v>
      </c>
      <c r="E582" s="77" t="s">
        <v>8137</v>
      </c>
      <c r="F582" s="79">
        <v>46260</v>
      </c>
      <c r="G582" s="79">
        <v>46260</v>
      </c>
      <c r="H582" s="101">
        <f t="shared" si="64"/>
        <v>46350</v>
      </c>
      <c r="I582" s="77" t="s">
        <v>290</v>
      </c>
      <c r="J582" s="77" t="s">
        <v>8138</v>
      </c>
      <c r="K582" s="77" t="s">
        <v>960</v>
      </c>
      <c r="L582" s="77" t="s">
        <v>1228</v>
      </c>
      <c r="M582" s="102" t="str">
        <f t="shared" si="59"/>
        <v>BORRAYO TORRES GERARDO</v>
      </c>
      <c r="N582" s="102" t="s">
        <v>8139</v>
      </c>
      <c r="O582" s="102" t="s">
        <v>8140</v>
      </c>
      <c r="P582" s="77" t="s">
        <v>1953</v>
      </c>
      <c r="Q582" s="79">
        <v>33191</v>
      </c>
      <c r="R582" s="77">
        <f t="shared" si="60"/>
        <v>14</v>
      </c>
      <c r="S582" s="77">
        <f t="shared" si="61"/>
        <v>11</v>
      </c>
      <c r="T582" s="77">
        <f t="shared" si="62"/>
        <v>1990</v>
      </c>
      <c r="U582" s="103">
        <f t="shared" ca="1" si="63"/>
        <v>35.934246575342463</v>
      </c>
      <c r="V582" s="102" t="s">
        <v>452</v>
      </c>
      <c r="W582" s="102" t="s">
        <v>8141</v>
      </c>
      <c r="X582" s="77" t="s">
        <v>454</v>
      </c>
      <c r="Y582" s="77" t="s">
        <v>8142</v>
      </c>
      <c r="Z582" s="77" t="s">
        <v>149</v>
      </c>
      <c r="AA582" s="77" t="s">
        <v>347</v>
      </c>
      <c r="AB582" s="77" t="s">
        <v>2293</v>
      </c>
      <c r="AC582" s="12" t="s">
        <v>313</v>
      </c>
      <c r="AD582" s="77" t="s">
        <v>314</v>
      </c>
      <c r="AE582" s="12">
        <v>90</v>
      </c>
      <c r="AF582" s="13" t="s">
        <v>350</v>
      </c>
      <c r="AG582" s="12" t="s">
        <v>290</v>
      </c>
      <c r="AH582" s="104" t="s">
        <v>351</v>
      </c>
      <c r="AI582" s="12" t="s">
        <v>317</v>
      </c>
      <c r="AJ582" s="12" t="s">
        <v>318</v>
      </c>
      <c r="AK582" s="78" t="s">
        <v>8143</v>
      </c>
      <c r="AL582" s="143" t="s">
        <v>8144</v>
      </c>
      <c r="AM582" s="78" t="s">
        <v>8145</v>
      </c>
      <c r="AN582" s="78" t="s">
        <v>602</v>
      </c>
      <c r="AO582" s="78" t="s">
        <v>398</v>
      </c>
      <c r="AP582" s="78" t="s">
        <v>398</v>
      </c>
      <c r="AQ582" s="78" t="s">
        <v>8146</v>
      </c>
      <c r="AR582" s="77">
        <v>6</v>
      </c>
      <c r="AS582" s="77" t="s">
        <v>581</v>
      </c>
      <c r="AT582" s="78" t="s">
        <v>624</v>
      </c>
      <c r="AU582" s="78" t="s">
        <v>583</v>
      </c>
      <c r="AV582" s="77">
        <v>45685</v>
      </c>
      <c r="AW582" s="77" t="s">
        <v>329</v>
      </c>
      <c r="AX582" s="78" t="s">
        <v>329</v>
      </c>
      <c r="AY582" s="78" t="s">
        <v>329</v>
      </c>
      <c r="AZ582" s="78"/>
      <c r="BA582" s="78"/>
      <c r="BB582" s="137"/>
      <c r="BC582" s="78"/>
      <c r="BD582" s="78" t="s">
        <v>8145</v>
      </c>
      <c r="BE582" s="78" t="s">
        <v>478</v>
      </c>
      <c r="BF582" s="78" t="s">
        <v>8147</v>
      </c>
      <c r="BG582" s="77" t="s">
        <v>1349</v>
      </c>
      <c r="BH582" s="78" t="s">
        <v>398</v>
      </c>
      <c r="BI582" s="78">
        <v>2</v>
      </c>
      <c r="BJ582" s="78" t="s">
        <v>8148</v>
      </c>
      <c r="BK582" s="78" t="s">
        <v>3911</v>
      </c>
      <c r="BL582" s="78">
        <v>11</v>
      </c>
      <c r="BM582" s="78" t="s">
        <v>8149</v>
      </c>
      <c r="BN582" s="78" t="s">
        <v>3911</v>
      </c>
      <c r="BO582" s="78">
        <v>3</v>
      </c>
      <c r="BP582" s="78"/>
      <c r="BQ582" s="78"/>
      <c r="BR582" s="78"/>
      <c r="BS582" s="78"/>
      <c r="BT582" s="78"/>
      <c r="BU582" s="78"/>
      <c r="BV582" s="78"/>
      <c r="BW582" s="78"/>
      <c r="BX582" s="78"/>
      <c r="BY582" s="78"/>
      <c r="BZ582" s="78"/>
      <c r="CA582" s="78"/>
      <c r="CB582" s="78"/>
      <c r="CC582" s="78"/>
      <c r="CD582" s="78" t="s">
        <v>8206</v>
      </c>
    </row>
    <row r="583" spans="1:82" ht="15" x14ac:dyDescent="0.25">
      <c r="A583" s="77">
        <v>418</v>
      </c>
      <c r="B583" s="77" t="s">
        <v>8186</v>
      </c>
      <c r="C583" s="78" t="s">
        <v>335</v>
      </c>
      <c r="D583" s="77" t="s">
        <v>161</v>
      </c>
      <c r="E583" s="77">
        <v>41058803317</v>
      </c>
      <c r="F583" s="79">
        <v>46265</v>
      </c>
      <c r="G583" s="79">
        <v>46265</v>
      </c>
      <c r="H583" s="101">
        <f t="shared" si="64"/>
        <v>46355</v>
      </c>
      <c r="I583" s="77" t="s">
        <v>290</v>
      </c>
      <c r="J583" s="77" t="s">
        <v>7941</v>
      </c>
      <c r="K583" s="77" t="s">
        <v>4308</v>
      </c>
      <c r="L583" s="77" t="s">
        <v>1762</v>
      </c>
      <c r="M583" s="102" t="str">
        <f t="shared" si="59"/>
        <v>CAMPOS  JASSO JOSE JUAN</v>
      </c>
      <c r="N583" s="102" t="s">
        <v>8150</v>
      </c>
      <c r="O583" s="102" t="s">
        <v>8151</v>
      </c>
      <c r="P583" s="77" t="s">
        <v>1953</v>
      </c>
      <c r="Q583" s="79">
        <v>32346</v>
      </c>
      <c r="R583" s="77">
        <f t="shared" si="60"/>
        <v>22</v>
      </c>
      <c r="S583" s="77">
        <f t="shared" si="61"/>
        <v>7</v>
      </c>
      <c r="T583" s="77">
        <f t="shared" si="62"/>
        <v>1988</v>
      </c>
      <c r="U583" s="103">
        <f t="shared" ca="1" si="63"/>
        <v>38.249315068493154</v>
      </c>
      <c r="V583" s="102" t="s">
        <v>452</v>
      </c>
      <c r="W583" s="102" t="s">
        <v>8152</v>
      </c>
      <c r="X583" s="77" t="s">
        <v>454</v>
      </c>
      <c r="Y583" s="12" t="s">
        <v>168</v>
      </c>
      <c r="Z583" s="12" t="s">
        <v>164</v>
      </c>
      <c r="AA583" s="12" t="s">
        <v>347</v>
      </c>
      <c r="AB583" s="12" t="s">
        <v>2297</v>
      </c>
      <c r="AC583" s="77" t="s">
        <v>313</v>
      </c>
      <c r="AD583" s="77" t="s">
        <v>314</v>
      </c>
      <c r="AE583" s="77">
        <v>90</v>
      </c>
      <c r="AF583" s="13" t="s">
        <v>2330</v>
      </c>
      <c r="AG583" s="12" t="s">
        <v>290</v>
      </c>
      <c r="AH583" s="78" t="s">
        <v>2343</v>
      </c>
      <c r="AI583" s="12" t="s">
        <v>317</v>
      </c>
      <c r="AJ583" s="12" t="s">
        <v>318</v>
      </c>
      <c r="AK583" s="78" t="s">
        <v>8153</v>
      </c>
      <c r="AL583" s="143" t="s">
        <v>8154</v>
      </c>
      <c r="AM583" s="78" t="s">
        <v>8155</v>
      </c>
      <c r="AN583" s="78" t="s">
        <v>478</v>
      </c>
      <c r="AO583" s="78" t="s">
        <v>327</v>
      </c>
      <c r="AP583" s="78" t="s">
        <v>398</v>
      </c>
      <c r="AQ583" s="78" t="s">
        <v>8156</v>
      </c>
      <c r="AR583" s="77">
        <v>104</v>
      </c>
      <c r="AS583" s="77" t="s">
        <v>581</v>
      </c>
      <c r="AT583" s="78" t="s">
        <v>3376</v>
      </c>
      <c r="AU583" s="78" t="s">
        <v>483</v>
      </c>
      <c r="AV583" s="77">
        <v>79030</v>
      </c>
      <c r="AW583" s="77" t="s">
        <v>329</v>
      </c>
      <c r="AX583" s="78" t="s">
        <v>329</v>
      </c>
      <c r="AY583" s="78" t="s">
        <v>329</v>
      </c>
      <c r="AZ583" s="78"/>
      <c r="BA583" s="78"/>
      <c r="BB583" s="137"/>
      <c r="BC583" s="78"/>
      <c r="BD583" s="78" t="s">
        <v>8155</v>
      </c>
      <c r="BE583" s="78" t="s">
        <v>478</v>
      </c>
      <c r="BF583" s="78" t="s">
        <v>8157</v>
      </c>
      <c r="BG583" s="77"/>
      <c r="BH583" s="78"/>
      <c r="BI583" s="78">
        <v>2</v>
      </c>
      <c r="BJ583" s="78" t="s">
        <v>8158</v>
      </c>
      <c r="BK583" s="78" t="s">
        <v>3911</v>
      </c>
      <c r="BL583" s="78">
        <v>10</v>
      </c>
      <c r="BM583" s="78" t="s">
        <v>8159</v>
      </c>
      <c r="BN583" s="78" t="s">
        <v>3911</v>
      </c>
      <c r="BO583" s="78">
        <v>18</v>
      </c>
      <c r="BP583" s="78"/>
      <c r="BQ583" s="78"/>
      <c r="BR583" s="78"/>
      <c r="BS583" s="78"/>
      <c r="BT583" s="78"/>
      <c r="BU583" s="78"/>
      <c r="BV583" s="78"/>
      <c r="BW583" s="78"/>
      <c r="BX583" s="78"/>
      <c r="BY583" s="78"/>
      <c r="BZ583" s="78"/>
      <c r="CA583" s="78"/>
      <c r="CB583" s="78"/>
      <c r="CC583" s="78"/>
      <c r="CD583" s="78" t="s">
        <v>0</v>
      </c>
    </row>
    <row r="584" spans="1:82" ht="15" x14ac:dyDescent="0.25">
      <c r="A584" s="77">
        <v>1067</v>
      </c>
      <c r="B584" s="12" t="s">
        <v>8187</v>
      </c>
      <c r="C584" s="13" t="s">
        <v>564</v>
      </c>
      <c r="D584" s="107" t="s">
        <v>81</v>
      </c>
      <c r="E584" s="77">
        <v>54947900673</v>
      </c>
      <c r="F584" s="79">
        <v>46265</v>
      </c>
      <c r="G584" s="79">
        <v>46265</v>
      </c>
      <c r="H584" s="101">
        <f t="shared" si="64"/>
        <v>46355</v>
      </c>
      <c r="I584" s="77" t="s">
        <v>291</v>
      </c>
      <c r="J584" s="77" t="s">
        <v>383</v>
      </c>
      <c r="K584" s="77" t="s">
        <v>8160</v>
      </c>
      <c r="L584" s="77" t="s">
        <v>8161</v>
      </c>
      <c r="M584" s="102" t="str">
        <f t="shared" si="59"/>
        <v>ORTIZ PATRICIO JOSE DE JESUS</v>
      </c>
      <c r="N584" s="102" t="s">
        <v>8162</v>
      </c>
      <c r="O584" s="102" t="s">
        <v>8163</v>
      </c>
      <c r="P584" s="77" t="s">
        <v>1953</v>
      </c>
      <c r="Q584" s="79">
        <v>28933</v>
      </c>
      <c r="R584" s="77">
        <f t="shared" si="60"/>
        <v>19</v>
      </c>
      <c r="S584" s="77">
        <f t="shared" si="61"/>
        <v>3</v>
      </c>
      <c r="T584" s="77">
        <f t="shared" si="62"/>
        <v>1979</v>
      </c>
      <c r="U584" s="103">
        <f t="shared" ca="1" si="63"/>
        <v>47.6</v>
      </c>
      <c r="V584" s="102" t="s">
        <v>342</v>
      </c>
      <c r="W584" s="102" t="s">
        <v>8164</v>
      </c>
      <c r="X584" s="77" t="s">
        <v>1327</v>
      </c>
      <c r="Y584" s="77" t="s">
        <v>261</v>
      </c>
      <c r="Z584" s="12" t="s">
        <v>260</v>
      </c>
      <c r="AA584" s="12" t="s">
        <v>532</v>
      </c>
      <c r="AB584" s="12" t="s">
        <v>637</v>
      </c>
      <c r="AC584" s="77" t="s">
        <v>313</v>
      </c>
      <c r="AD584" s="77" t="s">
        <v>314</v>
      </c>
      <c r="AE584" s="77">
        <v>90</v>
      </c>
      <c r="AF584" s="13" t="s">
        <v>710</v>
      </c>
      <c r="AG584" s="12" t="s">
        <v>290</v>
      </c>
      <c r="AH584" s="13" t="s">
        <v>575</v>
      </c>
      <c r="AI584" s="12" t="s">
        <v>317</v>
      </c>
      <c r="AJ584" s="12" t="s">
        <v>318</v>
      </c>
      <c r="AK584" s="78" t="s">
        <v>8165</v>
      </c>
      <c r="AL584" s="143" t="s">
        <v>8166</v>
      </c>
      <c r="AM584" s="78" t="s">
        <v>8167</v>
      </c>
      <c r="AN584" s="78" t="s">
        <v>381</v>
      </c>
      <c r="AO584" s="78" t="s">
        <v>327</v>
      </c>
      <c r="AP584" s="78" t="s">
        <v>398</v>
      </c>
      <c r="AQ584" s="78" t="s">
        <v>8168</v>
      </c>
      <c r="AR584" s="77">
        <v>1310</v>
      </c>
      <c r="AS584" s="77" t="s">
        <v>581</v>
      </c>
      <c r="AT584" s="78" t="s">
        <v>116</v>
      </c>
      <c r="AU584" s="78" t="s">
        <v>583</v>
      </c>
      <c r="AV584" s="77">
        <v>44910</v>
      </c>
      <c r="AW584" s="77" t="s">
        <v>329</v>
      </c>
      <c r="AX584" s="78" t="s">
        <v>329</v>
      </c>
      <c r="AY584" s="78" t="s">
        <v>329</v>
      </c>
      <c r="AZ584" s="78"/>
      <c r="BA584" s="78"/>
      <c r="BB584" s="137"/>
      <c r="BC584" s="78"/>
      <c r="BD584" s="78" t="s">
        <v>8169</v>
      </c>
      <c r="BE584" s="78" t="s">
        <v>381</v>
      </c>
      <c r="BF584" s="78" t="s">
        <v>8170</v>
      </c>
      <c r="BG584" s="77" t="s">
        <v>333</v>
      </c>
      <c r="BH584" s="78" t="s">
        <v>398</v>
      </c>
      <c r="BI584" s="78">
        <v>3</v>
      </c>
      <c r="BJ584" s="78" t="s">
        <v>8171</v>
      </c>
      <c r="BK584" s="78" t="s">
        <v>571</v>
      </c>
      <c r="BL584" s="78">
        <v>27</v>
      </c>
      <c r="BM584" s="78" t="s">
        <v>8172</v>
      </c>
      <c r="BN584" s="78" t="s">
        <v>571</v>
      </c>
      <c r="BO584" s="78">
        <v>17</v>
      </c>
      <c r="BP584" s="78" t="s">
        <v>8173</v>
      </c>
      <c r="BQ584" s="78" t="s">
        <v>3911</v>
      </c>
      <c r="BR584" s="78">
        <v>26</v>
      </c>
      <c r="BS584" s="78"/>
      <c r="BT584" s="78"/>
      <c r="BU584" s="78"/>
      <c r="BV584" s="78"/>
      <c r="BW584" s="78"/>
      <c r="BX584" s="78"/>
      <c r="BY584" s="78"/>
      <c r="BZ584" s="78"/>
      <c r="CA584" s="78"/>
      <c r="CB584" s="78"/>
      <c r="CC584" s="78"/>
      <c r="CD584" s="78" t="s">
        <v>8205</v>
      </c>
    </row>
    <row r="585" spans="1:82" ht="15" x14ac:dyDescent="0.25">
      <c r="A585" s="77">
        <v>1068</v>
      </c>
      <c r="B585" s="77" t="s">
        <v>8174</v>
      </c>
      <c r="C585" s="78" t="s">
        <v>1390</v>
      </c>
      <c r="D585" s="77" t="s">
        <v>281</v>
      </c>
      <c r="E585" s="77">
        <v>63169322029</v>
      </c>
      <c r="F585" s="79">
        <v>46266</v>
      </c>
      <c r="G585" s="79">
        <v>46266</v>
      </c>
      <c r="H585" s="101">
        <f t="shared" si="64"/>
        <v>46356</v>
      </c>
      <c r="I585" s="77" t="s">
        <v>291</v>
      </c>
      <c r="J585" s="77" t="s">
        <v>1044</v>
      </c>
      <c r="K585" s="77" t="s">
        <v>4883</v>
      </c>
      <c r="L585" s="77" t="s">
        <v>8175</v>
      </c>
      <c r="M585" s="102" t="str">
        <f t="shared" si="59"/>
        <v>RODRIGUEZ GUERRA JOSE MAURO</v>
      </c>
      <c r="N585" s="102" t="s">
        <v>8176</v>
      </c>
      <c r="O585" s="102" t="s">
        <v>8177</v>
      </c>
      <c r="P585" s="77" t="s">
        <v>1953</v>
      </c>
      <c r="Q585" s="79">
        <v>34289</v>
      </c>
      <c r="R585" s="77">
        <f t="shared" si="60"/>
        <v>16</v>
      </c>
      <c r="S585" s="77">
        <f t="shared" si="61"/>
        <v>11</v>
      </c>
      <c r="T585" s="77">
        <f t="shared" si="62"/>
        <v>1993</v>
      </c>
      <c r="U585" s="103">
        <f t="shared" ca="1" si="63"/>
        <v>32.926027397260277</v>
      </c>
      <c r="V585" s="102" t="s">
        <v>342</v>
      </c>
      <c r="W585" s="102" t="s">
        <v>8178</v>
      </c>
      <c r="X585" s="77" t="s">
        <v>1327</v>
      </c>
      <c r="Y585" s="77" t="s">
        <v>8179</v>
      </c>
      <c r="Z585" s="12" t="s">
        <v>263</v>
      </c>
      <c r="AA585" s="12" t="s">
        <v>636</v>
      </c>
      <c r="AB585" s="77" t="s">
        <v>7692</v>
      </c>
      <c r="AC585" s="77" t="s">
        <v>313</v>
      </c>
      <c r="AD585" s="77" t="s">
        <v>314</v>
      </c>
      <c r="AE585" s="77">
        <v>90</v>
      </c>
      <c r="AF585" s="13" t="s">
        <v>375</v>
      </c>
      <c r="AG585" s="12" t="s">
        <v>291</v>
      </c>
      <c r="AH585" s="104" t="s">
        <v>1398</v>
      </c>
      <c r="AI585" s="12" t="s">
        <v>317</v>
      </c>
      <c r="AJ585" s="12" t="s">
        <v>318</v>
      </c>
      <c r="AK585" s="78" t="s">
        <v>8180</v>
      </c>
      <c r="AL585" s="143" t="s">
        <v>8181</v>
      </c>
      <c r="AM585" s="78" t="s">
        <v>8182</v>
      </c>
      <c r="AN585" s="78" t="s">
        <v>381</v>
      </c>
      <c r="AO585" s="78" t="s">
        <v>398</v>
      </c>
      <c r="AP585" s="78" t="s">
        <v>398</v>
      </c>
      <c r="AQ585" s="78" t="s">
        <v>8183</v>
      </c>
      <c r="AR585" s="77">
        <v>216</v>
      </c>
      <c r="AS585" s="77" t="s">
        <v>983</v>
      </c>
      <c r="AT585" s="78" t="s">
        <v>483</v>
      </c>
      <c r="AU585" s="78" t="s">
        <v>483</v>
      </c>
      <c r="AV585" s="77">
        <v>78146</v>
      </c>
      <c r="AW585" s="77" t="s">
        <v>329</v>
      </c>
      <c r="AX585" s="78" t="s">
        <v>329</v>
      </c>
      <c r="AY585" s="78" t="s">
        <v>329</v>
      </c>
      <c r="AZ585" s="78"/>
      <c r="BA585" s="78"/>
      <c r="BB585" s="137"/>
      <c r="BC585" s="78"/>
      <c r="BD585" s="78" t="s">
        <v>8182</v>
      </c>
      <c r="BE585" s="78" t="s">
        <v>381</v>
      </c>
      <c r="BF585" s="78" t="s">
        <v>8184</v>
      </c>
      <c r="BG585" s="77" t="s">
        <v>488</v>
      </c>
      <c r="BH585" s="78" t="s">
        <v>8185</v>
      </c>
      <c r="BI585" s="78">
        <v>0</v>
      </c>
      <c r="BJ585" s="78"/>
      <c r="BK585" s="78"/>
      <c r="BL585" s="78"/>
      <c r="BM585" s="78"/>
      <c r="BN585" s="78"/>
      <c r="BO585" s="78"/>
      <c r="BP585" s="78"/>
      <c r="BQ585" s="78"/>
      <c r="BR585" s="78"/>
      <c r="BS585" s="78"/>
      <c r="BT585" s="78"/>
      <c r="BU585" s="78"/>
      <c r="BV585" s="78"/>
      <c r="BW585" s="78"/>
      <c r="BX585" s="78"/>
      <c r="BY585" s="78"/>
      <c r="BZ585" s="78"/>
      <c r="CA585" s="78"/>
      <c r="CB585" s="78"/>
      <c r="CC585" s="78"/>
      <c r="CD585" s="78" t="s">
        <v>8205</v>
      </c>
    </row>
    <row r="586" spans="1:82" s="116" customFormat="1" ht="15" x14ac:dyDescent="0.25">
      <c r="A586" s="125">
        <v>1069</v>
      </c>
      <c r="B586" s="125" t="s">
        <v>8265</v>
      </c>
      <c r="C586" s="110" t="s">
        <v>335</v>
      </c>
      <c r="D586" s="125" t="s">
        <v>116</v>
      </c>
      <c r="E586" s="125" t="s">
        <v>8188</v>
      </c>
      <c r="F586" s="127">
        <v>46266</v>
      </c>
      <c r="G586" s="127">
        <v>46266</v>
      </c>
      <c r="H586" s="113">
        <f t="shared" si="64"/>
        <v>46356</v>
      </c>
      <c r="I586" s="125" t="s">
        <v>290</v>
      </c>
      <c r="J586" s="125" t="s">
        <v>8189</v>
      </c>
      <c r="K586" s="125" t="s">
        <v>337</v>
      </c>
      <c r="L586" s="125" t="s">
        <v>1828</v>
      </c>
      <c r="M586" s="128" t="str">
        <f t="shared" si="59"/>
        <v>BALBUENA FLORES FLORENTINO</v>
      </c>
      <c r="N586" s="128" t="s">
        <v>8190</v>
      </c>
      <c r="O586" s="128" t="s">
        <v>8191</v>
      </c>
      <c r="P586" s="125" t="s">
        <v>1953</v>
      </c>
      <c r="Q586" s="127">
        <v>32418</v>
      </c>
      <c r="R586" s="125">
        <f t="shared" si="60"/>
        <v>2</v>
      </c>
      <c r="S586" s="125">
        <f t="shared" si="61"/>
        <v>10</v>
      </c>
      <c r="T586" s="125">
        <f t="shared" si="62"/>
        <v>1988</v>
      </c>
      <c r="U586" s="142">
        <f t="shared" ca="1" si="63"/>
        <v>38.052054794520551</v>
      </c>
      <c r="V586" s="128" t="s">
        <v>814</v>
      </c>
      <c r="W586" s="128" t="s">
        <v>8192</v>
      </c>
      <c r="X586" s="125" t="s">
        <v>454</v>
      </c>
      <c r="Y586" s="125" t="s">
        <v>8193</v>
      </c>
      <c r="Z586" s="109" t="s">
        <v>118</v>
      </c>
      <c r="AA586" s="109" t="s">
        <v>347</v>
      </c>
      <c r="AB586" s="109">
        <v>0</v>
      </c>
      <c r="AC586" s="109" t="s">
        <v>313</v>
      </c>
      <c r="AD586" s="125" t="s">
        <v>314</v>
      </c>
      <c r="AE586" s="109">
        <v>90</v>
      </c>
      <c r="AF586" s="114" t="s">
        <v>350</v>
      </c>
      <c r="AG586" s="109" t="s">
        <v>290</v>
      </c>
      <c r="AH586" s="115" t="s">
        <v>351</v>
      </c>
      <c r="AI586" s="109" t="s">
        <v>317</v>
      </c>
      <c r="AJ586" s="109" t="s">
        <v>318</v>
      </c>
      <c r="AK586" s="110" t="s">
        <v>8194</v>
      </c>
      <c r="AL586" s="145" t="s">
        <v>8195</v>
      </c>
      <c r="AM586" s="110" t="s">
        <v>8196</v>
      </c>
      <c r="AN586" s="110" t="s">
        <v>560</v>
      </c>
      <c r="AO586" s="110" t="s">
        <v>327</v>
      </c>
      <c r="AP586" s="110" t="s">
        <v>398</v>
      </c>
      <c r="AQ586" s="110" t="s">
        <v>8197</v>
      </c>
      <c r="AR586" s="125">
        <v>149</v>
      </c>
      <c r="AS586" s="125" t="s">
        <v>581</v>
      </c>
      <c r="AT586" s="110" t="s">
        <v>606</v>
      </c>
      <c r="AU586" s="110" t="s">
        <v>583</v>
      </c>
      <c r="AV586" s="125">
        <v>45580</v>
      </c>
      <c r="AW586" s="125" t="s">
        <v>329</v>
      </c>
      <c r="AX586" s="110" t="s">
        <v>329</v>
      </c>
      <c r="AY586" s="110" t="s">
        <v>329</v>
      </c>
      <c r="AZ586" s="110"/>
      <c r="BA586" s="110"/>
      <c r="BB586" s="138"/>
      <c r="BC586" s="110"/>
      <c r="BD586" s="110" t="s">
        <v>8198</v>
      </c>
      <c r="BE586" s="110" t="s">
        <v>560</v>
      </c>
      <c r="BF586" s="110" t="s">
        <v>8199</v>
      </c>
      <c r="BG586" s="125" t="s">
        <v>5910</v>
      </c>
      <c r="BH586" s="110" t="s">
        <v>398</v>
      </c>
      <c r="BI586" s="110">
        <v>2</v>
      </c>
      <c r="BJ586" s="110" t="s">
        <v>8200</v>
      </c>
      <c r="BK586" s="110" t="s">
        <v>3911</v>
      </c>
      <c r="BL586" s="110">
        <v>14</v>
      </c>
      <c r="BM586" s="110" t="s">
        <v>8201</v>
      </c>
      <c r="BN586" s="110" t="s">
        <v>571</v>
      </c>
      <c r="BO586" s="110">
        <v>11</v>
      </c>
      <c r="BP586" s="110"/>
      <c r="BQ586" s="110"/>
      <c r="BR586" s="110"/>
      <c r="BS586" s="110"/>
      <c r="BT586" s="110"/>
      <c r="BU586" s="110"/>
      <c r="BV586" s="110"/>
      <c r="BW586" s="110"/>
      <c r="BX586" s="110"/>
      <c r="BY586" s="110"/>
      <c r="BZ586" s="110"/>
      <c r="CA586" s="110"/>
      <c r="CB586" s="110"/>
      <c r="CC586" s="110"/>
      <c r="CD586" s="110" t="s">
        <v>8204</v>
      </c>
    </row>
    <row r="587" spans="1:82" ht="15" x14ac:dyDescent="0.25">
      <c r="A587" s="77">
        <v>1303</v>
      </c>
      <c r="B587" s="77" t="s">
        <v>8231</v>
      </c>
      <c r="C587" s="78" t="s">
        <v>299</v>
      </c>
      <c r="D587" s="99" t="s">
        <v>80</v>
      </c>
      <c r="E587" s="77">
        <v>69159743249</v>
      </c>
      <c r="F587" s="79">
        <v>46266</v>
      </c>
      <c r="G587" s="79">
        <v>46266</v>
      </c>
      <c r="H587" s="101">
        <f t="shared" si="64"/>
        <v>46356</v>
      </c>
      <c r="I587" s="77" t="s">
        <v>291</v>
      </c>
      <c r="J587" s="77" t="s">
        <v>649</v>
      </c>
      <c r="K587" s="77" t="s">
        <v>5826</v>
      </c>
      <c r="L587" s="77" t="s">
        <v>8208</v>
      </c>
      <c r="M587" s="102" t="str">
        <f t="shared" si="59"/>
        <v>ESCALANTE PALACIOS ORLANDO MISAEL</v>
      </c>
      <c r="N587" s="102" t="s">
        <v>8209</v>
      </c>
      <c r="O587" s="102" t="s">
        <v>8210</v>
      </c>
      <c r="P587" s="77" t="s">
        <v>1953</v>
      </c>
      <c r="Q587" s="79">
        <v>35729</v>
      </c>
      <c r="R587" s="77">
        <f t="shared" si="60"/>
        <v>26</v>
      </c>
      <c r="S587" s="77">
        <f t="shared" si="61"/>
        <v>10</v>
      </c>
      <c r="T587" s="77">
        <f t="shared" si="62"/>
        <v>1997</v>
      </c>
      <c r="U587" s="103">
        <f t="shared" ca="1" si="63"/>
        <v>28.980821917808218</v>
      </c>
      <c r="V587" s="102" t="s">
        <v>342</v>
      </c>
      <c r="W587" s="102" t="s">
        <v>8211</v>
      </c>
      <c r="X587" s="77" t="s">
        <v>693</v>
      </c>
      <c r="Y587" s="77" t="s">
        <v>496</v>
      </c>
      <c r="Z587" s="12" t="s">
        <v>196</v>
      </c>
      <c r="AA587" s="12" t="s">
        <v>636</v>
      </c>
      <c r="AB587" s="12" t="s">
        <v>2280</v>
      </c>
      <c r="AC587" s="12" t="s">
        <v>313</v>
      </c>
      <c r="AD587" s="12" t="s">
        <v>314</v>
      </c>
      <c r="AE587" s="12">
        <v>90</v>
      </c>
      <c r="AF587" s="13" t="s">
        <v>315</v>
      </c>
      <c r="AG587" s="12" t="s">
        <v>291</v>
      </c>
      <c r="AH587" s="104" t="s">
        <v>316</v>
      </c>
      <c r="AI587" s="12" t="s">
        <v>317</v>
      </c>
      <c r="AJ587" s="12" t="s">
        <v>318</v>
      </c>
      <c r="AK587" s="78" t="s">
        <v>8213</v>
      </c>
      <c r="AL587" s="143" t="s">
        <v>8214</v>
      </c>
      <c r="AM587" s="78" t="s">
        <v>8215</v>
      </c>
      <c r="AN587" s="78" t="s">
        <v>381</v>
      </c>
      <c r="AO587" s="78" t="s">
        <v>327</v>
      </c>
      <c r="AP587" s="78" t="s">
        <v>398</v>
      </c>
      <c r="AQ587" s="78" t="s">
        <v>8216</v>
      </c>
      <c r="AR587" s="77">
        <v>490</v>
      </c>
      <c r="AS587" s="77" t="s">
        <v>581</v>
      </c>
      <c r="AT587" s="78" t="s">
        <v>482</v>
      </c>
      <c r="AU587" s="78" t="s">
        <v>483</v>
      </c>
      <c r="AV587" s="77">
        <v>78436</v>
      </c>
      <c r="AW587" s="77" t="s">
        <v>329</v>
      </c>
      <c r="AX587" s="78" t="s">
        <v>329</v>
      </c>
      <c r="AY587" s="78" t="s">
        <v>329</v>
      </c>
      <c r="AZ587" s="78"/>
      <c r="BA587" s="78"/>
      <c r="BB587" s="137"/>
      <c r="BC587" s="78"/>
      <c r="BD587" s="78" t="s">
        <v>8215</v>
      </c>
      <c r="BE587" s="78" t="s">
        <v>381</v>
      </c>
      <c r="BF587" s="78" t="s">
        <v>8217</v>
      </c>
      <c r="BG587" s="77" t="s">
        <v>333</v>
      </c>
      <c r="BH587" s="78" t="s">
        <v>3815</v>
      </c>
      <c r="BI587" s="78">
        <v>2</v>
      </c>
      <c r="BJ587" s="78" t="s">
        <v>8218</v>
      </c>
      <c r="BK587" s="78" t="s">
        <v>3911</v>
      </c>
      <c r="BL587" s="78">
        <v>8</v>
      </c>
      <c r="BM587" s="78" t="s">
        <v>8219</v>
      </c>
      <c r="BN587" s="78" t="s">
        <v>3911</v>
      </c>
      <c r="BO587" s="78">
        <v>6</v>
      </c>
      <c r="BP587" s="78"/>
      <c r="BQ587" s="78"/>
      <c r="BR587" s="78"/>
      <c r="BS587" s="78"/>
      <c r="BT587" s="78"/>
      <c r="BU587" s="78"/>
      <c r="BV587" s="78"/>
      <c r="BW587" s="78"/>
      <c r="BX587" s="78"/>
      <c r="BY587" s="78"/>
      <c r="BZ587" s="78"/>
      <c r="CA587" s="78"/>
      <c r="CB587" s="78"/>
      <c r="CC587" s="78"/>
      <c r="CD587" s="78" t="s">
        <v>0</v>
      </c>
    </row>
    <row r="588" spans="1:82" ht="15" x14ac:dyDescent="0.25">
      <c r="A588" s="77">
        <v>1070</v>
      </c>
      <c r="B588" s="77" t="s">
        <v>8220</v>
      </c>
      <c r="C588" s="78" t="s">
        <v>363</v>
      </c>
      <c r="D588" s="77" t="s">
        <v>98</v>
      </c>
      <c r="E588" s="77" t="s">
        <v>8221</v>
      </c>
      <c r="F588" s="79">
        <v>46272</v>
      </c>
      <c r="G588" s="79">
        <v>46272</v>
      </c>
      <c r="H588" s="101">
        <f t="shared" si="64"/>
        <v>46362</v>
      </c>
      <c r="I588" s="77" t="s">
        <v>291</v>
      </c>
      <c r="J588" s="77" t="s">
        <v>6251</v>
      </c>
      <c r="K588" s="77" t="s">
        <v>4309</v>
      </c>
      <c r="L588" s="77" t="s">
        <v>8222</v>
      </c>
      <c r="M588" s="102" t="str">
        <f t="shared" si="59"/>
        <v>CUEVAS SALAS YAIR SAMUEL</v>
      </c>
      <c r="N588" s="102" t="s">
        <v>8223</v>
      </c>
      <c r="O588" s="102" t="s">
        <v>8224</v>
      </c>
      <c r="P588" s="77" t="s">
        <v>1953</v>
      </c>
      <c r="Q588" s="79">
        <v>37166</v>
      </c>
      <c r="R588" s="77">
        <f t="shared" si="60"/>
        <v>2</v>
      </c>
      <c r="S588" s="77">
        <f t="shared" si="61"/>
        <v>10</v>
      </c>
      <c r="T588" s="77">
        <f t="shared" si="62"/>
        <v>2001</v>
      </c>
      <c r="U588" s="103">
        <f t="shared" ca="1" si="63"/>
        <v>25.043835616438358</v>
      </c>
      <c r="V588" s="102" t="s">
        <v>389</v>
      </c>
      <c r="W588" s="102" t="s">
        <v>8225</v>
      </c>
      <c r="X588" s="77" t="s">
        <v>693</v>
      </c>
      <c r="Y588" s="77" t="s">
        <v>216</v>
      </c>
      <c r="Z588" s="12" t="s">
        <v>214</v>
      </c>
      <c r="AA588" s="12" t="s">
        <v>857</v>
      </c>
      <c r="AB588" s="12" t="s">
        <v>2306</v>
      </c>
      <c r="AC588" s="77" t="s">
        <v>313</v>
      </c>
      <c r="AD588" s="77" t="s">
        <v>314</v>
      </c>
      <c r="AE588" s="77">
        <v>90</v>
      </c>
      <c r="AF588" s="13" t="s">
        <v>597</v>
      </c>
      <c r="AG588" s="12" t="s">
        <v>291</v>
      </c>
      <c r="AH588" s="78" t="s">
        <v>598</v>
      </c>
      <c r="AI588" s="12" t="s">
        <v>317</v>
      </c>
      <c r="AJ588" s="12" t="s">
        <v>318</v>
      </c>
      <c r="AK588" s="78" t="s">
        <v>8226</v>
      </c>
      <c r="AL588" s="143" t="s">
        <v>8227</v>
      </c>
      <c r="AM588" s="78" t="s">
        <v>8228</v>
      </c>
      <c r="AN588" s="78" t="s">
        <v>622</v>
      </c>
      <c r="AO588" s="78" t="s">
        <v>398</v>
      </c>
      <c r="AP588" s="78" t="s">
        <v>398</v>
      </c>
      <c r="AQ588" s="78" t="s">
        <v>8229</v>
      </c>
      <c r="AR588" s="77">
        <v>419</v>
      </c>
      <c r="AS588" s="77" t="s">
        <v>642</v>
      </c>
      <c r="AT588" s="78" t="s">
        <v>1132</v>
      </c>
      <c r="AU588" s="78" t="s">
        <v>583</v>
      </c>
      <c r="AV588" s="77">
        <v>45069</v>
      </c>
      <c r="AW588" s="77" t="s">
        <v>329</v>
      </c>
      <c r="AX588" s="78" t="s">
        <v>329</v>
      </c>
      <c r="AY588" s="78" t="s">
        <v>329</v>
      </c>
      <c r="AZ588" s="78"/>
      <c r="BA588" s="78"/>
      <c r="BB588" s="137"/>
      <c r="BC588" s="78"/>
      <c r="BD588" s="78" t="s">
        <v>8228</v>
      </c>
      <c r="BE588" s="78" t="s">
        <v>622</v>
      </c>
      <c r="BF588" s="78" t="s">
        <v>8230</v>
      </c>
      <c r="BG588" s="77" t="s">
        <v>333</v>
      </c>
      <c r="BH588" s="78" t="s">
        <v>334</v>
      </c>
      <c r="BI588" s="78">
        <v>0</v>
      </c>
      <c r="BJ588" s="78"/>
      <c r="BK588" s="78"/>
      <c r="BL588" s="78"/>
      <c r="BM588" s="78"/>
      <c r="BN588" s="78"/>
      <c r="BO588" s="78"/>
      <c r="BP588" s="78"/>
      <c r="BQ588" s="78"/>
      <c r="BR588" s="78"/>
      <c r="BS588" s="78"/>
      <c r="BT588" s="78"/>
      <c r="BU588" s="78"/>
      <c r="BV588" s="78"/>
      <c r="BW588" s="78"/>
      <c r="BX588" s="78"/>
      <c r="BY588" s="78"/>
      <c r="BZ588" s="78"/>
      <c r="CA588" s="78"/>
      <c r="CB588" s="78"/>
      <c r="CC588" s="78"/>
      <c r="CD588" s="78" t="s">
        <v>0</v>
      </c>
    </row>
    <row r="589" spans="1:82" s="116" customFormat="1" ht="15" x14ac:dyDescent="0.25">
      <c r="A589" s="125">
        <v>1071</v>
      </c>
      <c r="B589" s="125" t="s">
        <v>8232</v>
      </c>
      <c r="C589" s="110" t="s">
        <v>335</v>
      </c>
      <c r="D589" s="125" t="s">
        <v>105</v>
      </c>
      <c r="E589" s="125">
        <v>19189808843</v>
      </c>
      <c r="F589" s="127">
        <v>46272</v>
      </c>
      <c r="G589" s="127">
        <v>46272</v>
      </c>
      <c r="H589" s="113">
        <f t="shared" si="64"/>
        <v>46362</v>
      </c>
      <c r="I589" s="125" t="s">
        <v>290</v>
      </c>
      <c r="J589" s="125" t="s">
        <v>507</v>
      </c>
      <c r="K589" s="125" t="s">
        <v>447</v>
      </c>
      <c r="L589" s="125" t="s">
        <v>8233</v>
      </c>
      <c r="M589" s="128" t="str">
        <f t="shared" si="59"/>
        <v>MARTINEZ GARCIA JAVIER JONATHAN</v>
      </c>
      <c r="N589" s="128" t="s">
        <v>8234</v>
      </c>
      <c r="O589" s="128" t="s">
        <v>8235</v>
      </c>
      <c r="P589" s="125" t="s">
        <v>1953</v>
      </c>
      <c r="Q589" s="127">
        <v>36010</v>
      </c>
      <c r="R589" s="125">
        <f t="shared" si="60"/>
        <v>3</v>
      </c>
      <c r="S589" s="125">
        <f t="shared" si="61"/>
        <v>8</v>
      </c>
      <c r="T589" s="125">
        <f t="shared" si="62"/>
        <v>1998</v>
      </c>
      <c r="U589" s="142">
        <f t="shared" ca="1" si="63"/>
        <v>28.210958904109589</v>
      </c>
      <c r="V589" s="128" t="s">
        <v>389</v>
      </c>
      <c r="W589" s="128" t="s">
        <v>8236</v>
      </c>
      <c r="X589" s="125" t="s">
        <v>693</v>
      </c>
      <c r="Y589" s="125" t="s">
        <v>5083</v>
      </c>
      <c r="Z589" s="125" t="s">
        <v>111</v>
      </c>
      <c r="AA589" s="125" t="s">
        <v>347</v>
      </c>
      <c r="AB589" s="125" t="s">
        <v>858</v>
      </c>
      <c r="AC589" s="125" t="s">
        <v>313</v>
      </c>
      <c r="AD589" s="125" t="s">
        <v>314</v>
      </c>
      <c r="AE589" s="125">
        <v>90</v>
      </c>
      <c r="AF589" s="114" t="s">
        <v>859</v>
      </c>
      <c r="AG589" s="109" t="s">
        <v>291</v>
      </c>
      <c r="AH589" s="115" t="s">
        <v>2338</v>
      </c>
      <c r="AI589" s="109" t="s">
        <v>317</v>
      </c>
      <c r="AJ589" s="109" t="s">
        <v>318</v>
      </c>
      <c r="AK589" s="110" t="s">
        <v>8237</v>
      </c>
      <c r="AL589" s="145" t="s">
        <v>8238</v>
      </c>
      <c r="AM589" s="110" t="s">
        <v>8239</v>
      </c>
      <c r="AN589" s="110" t="s">
        <v>325</v>
      </c>
      <c r="AO589" s="110" t="s">
        <v>398</v>
      </c>
      <c r="AP589" s="110" t="s">
        <v>398</v>
      </c>
      <c r="AQ589" s="110" t="s">
        <v>8240</v>
      </c>
      <c r="AR589" s="125">
        <v>146</v>
      </c>
      <c r="AS589" s="125">
        <v>146</v>
      </c>
      <c r="AT589" s="110" t="s">
        <v>5547</v>
      </c>
      <c r="AU589" s="110" t="s">
        <v>583</v>
      </c>
      <c r="AV589" s="125">
        <v>48327</v>
      </c>
      <c r="AW589" s="125" t="s">
        <v>329</v>
      </c>
      <c r="AX589" s="110" t="s">
        <v>329</v>
      </c>
      <c r="AY589" s="110" t="s">
        <v>329</v>
      </c>
      <c r="AZ589" s="110"/>
      <c r="BA589" s="110"/>
      <c r="BB589" s="138"/>
      <c r="BC589" s="110"/>
      <c r="BD589" s="110" t="s">
        <v>8239</v>
      </c>
      <c r="BE589" s="110" t="s">
        <v>325</v>
      </c>
      <c r="BF589" s="110" t="s">
        <v>8241</v>
      </c>
      <c r="BG589" s="125" t="s">
        <v>333</v>
      </c>
      <c r="BH589" s="110" t="s">
        <v>334</v>
      </c>
      <c r="BI589" s="110">
        <v>1</v>
      </c>
      <c r="BJ589" s="110" t="s">
        <v>8242</v>
      </c>
      <c r="BK589" s="110" t="s">
        <v>3911</v>
      </c>
      <c r="BL589" s="110">
        <v>4</v>
      </c>
      <c r="BM589" s="110"/>
      <c r="BN589" s="110"/>
      <c r="BO589" s="110"/>
      <c r="BP589" s="110"/>
      <c r="BQ589" s="110"/>
      <c r="BR589" s="110"/>
      <c r="BS589" s="110"/>
      <c r="BT589" s="110"/>
      <c r="BU589" s="110"/>
      <c r="BV589" s="110"/>
      <c r="BW589" s="110"/>
      <c r="BX589" s="110"/>
      <c r="BY589" s="110"/>
      <c r="BZ589" s="110"/>
      <c r="CA589" s="110"/>
      <c r="CB589" s="110"/>
      <c r="CC589" s="110"/>
      <c r="CD589" s="110" t="s">
        <v>8206</v>
      </c>
    </row>
    <row r="590" spans="1:82" ht="15" x14ac:dyDescent="0.25">
      <c r="A590" s="77">
        <v>1072</v>
      </c>
      <c r="B590" s="77" t="s">
        <v>8243</v>
      </c>
      <c r="C590" s="78" t="s">
        <v>335</v>
      </c>
      <c r="D590" s="77" t="s">
        <v>127</v>
      </c>
      <c r="E590" s="77">
        <v>66150067453</v>
      </c>
      <c r="F590" s="79">
        <v>46273</v>
      </c>
      <c r="G590" s="79">
        <v>46273</v>
      </c>
      <c r="H590" s="101">
        <f t="shared" si="64"/>
        <v>46363</v>
      </c>
      <c r="I590" s="77" t="s">
        <v>291</v>
      </c>
      <c r="J590" s="77" t="s">
        <v>942</v>
      </c>
      <c r="K590" s="77" t="s">
        <v>446</v>
      </c>
      <c r="L590" s="77" t="s">
        <v>8244</v>
      </c>
      <c r="M590" s="102" t="str">
        <f t="shared" si="59"/>
        <v xml:space="preserve">OROZCO CRUZ DENISSE AIDE </v>
      </c>
      <c r="N590" s="102" t="s">
        <v>8245</v>
      </c>
      <c r="O590" s="102" t="s">
        <v>8246</v>
      </c>
      <c r="P590" s="77" t="s">
        <v>1954</v>
      </c>
      <c r="Q590" s="79">
        <v>36816</v>
      </c>
      <c r="R590" s="77">
        <f t="shared" si="60"/>
        <v>17</v>
      </c>
      <c r="S590" s="77">
        <f t="shared" si="61"/>
        <v>10</v>
      </c>
      <c r="T590" s="77">
        <f t="shared" si="62"/>
        <v>2000</v>
      </c>
      <c r="U590" s="103">
        <f t="shared" ca="1" si="63"/>
        <v>26.002739726027396</v>
      </c>
      <c r="V590" s="102" t="s">
        <v>308</v>
      </c>
      <c r="W590" s="102" t="s">
        <v>8247</v>
      </c>
      <c r="X590" s="77" t="s">
        <v>1327</v>
      </c>
      <c r="Y590" s="108" t="s">
        <v>222</v>
      </c>
      <c r="Z590" s="12" t="s">
        <v>231</v>
      </c>
      <c r="AA590" s="12" t="s">
        <v>636</v>
      </c>
      <c r="AB590" s="12" t="s">
        <v>2289</v>
      </c>
      <c r="AC590" s="12" t="s">
        <v>313</v>
      </c>
      <c r="AD590" s="12" t="s">
        <v>314</v>
      </c>
      <c r="AE590" s="12">
        <v>90</v>
      </c>
      <c r="AF590" s="13" t="s">
        <v>413</v>
      </c>
      <c r="AG590" s="12" t="s">
        <v>291</v>
      </c>
      <c r="AH590" s="104" t="s">
        <v>2339</v>
      </c>
      <c r="AI590" s="12" t="s">
        <v>317</v>
      </c>
      <c r="AJ590" s="12" t="s">
        <v>318</v>
      </c>
      <c r="AK590" s="78" t="s">
        <v>8248</v>
      </c>
      <c r="AL590" s="143" t="s">
        <v>8249</v>
      </c>
      <c r="AM590" s="78" t="s">
        <v>8250</v>
      </c>
      <c r="AN590" s="78" t="s">
        <v>622</v>
      </c>
      <c r="AO590" s="78" t="s">
        <v>581</v>
      </c>
      <c r="AP590" s="78" t="s">
        <v>581</v>
      </c>
      <c r="AQ590" s="78" t="s">
        <v>8251</v>
      </c>
      <c r="AR590" s="77">
        <v>157</v>
      </c>
      <c r="AS590" s="77" t="s">
        <v>581</v>
      </c>
      <c r="AT590" s="78" t="s">
        <v>127</v>
      </c>
      <c r="AU590" s="78" t="s">
        <v>483</v>
      </c>
      <c r="AV590" s="77">
        <v>78784</v>
      </c>
      <c r="AW590" s="77" t="s">
        <v>329</v>
      </c>
      <c r="AX590" s="78" t="s">
        <v>329</v>
      </c>
      <c r="AY590" s="78" t="s">
        <v>329</v>
      </c>
      <c r="AZ590" s="78"/>
      <c r="BA590" s="78"/>
      <c r="BB590" s="137"/>
      <c r="BC590" s="78"/>
      <c r="BD590" s="78" t="s">
        <v>8250</v>
      </c>
      <c r="BE590" s="78" t="s">
        <v>622</v>
      </c>
      <c r="BF590" s="78" t="s">
        <v>8252</v>
      </c>
      <c r="BG590" s="77"/>
      <c r="BH590" s="78" t="s">
        <v>581</v>
      </c>
      <c r="BI590" s="78">
        <v>0</v>
      </c>
      <c r="BJ590" s="78"/>
      <c r="BK590" s="78"/>
      <c r="BL590" s="78"/>
      <c r="BM590" s="78"/>
      <c r="BN590" s="78"/>
      <c r="BO590" s="78"/>
      <c r="BP590" s="78"/>
      <c r="BQ590" s="78"/>
      <c r="BR590" s="78"/>
      <c r="BS590" s="78"/>
      <c r="BT590" s="78"/>
      <c r="BU590" s="78"/>
      <c r="BV590" s="78"/>
      <c r="BW590" s="78"/>
      <c r="BX590" s="78"/>
      <c r="BY590" s="78"/>
      <c r="BZ590" s="78"/>
      <c r="CA590" s="78"/>
      <c r="CB590" s="78"/>
      <c r="CC590" s="78"/>
      <c r="CD590" s="78" t="s">
        <v>0</v>
      </c>
    </row>
    <row r="591" spans="1:82" ht="15" x14ac:dyDescent="0.25">
      <c r="A591" s="77">
        <v>1073</v>
      </c>
      <c r="B591" s="77" t="s">
        <v>8253</v>
      </c>
      <c r="C591" s="78" t="s">
        <v>363</v>
      </c>
      <c r="D591" s="77" t="s">
        <v>86</v>
      </c>
      <c r="E591" s="77">
        <v>17190575369</v>
      </c>
      <c r="F591" s="79">
        <v>46274</v>
      </c>
      <c r="G591" s="79">
        <v>46274</v>
      </c>
      <c r="H591" s="101">
        <f t="shared" si="64"/>
        <v>46364</v>
      </c>
      <c r="I591" s="77" t="s">
        <v>290</v>
      </c>
      <c r="J591" s="77" t="s">
        <v>507</v>
      </c>
      <c r="K591" s="77" t="s">
        <v>8254</v>
      </c>
      <c r="L591" s="77" t="s">
        <v>1788</v>
      </c>
      <c r="M591" s="102" t="str">
        <f t="shared" si="59"/>
        <v>MARTINEZ TOVAR MARIO ALBERTO</v>
      </c>
      <c r="N591" s="102" t="s">
        <v>8255</v>
      </c>
      <c r="O591" s="102" t="s">
        <v>8256</v>
      </c>
      <c r="P591" s="77" t="s">
        <v>1953</v>
      </c>
      <c r="Q591" s="79">
        <v>38706</v>
      </c>
      <c r="R591" s="77">
        <f t="shared" si="60"/>
        <v>20</v>
      </c>
      <c r="S591" s="77">
        <f t="shared" si="61"/>
        <v>12</v>
      </c>
      <c r="T591" s="77">
        <f t="shared" si="62"/>
        <v>2005</v>
      </c>
      <c r="U591" s="103">
        <f t="shared" ca="1" si="63"/>
        <v>20.824657534246576</v>
      </c>
      <c r="V591" s="102" t="s">
        <v>342</v>
      </c>
      <c r="W591" s="102" t="s">
        <v>8257</v>
      </c>
      <c r="X591" s="77" t="s">
        <v>5975</v>
      </c>
      <c r="Y591" s="77" t="s">
        <v>8129</v>
      </c>
      <c r="Z591" s="139" t="s">
        <v>88</v>
      </c>
      <c r="AA591" s="139" t="s">
        <v>392</v>
      </c>
      <c r="AB591" s="139" t="s">
        <v>374</v>
      </c>
      <c r="AC591" s="77" t="s">
        <v>313</v>
      </c>
      <c r="AD591" s="77" t="s">
        <v>314</v>
      </c>
      <c r="AE591" s="77">
        <v>90</v>
      </c>
      <c r="AF591" s="102" t="s">
        <v>375</v>
      </c>
      <c r="AG591" s="77" t="s">
        <v>290</v>
      </c>
      <c r="AH591" s="78" t="s">
        <v>473</v>
      </c>
      <c r="AI591" s="12" t="s">
        <v>317</v>
      </c>
      <c r="AJ591" s="12" t="s">
        <v>318</v>
      </c>
      <c r="AK591" s="78" t="s">
        <v>8258</v>
      </c>
      <c r="AL591" s="143" t="s">
        <v>8259</v>
      </c>
      <c r="AM591" s="78" t="s">
        <v>8260</v>
      </c>
      <c r="AN591" s="78" t="s">
        <v>381</v>
      </c>
      <c r="AO591" s="78" t="s">
        <v>398</v>
      </c>
      <c r="AP591" s="78" t="s">
        <v>398</v>
      </c>
      <c r="AQ591" s="78" t="s">
        <v>8261</v>
      </c>
      <c r="AR591" s="77">
        <v>137</v>
      </c>
      <c r="AS591" s="77" t="s">
        <v>581</v>
      </c>
      <c r="AT591" s="78" t="s">
        <v>483</v>
      </c>
      <c r="AU591" s="78" t="s">
        <v>483</v>
      </c>
      <c r="AV591" s="77">
        <v>78397</v>
      </c>
      <c r="AW591" s="77" t="s">
        <v>329</v>
      </c>
      <c r="AX591" s="78" t="s">
        <v>329</v>
      </c>
      <c r="AY591" s="78" t="s">
        <v>329</v>
      </c>
      <c r="AZ591" s="78"/>
      <c r="BA591" s="78"/>
      <c r="BB591" s="137"/>
      <c r="BC591" s="78"/>
      <c r="BD591" s="78" t="s">
        <v>8260</v>
      </c>
      <c r="BE591" s="78" t="s">
        <v>381</v>
      </c>
      <c r="BF591" s="78" t="s">
        <v>8262</v>
      </c>
      <c r="BG591" s="77" t="s">
        <v>333</v>
      </c>
      <c r="BH591" s="78" t="s">
        <v>334</v>
      </c>
      <c r="BI591" s="78">
        <v>1</v>
      </c>
      <c r="BJ591" s="78" t="s">
        <v>8263</v>
      </c>
      <c r="BK591" s="78" t="s">
        <v>571</v>
      </c>
      <c r="BL591" s="78">
        <v>3</v>
      </c>
      <c r="BM591" s="78"/>
      <c r="BN591" s="78"/>
      <c r="BO591" s="78"/>
      <c r="BP591" s="78"/>
      <c r="BQ591" s="78"/>
      <c r="BR591" s="78"/>
      <c r="BS591" s="78"/>
      <c r="BT591" s="78"/>
      <c r="BU591" s="78"/>
      <c r="BV591" s="78"/>
      <c r="BW591" s="78"/>
      <c r="BX591" s="78"/>
      <c r="BY591" s="78"/>
      <c r="BZ591" s="78"/>
      <c r="CA591" s="78"/>
      <c r="CB591" s="78"/>
      <c r="CC591" s="78"/>
      <c r="CD591" s="78" t="s">
        <v>8264</v>
      </c>
    </row>
    <row r="592" spans="1:82" ht="15" x14ac:dyDescent="0.25">
      <c r="A592" s="77">
        <v>1074</v>
      </c>
      <c r="B592" s="77" t="s">
        <v>8266</v>
      </c>
      <c r="C592" s="78" t="s">
        <v>1390</v>
      </c>
      <c r="D592" s="77" t="s">
        <v>281</v>
      </c>
      <c r="E592" s="77" t="s">
        <v>8267</v>
      </c>
      <c r="F592" s="79">
        <v>46279</v>
      </c>
      <c r="G592" s="79">
        <v>46279</v>
      </c>
      <c r="H592" s="101">
        <f t="shared" si="64"/>
        <v>46369</v>
      </c>
      <c r="I592" s="77" t="s">
        <v>291</v>
      </c>
      <c r="J592" s="77" t="s">
        <v>1321</v>
      </c>
      <c r="K592" s="77" t="s">
        <v>366</v>
      </c>
      <c r="L592" s="77" t="s">
        <v>8268</v>
      </c>
      <c r="M592" s="102" t="str">
        <f t="shared" si="59"/>
        <v>CARDENAS HERNANDEZ LUCIA ALITZEL</v>
      </c>
      <c r="N592" s="102" t="s">
        <v>8269</v>
      </c>
      <c r="O592" s="102" t="s">
        <v>8270</v>
      </c>
      <c r="P592" s="77" t="s">
        <v>1954</v>
      </c>
      <c r="Q592" s="79">
        <v>35414</v>
      </c>
      <c r="R592" s="77">
        <f t="shared" si="60"/>
        <v>15</v>
      </c>
      <c r="S592" s="77">
        <f t="shared" si="61"/>
        <v>12</v>
      </c>
      <c r="T592" s="77">
        <f t="shared" si="62"/>
        <v>1996</v>
      </c>
      <c r="U592" s="103">
        <f t="shared" ca="1" si="63"/>
        <v>29.843835616438355</v>
      </c>
      <c r="V592" s="102" t="s">
        <v>308</v>
      </c>
      <c r="W592" s="102" t="s">
        <v>8271</v>
      </c>
      <c r="X592" s="77" t="s">
        <v>1327</v>
      </c>
      <c r="Y592" s="77" t="s">
        <v>8272</v>
      </c>
      <c r="Z592" s="12" t="s">
        <v>263</v>
      </c>
      <c r="AA592" s="12" t="s">
        <v>636</v>
      </c>
      <c r="AB592" s="77" t="s">
        <v>7692</v>
      </c>
      <c r="AC592" s="77" t="s">
        <v>313</v>
      </c>
      <c r="AD592" s="77" t="s">
        <v>314</v>
      </c>
      <c r="AE592" s="77">
        <v>90</v>
      </c>
      <c r="AF592" s="13" t="s">
        <v>375</v>
      </c>
      <c r="AG592" s="12" t="s">
        <v>291</v>
      </c>
      <c r="AH592" s="104" t="s">
        <v>1398</v>
      </c>
      <c r="AI592" s="12" t="s">
        <v>317</v>
      </c>
      <c r="AJ592" s="12" t="s">
        <v>318</v>
      </c>
      <c r="AK592" s="78" t="s">
        <v>8273</v>
      </c>
      <c r="AL592" s="143" t="s">
        <v>8274</v>
      </c>
      <c r="AM592" s="78" t="s">
        <v>8275</v>
      </c>
      <c r="AN592" s="78" t="s">
        <v>622</v>
      </c>
      <c r="AO592" s="78" t="s">
        <v>398</v>
      </c>
      <c r="AP592" s="78" t="s">
        <v>398</v>
      </c>
      <c r="AQ592" s="78" t="s">
        <v>8276</v>
      </c>
      <c r="AR592" s="77">
        <v>205</v>
      </c>
      <c r="AS592" s="77" t="s">
        <v>581</v>
      </c>
      <c r="AT592" s="78" t="s">
        <v>483</v>
      </c>
      <c r="AU592" s="78" t="s">
        <v>483</v>
      </c>
      <c r="AV592" s="77">
        <v>78110</v>
      </c>
      <c r="AW592" s="77" t="s">
        <v>329</v>
      </c>
      <c r="AX592" s="78" t="s">
        <v>329</v>
      </c>
      <c r="AY592" s="78" t="s">
        <v>329</v>
      </c>
      <c r="AZ592" s="78"/>
      <c r="BA592" s="78"/>
      <c r="BB592" s="137"/>
      <c r="BC592" s="78"/>
      <c r="BD592" s="78" t="s">
        <v>8275</v>
      </c>
      <c r="BE592" s="78" t="s">
        <v>622</v>
      </c>
      <c r="BF592" s="78" t="s">
        <v>8277</v>
      </c>
      <c r="BG592" s="77" t="s">
        <v>333</v>
      </c>
      <c r="BH592" s="78" t="s">
        <v>334</v>
      </c>
      <c r="BI592" s="78">
        <v>0</v>
      </c>
      <c r="BJ592" s="78"/>
      <c r="BK592" s="78"/>
      <c r="BL592" s="78"/>
      <c r="BM592" s="78"/>
      <c r="BN592" s="78"/>
      <c r="BO592" s="78"/>
      <c r="BP592" s="78"/>
      <c r="BQ592" s="78"/>
      <c r="BR592" s="78"/>
      <c r="BS592" s="78"/>
      <c r="BT592" s="78"/>
      <c r="BU592" s="78"/>
      <c r="BV592" s="78"/>
      <c r="BW592" s="78"/>
      <c r="BX592" s="78"/>
      <c r="BY592" s="78"/>
      <c r="BZ592" s="78"/>
      <c r="CA592" s="78"/>
      <c r="CB592" s="78"/>
      <c r="CC592" s="78"/>
      <c r="CD592" s="78" t="s">
        <v>8205</v>
      </c>
    </row>
    <row r="593" spans="1:82" ht="15" x14ac:dyDescent="0.25">
      <c r="A593" s="77">
        <v>1075</v>
      </c>
      <c r="B593" s="77" t="s">
        <v>8278</v>
      </c>
      <c r="C593" s="78" t="s">
        <v>363</v>
      </c>
      <c r="D593" s="77" t="s">
        <v>86</v>
      </c>
      <c r="E593" s="77">
        <v>41078927658</v>
      </c>
      <c r="F593" s="79">
        <v>46279</v>
      </c>
      <c r="G593" s="79">
        <v>46279</v>
      </c>
      <c r="H593" s="101">
        <f t="shared" si="64"/>
        <v>46369</v>
      </c>
      <c r="I593" s="77" t="s">
        <v>290</v>
      </c>
      <c r="J593" s="77" t="s">
        <v>1606</v>
      </c>
      <c r="K593" s="77" t="s">
        <v>383</v>
      </c>
      <c r="L593" s="77" t="s">
        <v>8279</v>
      </c>
      <c r="M593" s="102" t="str">
        <f t="shared" si="59"/>
        <v>MARQUEZ ORTIZ DANIEL ISRAEL</v>
      </c>
      <c r="N593" s="102" t="s">
        <v>8280</v>
      </c>
      <c r="O593" s="102" t="s">
        <v>8281</v>
      </c>
      <c r="P593" s="77" t="s">
        <v>1953</v>
      </c>
      <c r="Q593" s="79">
        <v>32842</v>
      </c>
      <c r="R593" s="77">
        <f t="shared" si="60"/>
        <v>30</v>
      </c>
      <c r="S593" s="77">
        <f t="shared" si="61"/>
        <v>11</v>
      </c>
      <c r="T593" s="77">
        <f t="shared" si="62"/>
        <v>1989</v>
      </c>
      <c r="U593" s="103">
        <f t="shared" ca="1" si="63"/>
        <v>36.890410958904113</v>
      </c>
      <c r="V593" s="102" t="s">
        <v>452</v>
      </c>
      <c r="W593" s="102" t="s">
        <v>8282</v>
      </c>
      <c r="X593" s="77" t="s">
        <v>454</v>
      </c>
      <c r="Y593" s="77" t="s">
        <v>391</v>
      </c>
      <c r="Z593" s="77" t="s">
        <v>88</v>
      </c>
      <c r="AA593" s="77" t="s">
        <v>392</v>
      </c>
      <c r="AB593" s="77" t="s">
        <v>374</v>
      </c>
      <c r="AC593" s="77" t="s">
        <v>313</v>
      </c>
      <c r="AD593" s="77" t="s">
        <v>314</v>
      </c>
      <c r="AE593" s="77">
        <v>90</v>
      </c>
      <c r="AF593" s="102" t="s">
        <v>375</v>
      </c>
      <c r="AG593" s="77" t="s">
        <v>290</v>
      </c>
      <c r="AH593" s="78" t="s">
        <v>473</v>
      </c>
      <c r="AI593" s="12" t="s">
        <v>317</v>
      </c>
      <c r="AJ593" s="12" t="s">
        <v>318</v>
      </c>
      <c r="AK593" s="78" t="s">
        <v>8283</v>
      </c>
      <c r="AL593" s="143" t="s">
        <v>8284</v>
      </c>
      <c r="AM593" s="78" t="s">
        <v>8312</v>
      </c>
      <c r="AN593" s="78" t="s">
        <v>478</v>
      </c>
      <c r="AO593" s="78" t="s">
        <v>398</v>
      </c>
      <c r="AP593" s="78" t="s">
        <v>398</v>
      </c>
      <c r="AQ593" s="78" t="s">
        <v>8286</v>
      </c>
      <c r="AR593" s="77">
        <v>175</v>
      </c>
      <c r="AS593" s="77" t="s">
        <v>581</v>
      </c>
      <c r="AT593" s="78" t="s">
        <v>483</v>
      </c>
      <c r="AU593" s="78" t="s">
        <v>483</v>
      </c>
      <c r="AV593" s="77">
        <v>78380</v>
      </c>
      <c r="AW593" s="77" t="s">
        <v>329</v>
      </c>
      <c r="AX593" s="78" t="s">
        <v>329</v>
      </c>
      <c r="AY593" s="78" t="s">
        <v>329</v>
      </c>
      <c r="AZ593" s="78"/>
      <c r="BA593" s="78"/>
      <c r="BB593" s="137"/>
      <c r="BC593" s="78"/>
      <c r="BD593" s="78" t="s">
        <v>8285</v>
      </c>
      <c r="BE593" s="78" t="s">
        <v>325</v>
      </c>
      <c r="BF593" s="78" t="s">
        <v>8287</v>
      </c>
      <c r="BG593" s="77"/>
      <c r="BH593" s="78" t="s">
        <v>334</v>
      </c>
      <c r="BI593" s="78">
        <v>1</v>
      </c>
      <c r="BJ593" s="78" t="s">
        <v>8288</v>
      </c>
      <c r="BK593" s="78" t="s">
        <v>571</v>
      </c>
      <c r="BL593" s="78">
        <v>7</v>
      </c>
      <c r="BM593" s="78"/>
      <c r="BN593" s="78"/>
      <c r="BO593" s="78"/>
      <c r="BP593" s="78"/>
      <c r="BQ593" s="78"/>
      <c r="BR593" s="78"/>
      <c r="BS593" s="78"/>
      <c r="BT593" s="78"/>
      <c r="BU593" s="78"/>
      <c r="BV593" s="78"/>
      <c r="BW593" s="78"/>
      <c r="BX593" s="78"/>
      <c r="BY593" s="78"/>
      <c r="BZ593" s="78"/>
      <c r="CA593" s="78"/>
      <c r="CB593" s="78"/>
      <c r="CC593" s="78"/>
      <c r="CD593" s="78" t="s">
        <v>8264</v>
      </c>
    </row>
    <row r="594" spans="1:82" ht="15" x14ac:dyDescent="0.25">
      <c r="A594" s="77">
        <v>1076</v>
      </c>
      <c r="B594" s="77" t="s">
        <v>8289</v>
      </c>
      <c r="C594" s="78" t="s">
        <v>335</v>
      </c>
      <c r="D594" s="77" t="s">
        <v>105</v>
      </c>
      <c r="E594" s="77">
        <v>69150054737</v>
      </c>
      <c r="F594" s="79">
        <v>46279</v>
      </c>
      <c r="G594" s="79">
        <v>46279</v>
      </c>
      <c r="H594" s="101">
        <f t="shared" si="64"/>
        <v>46369</v>
      </c>
      <c r="I594" s="77" t="s">
        <v>290</v>
      </c>
      <c r="J594" s="77" t="s">
        <v>4397</v>
      </c>
      <c r="K594" s="77"/>
      <c r="L594" s="77" t="s">
        <v>8290</v>
      </c>
      <c r="M594" s="153" t="str">
        <f t="shared" si="59"/>
        <v>ARANDA  CESAR LEOBARDO</v>
      </c>
      <c r="N594" s="102" t="s">
        <v>8291</v>
      </c>
      <c r="O594" s="102" t="s">
        <v>8292</v>
      </c>
      <c r="P594" s="77" t="s">
        <v>1953</v>
      </c>
      <c r="Q594" s="79">
        <v>36546</v>
      </c>
      <c r="R594" s="77">
        <f t="shared" si="60"/>
        <v>21</v>
      </c>
      <c r="S594" s="77">
        <f t="shared" si="61"/>
        <v>1</v>
      </c>
      <c r="T594" s="77">
        <f t="shared" si="62"/>
        <v>2000</v>
      </c>
      <c r="U594" s="103">
        <f t="shared" ca="1" si="63"/>
        <v>26.742465753424657</v>
      </c>
      <c r="V594" s="102" t="s">
        <v>389</v>
      </c>
      <c r="W594" s="102" t="s">
        <v>8293</v>
      </c>
      <c r="X594" s="77" t="s">
        <v>454</v>
      </c>
      <c r="Y594" s="77" t="s">
        <v>5083</v>
      </c>
      <c r="Z594" s="77" t="s">
        <v>111</v>
      </c>
      <c r="AA594" s="77" t="s">
        <v>347</v>
      </c>
      <c r="AB594" s="77" t="s">
        <v>858</v>
      </c>
      <c r="AC594" s="77" t="s">
        <v>313</v>
      </c>
      <c r="AD594" s="77" t="s">
        <v>314</v>
      </c>
      <c r="AE594" s="77">
        <v>90</v>
      </c>
      <c r="AF594" s="13" t="s">
        <v>859</v>
      </c>
      <c r="AG594" s="12" t="s">
        <v>291</v>
      </c>
      <c r="AH594" s="104" t="s">
        <v>2338</v>
      </c>
      <c r="AI594" s="12" t="s">
        <v>317</v>
      </c>
      <c r="AJ594" s="12" t="s">
        <v>318</v>
      </c>
      <c r="AK594" s="78" t="s">
        <v>8294</v>
      </c>
      <c r="AL594" s="143" t="s">
        <v>8295</v>
      </c>
      <c r="AM594" s="78" t="s">
        <v>8296</v>
      </c>
      <c r="AN594" s="78" t="s">
        <v>401</v>
      </c>
      <c r="AO594" s="78" t="s">
        <v>398</v>
      </c>
      <c r="AP594" s="78" t="s">
        <v>398</v>
      </c>
      <c r="AQ594" s="78" t="s">
        <v>8297</v>
      </c>
      <c r="AR594" s="77" t="s">
        <v>8298</v>
      </c>
      <c r="AS594" s="77" t="s">
        <v>581</v>
      </c>
      <c r="AT594" s="78" t="s">
        <v>105</v>
      </c>
      <c r="AU594" s="78" t="s">
        <v>105</v>
      </c>
      <c r="AV594" s="77">
        <v>20299</v>
      </c>
      <c r="AW594" s="77" t="s">
        <v>329</v>
      </c>
      <c r="AX594" s="78" t="s">
        <v>329</v>
      </c>
      <c r="AY594" s="78" t="s">
        <v>329</v>
      </c>
      <c r="AZ594" s="78"/>
      <c r="BA594" s="78"/>
      <c r="BB594" s="137"/>
      <c r="BC594" s="78"/>
      <c r="BD594" s="78" t="s">
        <v>8299</v>
      </c>
      <c r="BE594" s="78" t="s">
        <v>401</v>
      </c>
      <c r="BF594" s="78" t="s">
        <v>8300</v>
      </c>
      <c r="BG594" s="77"/>
      <c r="BH594" s="78" t="s">
        <v>334</v>
      </c>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t="s">
        <v>8311</v>
      </c>
    </row>
    <row r="595" spans="1:82" ht="15" x14ac:dyDescent="0.25">
      <c r="A595" s="77">
        <v>1077</v>
      </c>
      <c r="B595" s="77" t="s">
        <v>8341</v>
      </c>
      <c r="C595" s="78" t="s">
        <v>363</v>
      </c>
      <c r="D595" s="77" t="s">
        <v>86</v>
      </c>
      <c r="E595" s="77">
        <v>41139618163</v>
      </c>
      <c r="F595" s="79">
        <v>46279</v>
      </c>
      <c r="G595" s="79">
        <v>46279</v>
      </c>
      <c r="H595" s="101">
        <f t="shared" si="64"/>
        <v>46369</v>
      </c>
      <c r="I595" s="77" t="s">
        <v>290</v>
      </c>
      <c r="J595" s="77" t="s">
        <v>1280</v>
      </c>
      <c r="K595" s="77" t="s">
        <v>4936</v>
      </c>
      <c r="L595" s="77" t="s">
        <v>1727</v>
      </c>
      <c r="M595" s="102" t="str">
        <f t="shared" si="59"/>
        <v>RAMIREZ GALLARDO GONZALO</v>
      </c>
      <c r="N595" s="102" t="s">
        <v>8301</v>
      </c>
      <c r="O595" s="102" t="s">
        <v>8302</v>
      </c>
      <c r="P595" s="77" t="s">
        <v>1953</v>
      </c>
      <c r="Q595" s="79">
        <v>35166</v>
      </c>
      <c r="R595" s="77">
        <f t="shared" si="60"/>
        <v>11</v>
      </c>
      <c r="S595" s="77">
        <f t="shared" si="61"/>
        <v>4</v>
      </c>
      <c r="T595" s="77">
        <f t="shared" si="62"/>
        <v>1996</v>
      </c>
      <c r="U595" s="103">
        <f t="shared" ca="1" si="63"/>
        <v>30.523287671232875</v>
      </c>
      <c r="V595" s="102" t="s">
        <v>452</v>
      </c>
      <c r="W595" s="102" t="s">
        <v>8303</v>
      </c>
      <c r="X595" s="77" t="s">
        <v>454</v>
      </c>
      <c r="Y595" s="77" t="s">
        <v>391</v>
      </c>
      <c r="Z595" s="77" t="s">
        <v>88</v>
      </c>
      <c r="AA595" s="77" t="s">
        <v>392</v>
      </c>
      <c r="AB595" s="77" t="s">
        <v>374</v>
      </c>
      <c r="AC595" s="77" t="s">
        <v>313</v>
      </c>
      <c r="AD595" s="77" t="s">
        <v>314</v>
      </c>
      <c r="AE595" s="77">
        <v>90</v>
      </c>
      <c r="AF595" s="102" t="s">
        <v>375</v>
      </c>
      <c r="AG595" s="77" t="s">
        <v>290</v>
      </c>
      <c r="AH595" s="78" t="s">
        <v>473</v>
      </c>
      <c r="AI595" s="12" t="s">
        <v>317</v>
      </c>
      <c r="AJ595" s="12" t="s">
        <v>318</v>
      </c>
      <c r="AK595" s="78" t="s">
        <v>8304</v>
      </c>
      <c r="AL595" s="143" t="s">
        <v>8305</v>
      </c>
      <c r="AM595" s="78" t="s">
        <v>8306</v>
      </c>
      <c r="AN595" s="78" t="s">
        <v>478</v>
      </c>
      <c r="AO595" s="78" t="s">
        <v>327</v>
      </c>
      <c r="AP595" s="78" t="s">
        <v>327</v>
      </c>
      <c r="AQ595" s="78" t="s">
        <v>8307</v>
      </c>
      <c r="AR595" s="77">
        <v>421</v>
      </c>
      <c r="AS595" s="77" t="s">
        <v>581</v>
      </c>
      <c r="AT595" s="78" t="s">
        <v>483</v>
      </c>
      <c r="AU595" s="78" t="s">
        <v>483</v>
      </c>
      <c r="AV595" s="77">
        <v>78394</v>
      </c>
      <c r="AW595" s="77" t="s">
        <v>329</v>
      </c>
      <c r="AX595" s="78" t="s">
        <v>329</v>
      </c>
      <c r="AY595" s="78" t="s">
        <v>329</v>
      </c>
      <c r="AZ595" s="78"/>
      <c r="BA595" s="78"/>
      <c r="BB595" s="137"/>
      <c r="BC595" s="78"/>
      <c r="BD595" s="78" t="s">
        <v>8306</v>
      </c>
      <c r="BE595" s="78" t="s">
        <v>478</v>
      </c>
      <c r="BF595" s="78" t="s">
        <v>8308</v>
      </c>
      <c r="BG595" s="77"/>
      <c r="BH595" s="78" t="s">
        <v>334</v>
      </c>
      <c r="BI595" s="78">
        <v>2</v>
      </c>
      <c r="BJ595" s="78" t="s">
        <v>8309</v>
      </c>
      <c r="BK595" s="78" t="s">
        <v>571</v>
      </c>
      <c r="BL595" s="78">
        <v>10</v>
      </c>
      <c r="BM595" s="78" t="s">
        <v>8310</v>
      </c>
      <c r="BN595" s="78" t="s">
        <v>3911</v>
      </c>
      <c r="BO595" s="78">
        <v>7</v>
      </c>
      <c r="BP595" s="78"/>
      <c r="BQ595" s="78"/>
      <c r="BR595" s="78"/>
      <c r="BS595" s="78"/>
      <c r="BT595" s="78"/>
      <c r="BU595" s="78"/>
      <c r="BV595" s="78"/>
      <c r="BW595" s="78"/>
      <c r="BX595" s="78"/>
      <c r="BY595" s="78"/>
      <c r="BZ595" s="78"/>
      <c r="CA595" s="78"/>
      <c r="CB595" s="78"/>
      <c r="CC595" s="78"/>
      <c r="CD595" s="78" t="s">
        <v>8264</v>
      </c>
    </row>
    <row r="596" spans="1:82" ht="15" x14ac:dyDescent="0.25">
      <c r="A596" s="77">
        <v>1078</v>
      </c>
      <c r="B596" s="77" t="s">
        <v>8313</v>
      </c>
      <c r="C596" s="78" t="s">
        <v>335</v>
      </c>
      <c r="D596" s="77" t="s">
        <v>228</v>
      </c>
      <c r="E596" s="77">
        <v>18220440673</v>
      </c>
      <c r="F596" s="79">
        <v>46286</v>
      </c>
      <c r="G596" s="79">
        <v>46286</v>
      </c>
      <c r="H596" s="101">
        <f t="shared" si="64"/>
        <v>46376</v>
      </c>
      <c r="I596" s="77" t="s">
        <v>290</v>
      </c>
      <c r="J596" s="77" t="s">
        <v>1188</v>
      </c>
      <c r="K596" s="77" t="s">
        <v>337</v>
      </c>
      <c r="L596" s="77" t="s">
        <v>8314</v>
      </c>
      <c r="M596" s="102" t="str">
        <f t="shared" si="59"/>
        <v>RICO FLORES DIMAS YAHIR</v>
      </c>
      <c r="N596" s="102" t="s">
        <v>8315</v>
      </c>
      <c r="O596" s="102" t="s">
        <v>8316</v>
      </c>
      <c r="P596" s="77" t="s">
        <v>1953</v>
      </c>
      <c r="Q596" s="79">
        <v>38024</v>
      </c>
      <c r="R596" s="77">
        <f t="shared" si="60"/>
        <v>7</v>
      </c>
      <c r="S596" s="77">
        <f t="shared" si="61"/>
        <v>2</v>
      </c>
      <c r="T596" s="77">
        <f t="shared" si="62"/>
        <v>2004</v>
      </c>
      <c r="U596" s="103">
        <f t="shared" ca="1" si="63"/>
        <v>22.693150684931506</v>
      </c>
      <c r="V596" s="102" t="s">
        <v>389</v>
      </c>
      <c r="W596" s="102" t="s">
        <v>8317</v>
      </c>
      <c r="X596" s="77" t="s">
        <v>454</v>
      </c>
      <c r="Y596" s="121" t="s">
        <v>151</v>
      </c>
      <c r="Z596" s="12" t="s">
        <v>149</v>
      </c>
      <c r="AA596" s="12" t="s">
        <v>347</v>
      </c>
      <c r="AB596" s="12" t="s">
        <v>2293</v>
      </c>
      <c r="AC596" s="12" t="s">
        <v>313</v>
      </c>
      <c r="AD596" s="12" t="s">
        <v>314</v>
      </c>
      <c r="AE596" s="12">
        <v>90</v>
      </c>
      <c r="AF596" s="13" t="s">
        <v>949</v>
      </c>
      <c r="AG596" s="77" t="s">
        <v>290</v>
      </c>
      <c r="AH596" s="78" t="s">
        <v>950</v>
      </c>
      <c r="AI596" s="77" t="s">
        <v>317</v>
      </c>
      <c r="AJ596" s="77" t="s">
        <v>318</v>
      </c>
      <c r="AK596" s="78" t="s">
        <v>8318</v>
      </c>
      <c r="AL596" s="143" t="s">
        <v>8319</v>
      </c>
      <c r="AM596" s="78" t="s">
        <v>8320</v>
      </c>
      <c r="AN596" s="78" t="s">
        <v>325</v>
      </c>
      <c r="AO596" s="78" t="s">
        <v>398</v>
      </c>
      <c r="AP596" s="78" t="s">
        <v>398</v>
      </c>
      <c r="AQ596" s="78" t="s">
        <v>8321</v>
      </c>
      <c r="AR596" s="77">
        <v>317</v>
      </c>
      <c r="AS596" s="77" t="s">
        <v>581</v>
      </c>
      <c r="AT596" s="78" t="s">
        <v>1573</v>
      </c>
      <c r="AU596" s="78" t="s">
        <v>483</v>
      </c>
      <c r="AV596" s="77">
        <v>79660</v>
      </c>
      <c r="AW596" s="77" t="s">
        <v>329</v>
      </c>
      <c r="AX596" s="78" t="s">
        <v>329</v>
      </c>
      <c r="AY596" s="78" t="s">
        <v>329</v>
      </c>
      <c r="AZ596" s="78"/>
      <c r="BA596" s="78"/>
      <c r="BB596" s="137"/>
      <c r="BC596" s="78"/>
      <c r="BD596" s="78" t="s">
        <v>8320</v>
      </c>
      <c r="BE596" s="78" t="s">
        <v>325</v>
      </c>
      <c r="BF596" s="78" t="s">
        <v>8322</v>
      </c>
      <c r="BG596" s="77"/>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t="s">
        <v>0</v>
      </c>
    </row>
    <row r="597" spans="1:82" ht="15" x14ac:dyDescent="0.25">
      <c r="A597" s="77">
        <v>1079</v>
      </c>
      <c r="B597" s="77" t="s">
        <v>8323</v>
      </c>
      <c r="C597" s="78" t="s">
        <v>363</v>
      </c>
      <c r="D597" s="77" t="s">
        <v>98</v>
      </c>
      <c r="E597" s="77" t="s">
        <v>8324</v>
      </c>
      <c r="F597" s="79">
        <v>46288</v>
      </c>
      <c r="G597" s="79">
        <v>46288</v>
      </c>
      <c r="H597" s="101">
        <f t="shared" si="64"/>
        <v>46378</v>
      </c>
      <c r="I597" s="77" t="s">
        <v>290</v>
      </c>
      <c r="J597" s="77" t="s">
        <v>8325</v>
      </c>
      <c r="K597" s="77" t="s">
        <v>8325</v>
      </c>
      <c r="L597" s="77" t="s">
        <v>1748</v>
      </c>
      <c r="M597" s="102" t="str">
        <f t="shared" si="59"/>
        <v>QUIÑONEZ QUIÑONEZ FRANCISCO</v>
      </c>
      <c r="N597" s="102" t="s">
        <v>8326</v>
      </c>
      <c r="O597" s="102" t="s">
        <v>8327</v>
      </c>
      <c r="P597" s="77" t="s">
        <v>1953</v>
      </c>
      <c r="Q597" s="79">
        <v>29610</v>
      </c>
      <c r="R597" s="77">
        <f t="shared" si="60"/>
        <v>24</v>
      </c>
      <c r="S597" s="77">
        <f t="shared" si="61"/>
        <v>1</v>
      </c>
      <c r="T597" s="77">
        <f t="shared" si="62"/>
        <v>1981</v>
      </c>
      <c r="U597" s="103">
        <f t="shared" ca="1" si="63"/>
        <v>45.745205479452054</v>
      </c>
      <c r="V597" s="102" t="s">
        <v>8328</v>
      </c>
      <c r="W597" s="102" t="s">
        <v>8329</v>
      </c>
      <c r="X597" s="77" t="s">
        <v>472</v>
      </c>
      <c r="Y597" s="77" t="s">
        <v>391</v>
      </c>
      <c r="Z597" s="77" t="s">
        <v>88</v>
      </c>
      <c r="AA597" s="77" t="s">
        <v>392</v>
      </c>
      <c r="AB597" s="12" t="s">
        <v>8330</v>
      </c>
      <c r="AC597" s="77" t="s">
        <v>313</v>
      </c>
      <c r="AD597" s="77" t="s">
        <v>314</v>
      </c>
      <c r="AE597" s="77">
        <v>90</v>
      </c>
      <c r="AF597" s="13" t="s">
        <v>597</v>
      </c>
      <c r="AG597" s="12" t="s">
        <v>291</v>
      </c>
      <c r="AH597" s="78" t="s">
        <v>598</v>
      </c>
      <c r="AI597" s="12" t="s">
        <v>317</v>
      </c>
      <c r="AJ597" s="12" t="s">
        <v>318</v>
      </c>
      <c r="AK597" s="78" t="s">
        <v>8331</v>
      </c>
      <c r="AL597" s="143" t="s">
        <v>8337</v>
      </c>
      <c r="AM597" s="78" t="s">
        <v>8332</v>
      </c>
      <c r="AN597" s="78" t="s">
        <v>478</v>
      </c>
      <c r="AO597" s="78" t="s">
        <v>327</v>
      </c>
      <c r="AP597" s="78" t="s">
        <v>398</v>
      </c>
      <c r="AQ597" s="78" t="s">
        <v>8333</v>
      </c>
      <c r="AR597" s="77">
        <v>114</v>
      </c>
      <c r="AS597" s="77" t="s">
        <v>581</v>
      </c>
      <c r="AT597" s="78" t="s">
        <v>1132</v>
      </c>
      <c r="AU597" s="78" t="s">
        <v>583</v>
      </c>
      <c r="AV597" s="77">
        <v>45015</v>
      </c>
      <c r="AW597" s="77" t="s">
        <v>329</v>
      </c>
      <c r="AX597" s="78" t="s">
        <v>329</v>
      </c>
      <c r="AY597" s="78" t="s">
        <v>329</v>
      </c>
      <c r="AZ597" s="78"/>
      <c r="BA597" s="78"/>
      <c r="BB597" s="137"/>
      <c r="BC597" s="78"/>
      <c r="BD597" s="78" t="s">
        <v>8332</v>
      </c>
      <c r="BE597" s="78" t="s">
        <v>478</v>
      </c>
      <c r="BF597" s="78" t="s">
        <v>8334</v>
      </c>
      <c r="BG597" s="77" t="s">
        <v>333</v>
      </c>
      <c r="BH597" s="78" t="s">
        <v>3815</v>
      </c>
      <c r="BI597" s="78">
        <v>2</v>
      </c>
      <c r="BJ597" s="78" t="s">
        <v>8335</v>
      </c>
      <c r="BK597" s="78" t="s">
        <v>3911</v>
      </c>
      <c r="BL597" s="78">
        <v>14</v>
      </c>
      <c r="BM597" s="78" t="s">
        <v>8336</v>
      </c>
      <c r="BN597" s="78" t="s">
        <v>571</v>
      </c>
      <c r="BO597" s="78">
        <v>5</v>
      </c>
      <c r="BP597" s="78"/>
      <c r="BQ597" s="78"/>
      <c r="BR597" s="78"/>
      <c r="BS597" s="78"/>
      <c r="BT597" s="78"/>
      <c r="BU597" s="78"/>
      <c r="BV597" s="78"/>
      <c r="BW597" s="78"/>
      <c r="BX597" s="78"/>
      <c r="BY597" s="78"/>
      <c r="BZ597" s="78"/>
      <c r="CA597" s="78"/>
      <c r="CB597" s="78"/>
      <c r="CC597" s="78"/>
      <c r="CD597" s="78" t="s">
        <v>0</v>
      </c>
    </row>
    <row r="598" spans="1:82" ht="15" x14ac:dyDescent="0.25">
      <c r="A598" s="77">
        <v>1080</v>
      </c>
      <c r="B598" s="77" t="s">
        <v>8342</v>
      </c>
      <c r="C598" s="78" t="s">
        <v>335</v>
      </c>
      <c r="D598" s="77" t="s">
        <v>86</v>
      </c>
      <c r="E598" s="77">
        <v>27190193949</v>
      </c>
      <c r="F598" s="79">
        <v>46290</v>
      </c>
      <c r="G598" s="79">
        <v>46290</v>
      </c>
      <c r="H598" s="101">
        <f t="shared" si="64"/>
        <v>46380</v>
      </c>
      <c r="I598" s="77" t="s">
        <v>290</v>
      </c>
      <c r="J598" s="77" t="s">
        <v>8343</v>
      </c>
      <c r="K598" s="77" t="s">
        <v>928</v>
      </c>
      <c r="L598" s="77" t="s">
        <v>8344</v>
      </c>
      <c r="M598" s="102" t="str">
        <f t="shared" si="59"/>
        <v>MONTALVO GALLEGOS JAZIEL</v>
      </c>
      <c r="N598" s="102" t="s">
        <v>8345</v>
      </c>
      <c r="O598" s="102" t="s">
        <v>8346</v>
      </c>
      <c r="P598" s="77" t="s">
        <v>1953</v>
      </c>
      <c r="Q598" s="79">
        <v>37043</v>
      </c>
      <c r="R598" s="77">
        <f t="shared" si="60"/>
        <v>1</v>
      </c>
      <c r="S598" s="77">
        <f t="shared" si="61"/>
        <v>6</v>
      </c>
      <c r="T598" s="77">
        <f t="shared" si="62"/>
        <v>2001</v>
      </c>
      <c r="U598" s="103">
        <f t="shared" ca="1" si="63"/>
        <v>25.38082191780822</v>
      </c>
      <c r="V598" s="102" t="s">
        <v>452</v>
      </c>
      <c r="W598" s="102" t="s">
        <v>8347</v>
      </c>
      <c r="X598" s="77" t="s">
        <v>454</v>
      </c>
      <c r="Y598" s="77" t="s">
        <v>8348</v>
      </c>
      <c r="Z598" s="12" t="s">
        <v>118</v>
      </c>
      <c r="AA598" s="12" t="s">
        <v>2276</v>
      </c>
      <c r="AB598" s="12" t="s">
        <v>348</v>
      </c>
      <c r="AC598" s="12" t="s">
        <v>313</v>
      </c>
      <c r="AD598" s="12" t="s">
        <v>314</v>
      </c>
      <c r="AE598" s="12">
        <v>90</v>
      </c>
      <c r="AF598" s="13" t="s">
        <v>315</v>
      </c>
      <c r="AG598" s="12" t="s">
        <v>290</v>
      </c>
      <c r="AH598" s="104" t="s">
        <v>2342</v>
      </c>
      <c r="AI598" s="12" t="s">
        <v>317</v>
      </c>
      <c r="AJ598" s="12" t="s">
        <v>318</v>
      </c>
      <c r="AK598" s="78" t="s">
        <v>8349</v>
      </c>
      <c r="AL598" s="143" t="s">
        <v>8350</v>
      </c>
      <c r="AM598" s="78" t="s">
        <v>8351</v>
      </c>
      <c r="AN598" s="78" t="s">
        <v>325</v>
      </c>
      <c r="AO598" s="78" t="s">
        <v>398</v>
      </c>
      <c r="AP598" s="78" t="s">
        <v>398</v>
      </c>
      <c r="AQ598" s="78" t="s">
        <v>8352</v>
      </c>
      <c r="AR598" s="77">
        <v>535</v>
      </c>
      <c r="AS598" s="77" t="s">
        <v>581</v>
      </c>
      <c r="AT598" s="78" t="s">
        <v>8353</v>
      </c>
      <c r="AU598" s="78" t="s">
        <v>483</v>
      </c>
      <c r="AV598" s="77">
        <v>78340</v>
      </c>
      <c r="AW598" s="77" t="s">
        <v>329</v>
      </c>
      <c r="AX598" s="78" t="s">
        <v>329</v>
      </c>
      <c r="AY598" s="78" t="s">
        <v>329</v>
      </c>
      <c r="AZ598" s="78"/>
      <c r="BA598" s="78"/>
      <c r="BB598" s="137"/>
      <c r="BC598" s="78"/>
      <c r="BD598" s="78" t="s">
        <v>8351</v>
      </c>
      <c r="BE598" s="78" t="s">
        <v>325</v>
      </c>
      <c r="BF598" s="78" t="s">
        <v>8354</v>
      </c>
      <c r="BG598" s="77"/>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t="s">
        <v>0</v>
      </c>
    </row>
    <row r="599" spans="1:82" ht="15" x14ac:dyDescent="0.25">
      <c r="A599" s="77">
        <v>1081</v>
      </c>
      <c r="B599" s="77" t="s">
        <v>8355</v>
      </c>
      <c r="C599" s="78" t="s">
        <v>335</v>
      </c>
      <c r="D599" s="77" t="s">
        <v>105</v>
      </c>
      <c r="E599" s="77">
        <v>72169875084</v>
      </c>
      <c r="F599" s="79">
        <v>46294</v>
      </c>
      <c r="G599" s="79">
        <v>46294</v>
      </c>
      <c r="H599" s="101">
        <f t="shared" si="64"/>
        <v>46384</v>
      </c>
      <c r="I599" s="77" t="s">
        <v>291</v>
      </c>
      <c r="J599" s="77" t="s">
        <v>4512</v>
      </c>
      <c r="K599" s="77" t="s">
        <v>8356</v>
      </c>
      <c r="L599" s="77" t="s">
        <v>8357</v>
      </c>
      <c r="M599" s="153" t="str">
        <f t="shared" si="59"/>
        <v>SALINAS DE LUNA KAREN</v>
      </c>
      <c r="N599" s="102" t="s">
        <v>8358</v>
      </c>
      <c r="O599" s="102" t="s">
        <v>8359</v>
      </c>
      <c r="P599" s="77" t="s">
        <v>1954</v>
      </c>
      <c r="Q599" s="79">
        <v>35887</v>
      </c>
      <c r="R599" s="77">
        <f t="shared" si="60"/>
        <v>2</v>
      </c>
      <c r="S599" s="77">
        <f t="shared" si="61"/>
        <v>4</v>
      </c>
      <c r="T599" s="77">
        <f t="shared" si="62"/>
        <v>1998</v>
      </c>
      <c r="U599" s="103">
        <f t="shared" ca="1" si="63"/>
        <v>28.547945205479451</v>
      </c>
      <c r="V599" s="102" t="s">
        <v>308</v>
      </c>
      <c r="W599" s="102" t="s">
        <v>8360</v>
      </c>
      <c r="X599" s="77" t="s">
        <v>1327</v>
      </c>
      <c r="Y599" s="77" t="s">
        <v>1452</v>
      </c>
      <c r="Z599" s="12" t="s">
        <v>227</v>
      </c>
      <c r="AA599" s="12" t="s">
        <v>857</v>
      </c>
      <c r="AB599" s="12" t="s">
        <v>858</v>
      </c>
      <c r="AC599" s="77" t="s">
        <v>313</v>
      </c>
      <c r="AD599" s="77" t="s">
        <v>314</v>
      </c>
      <c r="AE599" s="77">
        <v>90</v>
      </c>
      <c r="AF599" s="13" t="s">
        <v>859</v>
      </c>
      <c r="AG599" s="12" t="s">
        <v>291</v>
      </c>
      <c r="AH599" s="104" t="s">
        <v>2338</v>
      </c>
      <c r="AI599" s="12" t="s">
        <v>317</v>
      </c>
      <c r="AJ599" s="12" t="s">
        <v>318</v>
      </c>
      <c r="AK599" s="78" t="s">
        <v>8361</v>
      </c>
      <c r="AL599" s="143" t="s">
        <v>8362</v>
      </c>
      <c r="AM599" s="78" t="s">
        <v>8363</v>
      </c>
      <c r="AN599" s="78" t="s">
        <v>325</v>
      </c>
      <c r="AO599" s="78" t="s">
        <v>398</v>
      </c>
      <c r="AP599" s="78" t="s">
        <v>398</v>
      </c>
      <c r="AQ599" s="78" t="s">
        <v>8364</v>
      </c>
      <c r="AR599" s="77">
        <v>216</v>
      </c>
      <c r="AS599" s="77" t="s">
        <v>581</v>
      </c>
      <c r="AT599" s="78" t="s">
        <v>105</v>
      </c>
      <c r="AU599" s="78" t="s">
        <v>105</v>
      </c>
      <c r="AV599" s="77">
        <v>20196</v>
      </c>
      <c r="AW599" s="77" t="s">
        <v>329</v>
      </c>
      <c r="AX599" s="78" t="s">
        <v>329</v>
      </c>
      <c r="AY599" s="78" t="s">
        <v>329</v>
      </c>
      <c r="AZ599" s="78"/>
      <c r="BA599" s="78"/>
      <c r="BB599" s="137"/>
      <c r="BC599" s="78"/>
      <c r="BD599" s="78" t="s">
        <v>8363</v>
      </c>
      <c r="BE599" s="78" t="s">
        <v>325</v>
      </c>
      <c r="BF599" s="78" t="s">
        <v>8365</v>
      </c>
      <c r="BG599" s="77" t="s">
        <v>333</v>
      </c>
      <c r="BH599" s="78" t="s">
        <v>703</v>
      </c>
      <c r="BI599" s="78">
        <v>0</v>
      </c>
      <c r="BJ599" s="78"/>
      <c r="BK599" s="78"/>
      <c r="BL599" s="78"/>
      <c r="BM599" s="78"/>
      <c r="BN599" s="78"/>
      <c r="BO599" s="78"/>
      <c r="BP599" s="78"/>
      <c r="BQ599" s="78"/>
      <c r="BR599" s="78"/>
      <c r="BS599" s="78"/>
      <c r="BT599" s="78"/>
      <c r="BU599" s="78"/>
      <c r="BV599" s="78"/>
      <c r="BW599" s="78"/>
      <c r="BX599" s="78"/>
      <c r="BY599" s="78"/>
      <c r="BZ599" s="78"/>
      <c r="CA599" s="78"/>
      <c r="CB599" s="78"/>
      <c r="CC599" s="78"/>
      <c r="CD599" s="78" t="s">
        <v>8206</v>
      </c>
    </row>
    <row r="600" spans="1:82" ht="15" x14ac:dyDescent="0.25">
      <c r="A600" s="77">
        <v>1082</v>
      </c>
      <c r="B600" s="77" t="s">
        <v>8366</v>
      </c>
      <c r="C600" s="78" t="s">
        <v>363</v>
      </c>
      <c r="D600" s="77" t="s">
        <v>232</v>
      </c>
      <c r="E600" s="77">
        <v>41078803065</v>
      </c>
      <c r="F600" s="79">
        <v>46296</v>
      </c>
      <c r="G600" s="79">
        <v>46296</v>
      </c>
      <c r="H600" s="101">
        <f t="shared" si="64"/>
        <v>46386</v>
      </c>
      <c r="I600" s="77" t="s">
        <v>290</v>
      </c>
      <c r="J600" s="77" t="s">
        <v>1212</v>
      </c>
      <c r="K600" s="77" t="s">
        <v>1045</v>
      </c>
      <c r="L600" s="77" t="s">
        <v>1729</v>
      </c>
      <c r="M600" s="102" t="str">
        <f t="shared" si="59"/>
        <v>ALVAREZ CERVANTES JOSE ALEJANDRO</v>
      </c>
      <c r="N600" s="102" t="s">
        <v>8368</v>
      </c>
      <c r="O600" s="102" t="s">
        <v>8369</v>
      </c>
      <c r="P600" s="77" t="s">
        <v>1953</v>
      </c>
      <c r="Q600" s="79">
        <v>32205</v>
      </c>
      <c r="R600" s="77">
        <f t="shared" si="60"/>
        <v>3</v>
      </c>
      <c r="S600" s="77">
        <f t="shared" si="61"/>
        <v>3</v>
      </c>
      <c r="T600" s="77">
        <f t="shared" si="62"/>
        <v>1988</v>
      </c>
      <c r="U600" s="103">
        <f t="shared" ca="1" si="63"/>
        <v>38.635616438356166</v>
      </c>
      <c r="V600" s="102" t="s">
        <v>342</v>
      </c>
      <c r="W600" s="102" t="s">
        <v>8370</v>
      </c>
      <c r="X600" s="77" t="s">
        <v>454</v>
      </c>
      <c r="Y600" s="77" t="s">
        <v>8371</v>
      </c>
      <c r="Z600" s="139" t="s">
        <v>88</v>
      </c>
      <c r="AA600" s="139" t="s">
        <v>392</v>
      </c>
      <c r="AB600" s="139" t="s">
        <v>374</v>
      </c>
      <c r="AC600" s="77" t="s">
        <v>313</v>
      </c>
      <c r="AD600" s="77" t="s">
        <v>314</v>
      </c>
      <c r="AE600" s="77">
        <v>90</v>
      </c>
      <c r="AF600" s="102" t="s">
        <v>375</v>
      </c>
      <c r="AG600" s="77" t="s">
        <v>290</v>
      </c>
      <c r="AH600" s="78" t="s">
        <v>473</v>
      </c>
      <c r="AI600" s="12" t="s">
        <v>317</v>
      </c>
      <c r="AJ600" s="12" t="s">
        <v>318</v>
      </c>
      <c r="AK600" s="78" t="s">
        <v>8372</v>
      </c>
      <c r="AL600" s="143" t="s">
        <v>8373</v>
      </c>
      <c r="AM600" s="78" t="s">
        <v>8374</v>
      </c>
      <c r="AN600" s="78" t="s">
        <v>381</v>
      </c>
      <c r="AO600" s="78" t="s">
        <v>327</v>
      </c>
      <c r="AP600" s="78" t="s">
        <v>327</v>
      </c>
      <c r="AQ600" s="78" t="s">
        <v>7900</v>
      </c>
      <c r="AR600" s="77" t="s">
        <v>983</v>
      </c>
      <c r="AS600" s="77" t="s">
        <v>983</v>
      </c>
      <c r="AT600" s="78" t="s">
        <v>483</v>
      </c>
      <c r="AU600" s="78" t="s">
        <v>483</v>
      </c>
      <c r="AV600" s="77">
        <v>78370</v>
      </c>
      <c r="AW600" s="77" t="s">
        <v>329</v>
      </c>
      <c r="AX600" s="78" t="s">
        <v>329</v>
      </c>
      <c r="AY600" s="78" t="s">
        <v>329</v>
      </c>
      <c r="AZ600" s="78"/>
      <c r="BA600" s="78"/>
      <c r="BB600" s="137"/>
      <c r="BC600" s="78"/>
      <c r="BD600" s="78" t="s">
        <v>8374</v>
      </c>
      <c r="BE600" s="78" t="s">
        <v>381</v>
      </c>
      <c r="BF600" s="78" t="s">
        <v>8375</v>
      </c>
      <c r="BG600" s="77" t="s">
        <v>488</v>
      </c>
      <c r="BH600" s="78" t="s">
        <v>334</v>
      </c>
      <c r="BI600" s="78">
        <v>1</v>
      </c>
      <c r="BJ600" s="78" t="s">
        <v>8376</v>
      </c>
      <c r="BK600" s="78" t="s">
        <v>571</v>
      </c>
      <c r="BL600" s="78">
        <v>17</v>
      </c>
      <c r="BM600" s="78"/>
      <c r="BN600" s="78"/>
      <c r="BO600" s="78"/>
      <c r="BP600" s="78"/>
      <c r="BQ600" s="78"/>
      <c r="BR600" s="78"/>
      <c r="BS600" s="78"/>
      <c r="BT600" s="78"/>
      <c r="BU600" s="78"/>
      <c r="BV600" s="78"/>
      <c r="BW600" s="78"/>
      <c r="BX600" s="78"/>
      <c r="BY600" s="78"/>
      <c r="BZ600" s="78"/>
      <c r="CA600" s="78"/>
      <c r="CB600" s="78"/>
      <c r="CC600" s="78"/>
      <c r="CD600" s="78" t="s">
        <v>8264</v>
      </c>
    </row>
    <row r="601" spans="1:82" ht="15" x14ac:dyDescent="0.25">
      <c r="A601" s="77">
        <v>1083</v>
      </c>
      <c r="B601" s="77" t="s">
        <v>8367</v>
      </c>
      <c r="C601" s="78" t="s">
        <v>363</v>
      </c>
      <c r="D601" s="77" t="s">
        <v>6329</v>
      </c>
      <c r="E601" s="77">
        <v>66149661465</v>
      </c>
      <c r="F601" s="79">
        <v>46296</v>
      </c>
      <c r="G601" s="79">
        <v>46296</v>
      </c>
      <c r="H601" s="101">
        <f t="shared" si="64"/>
        <v>46386</v>
      </c>
      <c r="I601" s="77" t="s">
        <v>290</v>
      </c>
      <c r="J601" s="77" t="s">
        <v>8377</v>
      </c>
      <c r="K601" s="77" t="s">
        <v>507</v>
      </c>
      <c r="L601" s="77" t="s">
        <v>6138</v>
      </c>
      <c r="M601" s="102" t="str">
        <f t="shared" si="59"/>
        <v>PASTRANA MARTINEZ MANUEL ALEJANDRO</v>
      </c>
      <c r="N601" s="102" t="s">
        <v>8378</v>
      </c>
      <c r="O601" s="102" t="s">
        <v>8379</v>
      </c>
      <c r="P601" s="77" t="s">
        <v>1953</v>
      </c>
      <c r="Q601" s="79">
        <v>35207</v>
      </c>
      <c r="R601" s="77">
        <f t="shared" ref="R601:R602" si="65">DAY(Q601)</f>
        <v>22</v>
      </c>
      <c r="S601" s="77">
        <f t="shared" ref="S601:S602" si="66">MONTH(Q601)</f>
        <v>5</v>
      </c>
      <c r="T601" s="77">
        <f t="shared" ref="T601:T602" si="67">YEAR(Q601)</f>
        <v>1996</v>
      </c>
      <c r="U601" s="103">
        <f t="shared" ref="U601:U602" ca="1" si="68">(+TODAY()-Q601)/365</f>
        <v>30.410958904109588</v>
      </c>
      <c r="V601" s="102" t="s">
        <v>342</v>
      </c>
      <c r="W601" s="102" t="s">
        <v>8380</v>
      </c>
      <c r="X601" s="77" t="s">
        <v>454</v>
      </c>
      <c r="Y601" s="77" t="s">
        <v>8371</v>
      </c>
      <c r="Z601" s="139" t="s">
        <v>88</v>
      </c>
      <c r="AA601" s="139" t="s">
        <v>392</v>
      </c>
      <c r="AB601" s="139" t="s">
        <v>374</v>
      </c>
      <c r="AC601" s="77" t="s">
        <v>313</v>
      </c>
      <c r="AD601" s="77" t="s">
        <v>314</v>
      </c>
      <c r="AE601" s="77">
        <v>90</v>
      </c>
      <c r="AF601" s="102" t="s">
        <v>375</v>
      </c>
      <c r="AG601" s="77" t="s">
        <v>290</v>
      </c>
      <c r="AH601" s="78" t="s">
        <v>473</v>
      </c>
      <c r="AI601" s="12" t="s">
        <v>317</v>
      </c>
      <c r="AJ601" s="12" t="s">
        <v>318</v>
      </c>
      <c r="AK601" s="102">
        <v>4442203688</v>
      </c>
      <c r="AL601" s="143" t="s">
        <v>8381</v>
      </c>
      <c r="AM601" s="78" t="s">
        <v>8383</v>
      </c>
      <c r="AN601" s="78" t="s">
        <v>381</v>
      </c>
      <c r="AO601" s="78" t="s">
        <v>398</v>
      </c>
      <c r="AP601" s="78" t="s">
        <v>398</v>
      </c>
      <c r="AQ601" s="78" t="s">
        <v>8384</v>
      </c>
      <c r="AR601" s="77">
        <v>230</v>
      </c>
      <c r="AS601" s="77" t="s">
        <v>581</v>
      </c>
      <c r="AT601" s="78" t="s">
        <v>483</v>
      </c>
      <c r="AU601" s="78" t="s">
        <v>483</v>
      </c>
      <c r="AV601" s="77">
        <v>78394</v>
      </c>
      <c r="AW601" s="77" t="s">
        <v>329</v>
      </c>
      <c r="AX601" s="78" t="s">
        <v>329</v>
      </c>
      <c r="AY601" s="78" t="s">
        <v>329</v>
      </c>
      <c r="AZ601" s="78"/>
      <c r="BA601" s="78"/>
      <c r="BB601" s="137"/>
      <c r="BC601" s="78"/>
      <c r="BD601" s="78" t="s">
        <v>8382</v>
      </c>
      <c r="BE601" s="78" t="s">
        <v>381</v>
      </c>
      <c r="BF601" s="78" t="s">
        <v>8385</v>
      </c>
      <c r="BG601" s="77"/>
      <c r="BH601" s="78" t="s">
        <v>334</v>
      </c>
      <c r="BI601" s="78">
        <v>2</v>
      </c>
      <c r="BJ601" s="78" t="s">
        <v>8386</v>
      </c>
      <c r="BK601" s="78" t="s">
        <v>633</v>
      </c>
      <c r="BL601" s="78">
        <v>10</v>
      </c>
      <c r="BM601" s="78" t="s">
        <v>8387</v>
      </c>
      <c r="BN601" s="78">
        <v>3</v>
      </c>
      <c r="BO601" s="78"/>
      <c r="BP601" s="78"/>
      <c r="BQ601" s="78"/>
      <c r="BR601" s="78"/>
      <c r="BS601" s="78"/>
      <c r="BT601" s="78"/>
      <c r="BU601" s="78"/>
      <c r="BV601" s="78"/>
      <c r="BW601" s="78"/>
      <c r="BX601" s="78"/>
      <c r="BY601" s="78"/>
      <c r="BZ601" s="78"/>
      <c r="CA601" s="78"/>
      <c r="CB601" s="78"/>
      <c r="CC601" s="78"/>
      <c r="CD601" s="78" t="s">
        <v>8264</v>
      </c>
    </row>
    <row r="602" spans="1:82" ht="15" x14ac:dyDescent="0.25">
      <c r="A602" s="77">
        <v>1084</v>
      </c>
      <c r="B602" s="12" t="s">
        <v>8388</v>
      </c>
      <c r="C602" s="13" t="s">
        <v>564</v>
      </c>
      <c r="D602" s="107" t="s">
        <v>81</v>
      </c>
      <c r="E602" s="77" t="s">
        <v>8389</v>
      </c>
      <c r="F602" s="79">
        <v>46300</v>
      </c>
      <c r="G602" s="79">
        <v>46300</v>
      </c>
      <c r="H602" s="101">
        <f t="shared" si="64"/>
        <v>46390</v>
      </c>
      <c r="I602" s="77" t="s">
        <v>290</v>
      </c>
      <c r="J602" s="77" t="s">
        <v>1491</v>
      </c>
      <c r="K602" s="77" t="s">
        <v>4322</v>
      </c>
      <c r="L602" s="77" t="s">
        <v>1752</v>
      </c>
      <c r="M602" s="102" t="str">
        <f t="shared" si="59"/>
        <v>DE LA TORRE CAMACHO CARLOS</v>
      </c>
      <c r="N602" s="102" t="s">
        <v>8390</v>
      </c>
      <c r="O602" s="102" t="s">
        <v>8391</v>
      </c>
      <c r="P602" s="77" t="s">
        <v>1953</v>
      </c>
      <c r="Q602" s="79">
        <v>31499</v>
      </c>
      <c r="R602" s="77">
        <f t="shared" si="65"/>
        <v>28</v>
      </c>
      <c r="S602" s="77">
        <f t="shared" si="66"/>
        <v>3</v>
      </c>
      <c r="T602" s="77">
        <f t="shared" si="67"/>
        <v>1986</v>
      </c>
      <c r="U602" s="103">
        <f t="shared" ca="1" si="68"/>
        <v>40.56986301369863</v>
      </c>
      <c r="V602" s="102" t="s">
        <v>1955</v>
      </c>
      <c r="W602" s="102" t="s">
        <v>8392</v>
      </c>
      <c r="X602" s="77" t="s">
        <v>472</v>
      </c>
      <c r="Y602" s="77" t="s">
        <v>115</v>
      </c>
      <c r="Z602" s="12" t="s">
        <v>84</v>
      </c>
      <c r="AA602" s="12" t="s">
        <v>532</v>
      </c>
      <c r="AB602" s="12" t="s">
        <v>574</v>
      </c>
      <c r="AC602" s="77" t="s">
        <v>313</v>
      </c>
      <c r="AD602" s="77" t="s">
        <v>314</v>
      </c>
      <c r="AE602" s="77">
        <v>90</v>
      </c>
      <c r="AF602" s="13" t="s">
        <v>710</v>
      </c>
      <c r="AG602" s="12" t="s">
        <v>290</v>
      </c>
      <c r="AH602" s="13" t="s">
        <v>575</v>
      </c>
      <c r="AI602" s="12" t="s">
        <v>317</v>
      </c>
      <c r="AJ602" s="12" t="s">
        <v>318</v>
      </c>
      <c r="AK602" s="102">
        <v>3311938272</v>
      </c>
      <c r="AL602" s="143" t="s">
        <v>8393</v>
      </c>
      <c r="AM602" s="78" t="s">
        <v>8394</v>
      </c>
      <c r="AN602" s="78" t="s">
        <v>7580</v>
      </c>
      <c r="AO602" s="78" t="s">
        <v>327</v>
      </c>
      <c r="AP602" s="78" t="s">
        <v>398</v>
      </c>
      <c r="AQ602" s="78" t="s">
        <v>8395</v>
      </c>
      <c r="AR602" s="77">
        <v>1370</v>
      </c>
      <c r="AS602" s="77" t="s">
        <v>581</v>
      </c>
      <c r="AT602" s="78" t="s">
        <v>116</v>
      </c>
      <c r="AU602" s="78" t="s">
        <v>583</v>
      </c>
      <c r="AV602" s="77">
        <v>44190</v>
      </c>
      <c r="AW602" s="77" t="s">
        <v>329</v>
      </c>
      <c r="AX602" s="78" t="s">
        <v>329</v>
      </c>
      <c r="AY602" s="78" t="s">
        <v>329</v>
      </c>
      <c r="AZ602" s="78"/>
      <c r="BA602" s="78"/>
      <c r="BB602" s="137"/>
      <c r="BC602" s="78"/>
      <c r="BD602" s="78" t="s">
        <v>8396</v>
      </c>
      <c r="BE602" s="78" t="s">
        <v>439</v>
      </c>
      <c r="BF602" s="78" t="s">
        <v>8397</v>
      </c>
      <c r="BG602" s="77" t="s">
        <v>8398</v>
      </c>
      <c r="BH602" s="78" t="s">
        <v>581</v>
      </c>
      <c r="BI602" s="78">
        <v>2</v>
      </c>
      <c r="BJ602" s="78" t="s">
        <v>8399</v>
      </c>
      <c r="BK602" s="78" t="s">
        <v>3911</v>
      </c>
      <c r="BL602" s="78"/>
      <c r="BM602" s="78" t="s">
        <v>8400</v>
      </c>
      <c r="BN602" s="78"/>
      <c r="BO602" s="78"/>
      <c r="BP602" s="78"/>
      <c r="BQ602" s="78"/>
      <c r="BR602" s="78"/>
      <c r="BS602" s="78"/>
      <c r="BT602" s="78"/>
      <c r="BU602" s="78"/>
      <c r="BV602" s="78"/>
      <c r="BW602" s="78"/>
      <c r="BX602" s="78"/>
      <c r="BY602" s="78"/>
      <c r="BZ602" s="78"/>
      <c r="CA602" s="78"/>
      <c r="CB602" s="78"/>
      <c r="CC602" s="78"/>
      <c r="CD602" s="78" t="s">
        <v>0</v>
      </c>
    </row>
  </sheetData>
  <autoFilter ref="A1:CC602" xr:uid="{23DC8003-EF78-476D-BE27-C76933CF565B}"/>
  <phoneticPr fontId="1" type="noConversion"/>
  <conditionalFormatting sqref="A1:A510 A512:A1048576">
    <cfRule type="duplicateValues" dxfId="1" priority="2"/>
  </conditionalFormatting>
  <conditionalFormatting sqref="A511">
    <cfRule type="duplicateValues" dxfId="0" priority="1"/>
  </conditionalFormatting>
  <hyperlinks>
    <hyperlink ref="AL368" r:id="rId1" xr:uid="{C02225D9-E1D1-4DA8-B210-41D0D8C6618C}"/>
    <hyperlink ref="AL372" r:id="rId2" xr:uid="{892A06C1-18F9-4F9B-9E66-EE6A69E80711}"/>
    <hyperlink ref="AL374" r:id="rId3" xr:uid="{331E1CBF-E6BF-47A8-B5FE-C6330CEB6225}"/>
    <hyperlink ref="AL375" r:id="rId4" xr:uid="{7974103D-FEBE-49DF-8084-21BC3DAAF88A}"/>
    <hyperlink ref="AL376" r:id="rId5" xr:uid="{061E417E-4362-4FC5-9088-26C22CD11C38}"/>
    <hyperlink ref="AL379" r:id="rId6" xr:uid="{80DC709F-A9C8-4BD6-821F-94C88A0A7B6A}"/>
    <hyperlink ref="AL381" r:id="rId7" xr:uid="{57FB59AD-6951-42DF-B413-AD6D9D3C9B59}"/>
    <hyperlink ref="AL387" r:id="rId8" xr:uid="{FFA5AA2D-8212-43A8-85EF-F21ACDEC3F2E}"/>
    <hyperlink ref="AL385" r:id="rId9" xr:uid="{410B10C6-FBD2-42D2-9D19-B827907A785F}"/>
    <hyperlink ref="AL384" r:id="rId10" xr:uid="{DD06FE61-7ACE-4F9B-87F6-4E9A42C8BA75}"/>
    <hyperlink ref="AL386" r:id="rId11" xr:uid="{826EEF19-989D-4F9F-A0A9-EBDB7B3FBCDB}"/>
    <hyperlink ref="AL383" r:id="rId12" xr:uid="{76C53D5B-E605-4D5A-8C24-1F610331A8BC}"/>
    <hyperlink ref="AL391" r:id="rId13" xr:uid="{76925EDD-40C8-4ACE-BA38-326FD3E2F740}"/>
    <hyperlink ref="AL389" r:id="rId14" xr:uid="{1C37A47E-8DA4-4D28-B321-8F37E79F68F4}"/>
    <hyperlink ref="AL390" r:id="rId15" xr:uid="{9E17B5DE-90B1-43A5-BF2C-5903097B4BB3}"/>
    <hyperlink ref="AL392" r:id="rId16" xr:uid="{627733AC-9B59-4BFC-80F6-CBC61512F65A}"/>
    <hyperlink ref="AL393" r:id="rId17" xr:uid="{655D158B-AA49-42FF-87B4-019255AF1349}"/>
    <hyperlink ref="AL395" r:id="rId18" xr:uid="{F56304B1-1DEB-4DCE-8995-D4201679140A}"/>
    <hyperlink ref="AL396" r:id="rId19" xr:uid="{DFB6F5D4-568E-4621-A775-FC5578E2EC58}"/>
    <hyperlink ref="AL397" r:id="rId20" xr:uid="{5BB4CD19-893E-4B40-B663-36ACB347B692}"/>
    <hyperlink ref="AL394" r:id="rId21" xr:uid="{41BD1B86-ACEE-4BCD-A72F-4F1FB8EABC9F}"/>
    <hyperlink ref="AL401" r:id="rId22" xr:uid="{ED406A5E-F6E1-413E-BAAA-512504D1004B}"/>
    <hyperlink ref="AL398" r:id="rId23" xr:uid="{C1BE0ECB-A4F7-4D57-988A-9C93306B11B2}"/>
    <hyperlink ref="AL402" r:id="rId24" xr:uid="{377C0A15-0F37-4AA1-9F0B-3D1B1CBEAB92}"/>
    <hyperlink ref="AL404" r:id="rId25" xr:uid="{4C12FC08-5960-4E39-8A8E-A8968265337C}"/>
    <hyperlink ref="AL403" r:id="rId26" xr:uid="{96898246-1B60-4AF7-9A0A-717643C99BF2}"/>
    <hyperlink ref="AL400" r:id="rId27" xr:uid="{380AF84A-658F-4A8F-AF37-759BE8E57965}"/>
    <hyperlink ref="AL405" r:id="rId28" xr:uid="{45990E44-E103-4001-80DB-4A2B85D614DC}"/>
    <hyperlink ref="AL406" r:id="rId29" xr:uid="{9D2F2A70-526D-4F42-9C2F-D164EF63325A}"/>
    <hyperlink ref="AL408" r:id="rId30" xr:uid="{D4A9143A-1ED1-476E-96A6-656A7402F258}"/>
    <hyperlink ref="AL409" r:id="rId31" xr:uid="{2911960D-F8F8-4B71-9392-CB580D0C1220}"/>
    <hyperlink ref="AL412" r:id="rId32" xr:uid="{00294480-7C33-4051-A219-BF78001DD979}"/>
    <hyperlink ref="AL413" r:id="rId33" xr:uid="{D1C74699-2D12-4E37-9944-2A927249F4C1}"/>
    <hyperlink ref="AL414" r:id="rId34" xr:uid="{CE0C22F1-56BE-408B-80B3-B23956D58574}"/>
    <hyperlink ref="AL417" r:id="rId35" xr:uid="{EB6DDE97-489D-4B7B-A350-2B92DE146DC9}"/>
    <hyperlink ref="AL419" r:id="rId36" xr:uid="{FD0C0DB2-35FD-4E48-B9DB-99457EAB8778}"/>
    <hyperlink ref="AL418" r:id="rId37" xr:uid="{90FFE3B8-EDF7-4249-9AD2-C8056502E75B}"/>
    <hyperlink ref="AL420" r:id="rId38" xr:uid="{C2E985AF-26B5-468C-A9CC-AB1201D16E25}"/>
    <hyperlink ref="AL421" r:id="rId39" xr:uid="{6D74A6A1-FEF2-487D-8958-B29C0C183A9A}"/>
    <hyperlink ref="AL423" r:id="rId40" xr:uid="{80F5F265-30C6-4EDB-9306-4770020E3322}"/>
    <hyperlink ref="AL411" r:id="rId41" xr:uid="{D4BD926F-6F29-4B6C-B5C1-6192437DE29C}"/>
    <hyperlink ref="AL425" r:id="rId42" xr:uid="{20C05155-525C-484C-805D-03EA15CDCF70}"/>
    <hyperlink ref="AL427" r:id="rId43" xr:uid="{B8400326-0526-436F-B07A-22E83A54CD06}"/>
    <hyperlink ref="AL428" r:id="rId44" xr:uid="{FB1ADE0E-7476-44AA-8086-8A30B65D4FE2}"/>
    <hyperlink ref="AL426" r:id="rId45" xr:uid="{83196F3A-318F-4041-BAD5-F2A80135BB07}"/>
    <hyperlink ref="AL429" r:id="rId46" xr:uid="{EFE2DFF4-8C93-44B4-AF81-1DC0F9BF057D}"/>
    <hyperlink ref="AL430" r:id="rId47" xr:uid="{856C4393-B6F1-44E2-B82B-756F9978EDB6}"/>
    <hyperlink ref="AL431" r:id="rId48" xr:uid="{7AF14F5F-E9D3-4C46-846E-9B3636A7A300}"/>
    <hyperlink ref="AL432" r:id="rId49" xr:uid="{566E8D59-E0CF-4D93-8658-9A82043BD558}"/>
    <hyperlink ref="AL433" r:id="rId50" xr:uid="{130E2055-2AAF-4AB5-AB41-7E017C60F908}"/>
    <hyperlink ref="AL434" r:id="rId51" xr:uid="{88043261-EF4B-4542-B020-21B56914DD13}"/>
    <hyperlink ref="AL436" r:id="rId52" xr:uid="{2964AE2E-1788-4656-A181-BAAC39DBA14D}"/>
    <hyperlink ref="AL437" r:id="rId53" xr:uid="{E422F63B-8B11-4AD1-95D5-B50A113EA734}"/>
    <hyperlink ref="AL435" r:id="rId54" xr:uid="{5DB69520-351D-4FF2-82CD-6CCDF9090DD9}"/>
    <hyperlink ref="AL438" r:id="rId55" xr:uid="{3E91C061-906F-4444-B003-1AD4DE3D5546}"/>
    <hyperlink ref="AL439" r:id="rId56" xr:uid="{EED6E4F3-2879-412F-ACC7-2841A683AE25}"/>
    <hyperlink ref="AL440" r:id="rId57" xr:uid="{6F2AC49E-0673-48C3-BA71-D7F106EC918F}"/>
    <hyperlink ref="AL441" r:id="rId58" xr:uid="{DEA36EBC-F0CF-4FE9-BB10-663589A95076}"/>
    <hyperlink ref="AL443" r:id="rId59" xr:uid="{E3414D60-14B8-405C-BF35-376EE086C0B4}"/>
    <hyperlink ref="AL444" r:id="rId60" xr:uid="{589C5DCD-B502-438A-A984-FE77BC8AE6DE}"/>
    <hyperlink ref="AL445" r:id="rId61" xr:uid="{BD672A80-DE77-46E8-BC9B-27AC9FCFC17D}"/>
    <hyperlink ref="AL446" r:id="rId62" xr:uid="{0F960EC9-55FF-4594-8EF1-953BF65B0822}"/>
    <hyperlink ref="AL442" r:id="rId63" xr:uid="{D3E41F8E-0BE8-431D-929A-8DC603355489}"/>
    <hyperlink ref="AL447" r:id="rId64" xr:uid="{B3B28E3C-87EF-487C-848F-2768F14E7BCD}"/>
    <hyperlink ref="AL449" r:id="rId65" xr:uid="{2B9A5476-216D-4F23-80A7-8E26F2890CE6}"/>
    <hyperlink ref="AL450" r:id="rId66" xr:uid="{C71607B5-D3AC-4815-9D76-01435A7B4FF1}"/>
    <hyperlink ref="AL451" r:id="rId67" xr:uid="{7221DCA7-95BD-4BC4-9367-033D8AC7FBD8}"/>
    <hyperlink ref="AL452" r:id="rId68" xr:uid="{A59D988A-DA76-4F09-9634-A32AC130FDB1}"/>
    <hyperlink ref="AL453" r:id="rId69" xr:uid="{D502B901-705A-4514-8024-C8B2CE2DA7E0}"/>
    <hyperlink ref="AL454" r:id="rId70" xr:uid="{82DA5C6E-C847-40BC-9436-21ED0163BEDD}"/>
    <hyperlink ref="AL455" r:id="rId71" xr:uid="{BB9E6E14-4F55-4649-8B57-40D28E4ECDEF}"/>
    <hyperlink ref="AL456" r:id="rId72" xr:uid="{03B5E2AD-317E-4FFC-8B61-B02A43C99B18}"/>
    <hyperlink ref="AL457" r:id="rId73" xr:uid="{5849B782-56C3-4056-ABFD-C06FCFF81414}"/>
    <hyperlink ref="AL458" r:id="rId74" xr:uid="{97B98DA7-8CFA-4FBE-8558-0CDD903D8882}"/>
    <hyperlink ref="AL459" r:id="rId75" xr:uid="{FA1C1B3C-3060-4DA3-B3A7-96A7E84884AE}"/>
    <hyperlink ref="AL460" r:id="rId76" xr:uid="{1B326CFC-EEC8-4CBE-83EE-8DD8E1B4ACEF}"/>
    <hyperlink ref="AL461" r:id="rId77" xr:uid="{7D1A39C1-4668-4F53-862C-FBBF6C20026A}"/>
    <hyperlink ref="AL462" r:id="rId78" xr:uid="{5AD9029A-063F-4AC6-B740-98E3DDFEE28E}"/>
    <hyperlink ref="AL463" r:id="rId79" display="mailto:eveliodulcecastillo@gmail.com" xr:uid="{5BD527C2-3351-463C-8C36-EB8B4DE69A5E}"/>
    <hyperlink ref="AL464" r:id="rId80" xr:uid="{B2B11926-149C-4ABD-9096-79C45846F0A1}"/>
    <hyperlink ref="AL465" r:id="rId81" xr:uid="{6B4DA9EE-4BFB-4904-A3FA-593070F36690}"/>
    <hyperlink ref="AL466" r:id="rId82" xr:uid="{BBF54AAF-DD87-4A69-9AAF-4628CC732022}"/>
    <hyperlink ref="AL467" r:id="rId83" xr:uid="{4B6AB19C-4D06-4F7C-842C-741BAC6ED289}"/>
    <hyperlink ref="AL468" r:id="rId84" xr:uid="{168E8111-1042-4F18-BE8D-912BFDF738D7}"/>
    <hyperlink ref="AL469" r:id="rId85" xr:uid="{1B6470E5-8F2C-4C42-9BE4-377C21A98C8A}"/>
    <hyperlink ref="AL470" r:id="rId86" xr:uid="{80BBA1D4-3168-41F9-9C40-C7186FF3109F}"/>
    <hyperlink ref="AL471" r:id="rId87" xr:uid="{6D23F2F5-7B8B-45AB-9231-A24A28FDDFB1}"/>
    <hyperlink ref="AL472" r:id="rId88" xr:uid="{0DC6B87A-8C3F-4C57-8A7A-93671CC48B12}"/>
    <hyperlink ref="AL473" r:id="rId89" xr:uid="{9769CE0D-A73A-4D1C-B893-631637405A3B}"/>
    <hyperlink ref="AL474" r:id="rId90" xr:uid="{35919983-2CF1-4475-88F9-07BB8BA92941}"/>
    <hyperlink ref="AL475" r:id="rId91" xr:uid="{3AA6BFB2-634B-4FDE-935F-BAC1CCDD3F5D}"/>
    <hyperlink ref="AL476" r:id="rId92" xr:uid="{BBB1B3E0-DF8C-4F12-AF65-AB622A434FCC}"/>
    <hyperlink ref="AL477" r:id="rId93" xr:uid="{64A60919-2161-4FF1-A3A7-0D94B34489D4}"/>
    <hyperlink ref="AL478" r:id="rId94" xr:uid="{72E5E304-B58F-4F72-A75E-75DCD8F45A41}"/>
    <hyperlink ref="AL479" r:id="rId95" xr:uid="{F4CB5D28-B361-4AA6-846F-2F9B19D5B393}"/>
    <hyperlink ref="AL480" r:id="rId96" xr:uid="{ADE47364-A8DA-45D1-BFFD-DBBB4D320245}"/>
    <hyperlink ref="AL481" r:id="rId97" xr:uid="{3B9917A8-381F-4F7C-838A-405628E47363}"/>
    <hyperlink ref="AL482" r:id="rId98" xr:uid="{0506ED8A-7D7B-41C2-9219-0CAD37E4B540}"/>
    <hyperlink ref="AL483" r:id="rId99" xr:uid="{56BC209D-70E6-47E2-91A2-555079B556A7}"/>
    <hyperlink ref="AL485" r:id="rId100" xr:uid="{418894C8-D51B-4989-BA31-9DA038B2BBE0}"/>
    <hyperlink ref="AL487" r:id="rId101" xr:uid="{9CDB579B-EB1A-4CCA-9037-34817DAF93ED}"/>
    <hyperlink ref="AL486" r:id="rId102" xr:uid="{9784ED4F-D49A-4C6C-8F21-E09F99E4F9EB}"/>
    <hyperlink ref="AL488" r:id="rId103" xr:uid="{B252EC06-FF9F-4F75-98F5-BEE7773373B4}"/>
    <hyperlink ref="AL489" r:id="rId104" xr:uid="{B1BD1DF1-79A6-41CA-80BC-923292EEE4CB}"/>
    <hyperlink ref="AL490" r:id="rId105" xr:uid="{4F607E02-60B6-4AD0-99AB-7F8FDD3627E4}"/>
    <hyperlink ref="AL491" r:id="rId106" xr:uid="{E68C30B7-9233-44E7-8CC0-A65C3666C5AB}"/>
    <hyperlink ref="AL492" r:id="rId107" xr:uid="{703DF350-65CD-484D-ABA5-04B4A3D31A10}"/>
    <hyperlink ref="AL493" r:id="rId108" xr:uid="{10D2A00F-062A-41F6-A40F-C5D9071AFB43}"/>
    <hyperlink ref="AL494" r:id="rId109" xr:uid="{EDD9878C-93B5-49FD-8562-3CD8407DF30C}"/>
    <hyperlink ref="AL495" r:id="rId110" xr:uid="{85352D1F-3B9A-4083-B58A-AF672FBA97C1}"/>
    <hyperlink ref="AL496" r:id="rId111" xr:uid="{EEC591D2-568F-41DD-87A3-B380FFE9036B}"/>
    <hyperlink ref="AL497" r:id="rId112" xr:uid="{3C5DD74A-2A81-497B-91F2-A49A1BD66284}"/>
    <hyperlink ref="AL498" r:id="rId113" xr:uid="{AA592A8D-B3D0-4D4A-A034-14FB9313377F}"/>
    <hyperlink ref="AL499" r:id="rId114" xr:uid="{EF478AD9-9DD9-4054-8FC0-DB17B30D3328}"/>
    <hyperlink ref="AL500" r:id="rId115" xr:uid="{E32B45B9-4A93-43D1-BC74-D15525DC4E18}"/>
    <hyperlink ref="AL501" r:id="rId116" xr:uid="{EA7B4B26-9AE9-42B8-9F6B-0BEE54F92CE3}"/>
    <hyperlink ref="AL502" r:id="rId117" xr:uid="{77FF9609-901C-4BDE-B8B8-B4A77E52582D}"/>
    <hyperlink ref="AL503" r:id="rId118" xr:uid="{F28C44B7-1B09-4A86-AFA4-6C0F6116DE81}"/>
    <hyperlink ref="AL504" r:id="rId119" xr:uid="{30D28169-626C-4AD8-961C-B284DF112ED5}"/>
    <hyperlink ref="AL505" r:id="rId120" xr:uid="{6EE8CBD4-ACD2-4D4C-83A2-052CE4BBE971}"/>
    <hyperlink ref="AL506" r:id="rId121" xr:uid="{199EDE46-2070-4AA3-A2EA-FFFB62279CFF}"/>
    <hyperlink ref="AL507" r:id="rId122" xr:uid="{E064F5AE-7BAD-4E0F-B8C7-1DF59D2B285B}"/>
    <hyperlink ref="AL508" r:id="rId123" xr:uid="{4CA82A17-6E72-4E5A-9FC0-2F9CFF6FA6FC}"/>
    <hyperlink ref="AL509" r:id="rId124" xr:uid="{7A3F70C9-53FE-4928-8E99-B7700EC51566}"/>
    <hyperlink ref="AL510" r:id="rId125" xr:uid="{C21E3D73-9D80-4FC7-8127-706CC9237E0E}"/>
    <hyperlink ref="AL511" r:id="rId126" xr:uid="{537232A2-60B5-4A42-8C5E-383156AE61AB}"/>
    <hyperlink ref="AL512" r:id="rId127" xr:uid="{C6975B4B-2270-4B0B-B6B0-1A5AEA7D49E1}"/>
    <hyperlink ref="AL513" r:id="rId128" xr:uid="{E4131831-B64B-4270-9DFD-1ADD4EEF32C2}"/>
    <hyperlink ref="AL514" r:id="rId129" xr:uid="{5389D9BF-E014-4F79-830E-3D2A5F2C2397}"/>
    <hyperlink ref="AL515" r:id="rId130" xr:uid="{A8DABECB-B822-4AE5-B868-5E461B1F8378}"/>
    <hyperlink ref="AL516" r:id="rId131" xr:uid="{057ABAEC-F04E-426E-8370-F21BF5545370}"/>
    <hyperlink ref="AL517" r:id="rId132" xr:uid="{3940C663-57D8-4826-A3FE-4B9F0D738B17}"/>
    <hyperlink ref="AL518" r:id="rId133" xr:uid="{E977EECF-DA80-445A-B9AF-E39864904002}"/>
    <hyperlink ref="AL519" r:id="rId134" xr:uid="{E4E87D95-E9F6-414D-9B37-C8D37A93447D}"/>
    <hyperlink ref="AL520" r:id="rId135" xr:uid="{93AE9B08-88F9-4F16-B4DE-8126BFF4E335}"/>
    <hyperlink ref="AL522" r:id="rId136" xr:uid="{25DED054-E1EC-4C14-8A61-8A810D652AB9}"/>
    <hyperlink ref="AL521" r:id="rId137" xr:uid="{67DFA98A-5B1E-40B7-8678-F330A1592192}"/>
    <hyperlink ref="AL523" r:id="rId138" xr:uid="{F6004AF0-E730-4081-840A-66FB7420AEE5}"/>
    <hyperlink ref="AL524" r:id="rId139" xr:uid="{48414F42-A4C6-430E-9C3A-E0920DEC9A0E}"/>
    <hyperlink ref="AL525" r:id="rId140" xr:uid="{0D758736-3221-4811-B94E-56BC809095E6}"/>
    <hyperlink ref="AL526" r:id="rId141" xr:uid="{E75039EF-C051-4434-9FF9-87D14FA722CC}"/>
    <hyperlink ref="AL528" r:id="rId142" xr:uid="{EBB48209-8DAA-4184-B66E-05BEA5D5805C}"/>
    <hyperlink ref="AL527" r:id="rId143" xr:uid="{A9ADA943-7886-4544-B7FE-CE3BF882E2F7}"/>
    <hyperlink ref="AL529" r:id="rId144" xr:uid="{CE3A6C15-BC1F-46AF-9513-1C9B86057EC9}"/>
    <hyperlink ref="AL530" r:id="rId145" xr:uid="{D5BF5EF3-2F66-4152-B6C1-FE3DE3927500}"/>
    <hyperlink ref="AL531" r:id="rId146" xr:uid="{CEC49619-2229-4107-93ED-34D55FF482F5}"/>
    <hyperlink ref="AL532" r:id="rId147" xr:uid="{6BD8552B-0B91-4D86-9876-8D7B8A063D01}"/>
    <hyperlink ref="AL534" r:id="rId148" xr:uid="{5245298A-C0D6-4155-AF0C-FE28D0A04E29}"/>
    <hyperlink ref="AL535" r:id="rId149" xr:uid="{70329A84-2B6D-414F-A05D-3F25F9FF797A}"/>
    <hyperlink ref="AL536" r:id="rId150" xr:uid="{723A9CFC-D473-43F2-82F7-A203F642D1DD}"/>
    <hyperlink ref="AL537" r:id="rId151" xr:uid="{D990ED06-5E07-4570-8C75-9F2D2668A8CE}"/>
    <hyperlink ref="AL538" r:id="rId152" xr:uid="{281A5055-965E-4903-95C4-C4DE5793340F}"/>
    <hyperlink ref="AL539" r:id="rId153" xr:uid="{A6A8EA4E-987C-4ECB-A2F0-5F10E370B184}"/>
    <hyperlink ref="AL540" r:id="rId154" xr:uid="{14148334-85E8-4BED-A8DD-0B80873C38EE}"/>
    <hyperlink ref="AL541" r:id="rId155" xr:uid="{B312AD29-5B7C-481D-984F-E048F2426483}"/>
    <hyperlink ref="AL542" r:id="rId156" xr:uid="{DA87A7E0-7F4A-410F-8CBB-7AF950469ED6}"/>
    <hyperlink ref="AL543" r:id="rId157" xr:uid="{407A08FA-FEE2-4E5F-B63F-92D8CA6A76FE}"/>
    <hyperlink ref="AL544" r:id="rId158" xr:uid="{5B3975FE-095E-4180-8CA9-518F78D905E9}"/>
    <hyperlink ref="AL545" r:id="rId159" xr:uid="{72C81137-164E-4924-9A95-B03D439DAB08}"/>
    <hyperlink ref="AL546" r:id="rId160" xr:uid="{CEE7F65A-0761-4287-A62B-E9990255073E}"/>
    <hyperlink ref="AL547" r:id="rId161" xr:uid="{1D270565-889D-40BD-8811-D29538FBF80D}"/>
    <hyperlink ref="AL548" r:id="rId162" xr:uid="{2DB05FDD-89DA-420F-9FA9-7B0464F4F1EF}"/>
    <hyperlink ref="AL549" r:id="rId163" xr:uid="{4DC1E5D2-442E-4B4B-8F49-4B61912913A3}"/>
    <hyperlink ref="AL551" r:id="rId164" xr:uid="{D21D36EF-7EAA-46E9-B4C7-FC518EA23362}"/>
    <hyperlink ref="AL550" r:id="rId165" xr:uid="{84B11EF5-A05B-4C21-A44A-4802E844F832}"/>
    <hyperlink ref="AL552" r:id="rId166" xr:uid="{AE28F5DE-C290-4323-A271-310B33D28601}"/>
    <hyperlink ref="AL553" r:id="rId167" xr:uid="{5896510D-88A3-43C5-97BB-52D394157576}"/>
    <hyperlink ref="AL554" r:id="rId168" xr:uid="{F6CA610B-32EB-47CF-BEE7-A49E3BD06C66}"/>
    <hyperlink ref="AL555" r:id="rId169" xr:uid="{3CC423C1-FA77-49BF-A4D0-BEE63A68E602}"/>
    <hyperlink ref="AL556" r:id="rId170" xr:uid="{E51E33AA-5F00-47D2-A8AD-BD37B3D254DC}"/>
    <hyperlink ref="AL557" r:id="rId171" xr:uid="{28FABBE2-8068-4247-BD92-9F446469CA6C}"/>
    <hyperlink ref="AL559" r:id="rId172" xr:uid="{C551A167-0585-438E-AEE3-5327B723F994}"/>
    <hyperlink ref="AL558" r:id="rId173" xr:uid="{EEE54E2A-812A-4F0B-A667-EF8EE71027CF}"/>
    <hyperlink ref="AL561" r:id="rId174" xr:uid="{F4FF7589-5B0A-4AE1-8B64-5AA315F1111B}"/>
    <hyperlink ref="AL562" r:id="rId175" xr:uid="{2E8893BA-4E5F-481F-B6C4-ED176EE012EB}"/>
    <hyperlink ref="AL563" r:id="rId176" xr:uid="{B0C6D6A5-55C5-4D83-B645-D490B9BA7D07}"/>
    <hyperlink ref="AL564" r:id="rId177" xr:uid="{8F02EA4D-9B5A-4EB5-A2A8-FBD7757AE89E}"/>
    <hyperlink ref="AL565" r:id="rId178" xr:uid="{12975D2A-0EC5-4A4F-BC6F-3B09A01FBC05}"/>
    <hyperlink ref="AL567" r:id="rId179" xr:uid="{071C28E2-0D16-4554-8F83-FCE67A7BCF9F}"/>
    <hyperlink ref="AL568" r:id="rId180" xr:uid="{86472D48-D8EE-48DA-AF97-064BCE8ED4AB}"/>
    <hyperlink ref="AL569" r:id="rId181" xr:uid="{A64B70FF-82CF-44AA-89F9-CD188105BE4D}"/>
    <hyperlink ref="AL570" r:id="rId182" xr:uid="{8A0F6120-CC16-4C9A-BF3B-7C3D87BBB306}"/>
    <hyperlink ref="AL571" r:id="rId183" xr:uid="{2B3B53C7-67D8-40CE-B903-3C04B3531A9C}"/>
    <hyperlink ref="AL573" r:id="rId184" xr:uid="{8AA8DBB2-66C4-4845-9596-0B121283D4FF}"/>
    <hyperlink ref="AL572" r:id="rId185" xr:uid="{EA0F3F4D-B07C-4B2A-9E5D-1E60B2A695E5}"/>
    <hyperlink ref="AL574" r:id="rId186" xr:uid="{788DA03C-74C8-4005-980E-4E54F1206509}"/>
    <hyperlink ref="AL575" r:id="rId187" xr:uid="{2E504836-2890-437A-AE0E-B4A7D3DF0CB8}"/>
    <hyperlink ref="AL576" r:id="rId188" xr:uid="{02589C41-5624-4E66-932F-5A9D545A63DD}"/>
    <hyperlink ref="AL577" r:id="rId189" xr:uid="{4C4B4B62-76D8-49B1-9025-F040B58F2B60}"/>
    <hyperlink ref="AL578" r:id="rId190" xr:uid="{2248AA03-D770-4072-9F53-717AC5179A63}"/>
    <hyperlink ref="AL579" r:id="rId191" xr:uid="{BF5F1F04-3E9B-422B-9976-B72313978A90}"/>
    <hyperlink ref="AL580" r:id="rId192" xr:uid="{709163A4-72C7-47CE-B06D-463569C0BEC6}"/>
    <hyperlink ref="AL581" r:id="rId193" xr:uid="{014FA556-FD2B-4F28-9303-08514925E46E}"/>
    <hyperlink ref="AL582" r:id="rId194" xr:uid="{39BA03C0-B756-4B0B-80C4-2A7F3D3B7CFE}"/>
    <hyperlink ref="AL583" r:id="rId195" xr:uid="{22B89CD0-0FAB-43C8-BCB4-6D2C17C92D1B}"/>
    <hyperlink ref="AL584" r:id="rId196" xr:uid="{BCC0A899-F628-42E8-B77D-06F4A5563415}"/>
    <hyperlink ref="AL585" r:id="rId197" xr:uid="{A56E1352-FF8F-4DD1-8500-336D45FE7C91}"/>
    <hyperlink ref="AL586" r:id="rId198" xr:uid="{45888DCF-0A76-4B33-BD0D-840888AF957B}"/>
    <hyperlink ref="AL587" r:id="rId199" xr:uid="{CDCFA0C7-7D88-485B-914D-A6F316521F13}"/>
    <hyperlink ref="AL588" r:id="rId200" xr:uid="{40009E9E-3F99-48F8-BF25-2CD413C7D151}"/>
    <hyperlink ref="AL589" r:id="rId201" xr:uid="{10333984-C6FD-4086-BC26-B56B094C687D}"/>
    <hyperlink ref="AL590" r:id="rId202" xr:uid="{5F85B99B-150A-43F4-B7C4-72DB7186836C}"/>
    <hyperlink ref="AL591" r:id="rId203" xr:uid="{41FF6823-65B1-4884-867F-C3226B895EAC}"/>
    <hyperlink ref="AL592" r:id="rId204" xr:uid="{4CF5B663-D62C-4930-A899-EA9FFE5D8C2F}"/>
    <hyperlink ref="AL593" r:id="rId205" xr:uid="{6B19A985-7CC8-4627-A3BF-825C27D2E835}"/>
    <hyperlink ref="AL594" r:id="rId206" xr:uid="{4E182601-9080-42E5-8F87-B81848A3F18D}"/>
    <hyperlink ref="AL595" r:id="rId207" xr:uid="{B8DF73BA-4DCD-4D9D-ADBD-28B50C2C00CF}"/>
    <hyperlink ref="AL596" r:id="rId208" xr:uid="{AEAEC3A6-1C0D-403E-8F16-01F9B2AFAF19}"/>
    <hyperlink ref="AL597" r:id="rId209" xr:uid="{D4287914-8F86-42DC-8E48-FB489529FEFE}"/>
    <hyperlink ref="AL598" r:id="rId210" xr:uid="{9E9F6252-FC17-47E8-9211-3A9B638F059B}"/>
    <hyperlink ref="AL599" r:id="rId211" xr:uid="{6A6252B8-FBBF-4A00-97FE-F2BDB6F8254A}"/>
    <hyperlink ref="AL600" r:id="rId212" xr:uid="{F902FD68-EA9F-42B7-BB71-37A9B362679B}"/>
    <hyperlink ref="AL601" r:id="rId213" xr:uid="{BD04B143-E6BE-47D9-83C9-DF31B65F341C}"/>
    <hyperlink ref="AL602" r:id="rId214" xr:uid="{50542D37-1123-4174-89A1-9A81EF9182C8}"/>
  </hyperlinks>
  <pageMargins left="0.7" right="0.7" top="0.75" bottom="0.75" header="0.3" footer="0.3"/>
  <pageSetup paperSize="9" orientation="portrait" r:id="rId215"/>
  <legacyDrawing r:id="rId2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F175D-A0CE-47F0-86ED-97BA9BECC3FB}">
  <sheetPr codeName="Hoja2"/>
  <dimension ref="A1:CN86"/>
  <sheetViews>
    <sheetView workbookViewId="0">
      <selection activeCell="BM2" sqref="BM2:BM86"/>
    </sheetView>
  </sheetViews>
  <sheetFormatPr baseColWidth="10" defaultRowHeight="15" x14ac:dyDescent="0.25"/>
  <cols>
    <col min="1" max="1" width="8.140625" bestFit="1" customWidth="1"/>
    <col min="2" max="2" width="48.28515625" bestFit="1" customWidth="1"/>
    <col min="3" max="3" width="17.7109375" bestFit="1" customWidth="1"/>
    <col min="4" max="4" width="12.7109375" bestFit="1" customWidth="1"/>
    <col min="5" max="5" width="20.85546875" bestFit="1" customWidth="1"/>
    <col min="6" max="6" width="21.7109375" bestFit="1" customWidth="1"/>
    <col min="7" max="7" width="10.28515625" bestFit="1" customWidth="1"/>
    <col min="8" max="8" width="10.85546875" bestFit="1" customWidth="1"/>
    <col min="9" max="9" width="11.7109375" bestFit="1" customWidth="1"/>
    <col min="10" max="10" width="11.42578125" customWidth="1"/>
    <col min="11" max="11" width="19.140625" bestFit="1" customWidth="1"/>
    <col min="12" max="12" width="37.28515625" bestFit="1" customWidth="1"/>
    <col min="13" max="13" width="21.85546875" bestFit="1" customWidth="1"/>
    <col min="14" max="14" width="15.7109375" bestFit="1" customWidth="1"/>
    <col min="15" max="15" width="11" bestFit="1" customWidth="1"/>
    <col min="16" max="16" width="10.42578125" bestFit="1" customWidth="1"/>
    <col min="17" max="17" width="3.85546875" bestFit="1" customWidth="1"/>
    <col min="18" max="18" width="4.5703125" bestFit="1" customWidth="1"/>
    <col min="19" max="19" width="5" bestFit="1" customWidth="1"/>
    <col min="20" max="20" width="5.5703125" bestFit="1" customWidth="1"/>
    <col min="21" max="21" width="11.7109375" bestFit="1" customWidth="1"/>
    <col min="22" max="22" width="105.7109375" bestFit="1" customWidth="1"/>
    <col min="23" max="23" width="33.28515625" bestFit="1" customWidth="1"/>
    <col min="24" max="24" width="33.140625" bestFit="1" customWidth="1"/>
    <col min="25" max="25" width="10.42578125" bestFit="1" customWidth="1"/>
    <col min="26" max="26" width="20.28515625" bestFit="1" customWidth="1"/>
    <col min="27" max="27" width="19.7109375" bestFit="1" customWidth="1"/>
    <col min="28" max="28" width="11.42578125" bestFit="1" customWidth="1"/>
    <col min="29" max="29" width="11.28515625" bestFit="1" customWidth="1"/>
    <col min="30" max="30" width="11.42578125" bestFit="1" customWidth="1"/>
    <col min="31" max="31" width="10.85546875" bestFit="1" customWidth="1"/>
    <col min="32" max="32" width="14" bestFit="1" customWidth="1"/>
    <col min="33" max="33" width="14.85546875" bestFit="1" customWidth="1"/>
    <col min="34" max="34" width="10.42578125" bestFit="1" customWidth="1"/>
    <col min="35" max="35" width="34.85546875" bestFit="1" customWidth="1"/>
    <col min="36" max="36" width="11.140625" bestFit="1" customWidth="1"/>
    <col min="37" max="37" width="92.28515625" bestFit="1" customWidth="1"/>
    <col min="38" max="38" width="16.28515625" bestFit="1" customWidth="1"/>
    <col min="39" max="39" width="10.42578125" bestFit="1" customWidth="1"/>
    <col min="40" max="40" width="15.42578125" bestFit="1" customWidth="1"/>
    <col min="41" max="42" width="20.140625" bestFit="1" customWidth="1"/>
    <col min="43" max="43" width="11.7109375" bestFit="1" customWidth="1"/>
    <col min="44" max="44" width="33.5703125" bestFit="1" customWidth="1"/>
    <col min="45" max="45" width="37.42578125" bestFit="1" customWidth="1"/>
    <col min="46" max="46" width="16.28515625" bestFit="1" customWidth="1"/>
    <col min="47" max="47" width="20.140625" bestFit="1" customWidth="1"/>
    <col min="48" max="48" width="34.28515625" bestFit="1" customWidth="1"/>
    <col min="49" max="49" width="35.85546875" bestFit="1" customWidth="1"/>
    <col min="50" max="50" width="18.140625" bestFit="1" customWidth="1"/>
    <col min="51" max="51" width="8.85546875" bestFit="1" customWidth="1"/>
    <col min="52" max="52" width="29.28515625" bestFit="1" customWidth="1"/>
    <col min="53" max="53" width="30.42578125" bestFit="1" customWidth="1"/>
    <col min="54" max="54" width="7" bestFit="1" customWidth="1"/>
    <col min="55" max="55" width="12.5703125" bestFit="1" customWidth="1"/>
    <col min="56" max="56" width="14.28515625" bestFit="1" customWidth="1"/>
    <col min="57" max="57" width="16.140625" bestFit="1" customWidth="1"/>
    <col min="63" max="63" width="10.28515625" bestFit="1" customWidth="1"/>
    <col min="64" max="64" width="28.140625" bestFit="1" customWidth="1"/>
    <col min="65" max="65" width="25.140625" customWidth="1"/>
    <col min="69" max="69" width="37.42578125" bestFit="1" customWidth="1"/>
    <col min="70" max="70" width="16.28515625" bestFit="1" customWidth="1"/>
    <col min="71" max="71" width="11.7109375" bestFit="1" customWidth="1"/>
    <col min="72" max="72" width="8.5703125" bestFit="1" customWidth="1"/>
    <col min="73" max="73" width="21.7109375" bestFit="1" customWidth="1"/>
    <col min="74" max="74" width="11" bestFit="1" customWidth="1"/>
    <col min="75" max="75" width="13.5703125" customWidth="1"/>
    <col min="76" max="76" width="13" customWidth="1"/>
    <col min="78" max="78" width="14.140625" customWidth="1"/>
    <col min="81" max="81" width="14.140625" customWidth="1"/>
    <col min="84" max="84" width="13.140625" customWidth="1"/>
    <col min="87" max="87" width="13.140625" customWidth="1"/>
    <col min="90" max="90" width="13.140625" customWidth="1"/>
  </cols>
  <sheetData>
    <row r="1" spans="1:92" s="2" customFormat="1" ht="78.599999999999994" customHeight="1" x14ac:dyDescent="0.25">
      <c r="A1" s="10" t="s">
        <v>70</v>
      </c>
      <c r="B1" s="11" t="s">
        <v>69</v>
      </c>
      <c r="C1" s="10" t="s">
        <v>0</v>
      </c>
      <c r="D1" s="10" t="s">
        <v>1</v>
      </c>
      <c r="E1" s="5" t="s">
        <v>2</v>
      </c>
      <c r="F1" s="5" t="s">
        <v>3</v>
      </c>
      <c r="G1" s="5" t="s">
        <v>4</v>
      </c>
      <c r="H1" s="5" t="s">
        <v>5</v>
      </c>
      <c r="I1" s="5" t="s">
        <v>6</v>
      </c>
      <c r="J1" s="5" t="s">
        <v>7</v>
      </c>
      <c r="K1" s="5" t="s">
        <v>8</v>
      </c>
      <c r="L1" s="5" t="s">
        <v>71</v>
      </c>
      <c r="M1" s="5" t="s">
        <v>9</v>
      </c>
      <c r="N1" s="5" t="s">
        <v>10</v>
      </c>
      <c r="O1" s="5" t="s">
        <v>11</v>
      </c>
      <c r="P1" s="5" t="s">
        <v>12</v>
      </c>
      <c r="Q1" s="5" t="s">
        <v>13</v>
      </c>
      <c r="R1" s="5" t="s">
        <v>14</v>
      </c>
      <c r="S1" s="5" t="s">
        <v>15</v>
      </c>
      <c r="T1" s="6" t="s">
        <v>16</v>
      </c>
      <c r="U1" s="5" t="s">
        <v>17</v>
      </c>
      <c r="V1" s="5" t="s">
        <v>18</v>
      </c>
      <c r="W1" s="5" t="s">
        <v>19</v>
      </c>
      <c r="X1" s="5" t="s">
        <v>20</v>
      </c>
      <c r="Y1" s="5" t="s">
        <v>21</v>
      </c>
      <c r="Z1" s="5" t="s">
        <v>22</v>
      </c>
      <c r="AA1" s="5" t="s">
        <v>23</v>
      </c>
      <c r="AB1" s="7" t="s">
        <v>63</v>
      </c>
      <c r="AC1" s="7" t="s">
        <v>24</v>
      </c>
      <c r="AD1" s="7" t="s">
        <v>25</v>
      </c>
      <c r="AE1" s="7" t="s">
        <v>64</v>
      </c>
      <c r="AF1" s="5" t="s">
        <v>26</v>
      </c>
      <c r="AG1" s="5" t="s">
        <v>27</v>
      </c>
      <c r="AH1" s="5" t="s">
        <v>28</v>
      </c>
      <c r="AI1" s="5" t="s">
        <v>29</v>
      </c>
      <c r="AJ1" s="5" t="s">
        <v>30</v>
      </c>
      <c r="AK1" s="5" t="s">
        <v>31</v>
      </c>
      <c r="AL1" s="5" t="s">
        <v>32</v>
      </c>
      <c r="AM1" s="5" t="s">
        <v>33</v>
      </c>
      <c r="AN1" s="5" t="s">
        <v>34</v>
      </c>
      <c r="AO1" s="5" t="s">
        <v>35</v>
      </c>
      <c r="AP1" s="5" t="s">
        <v>36</v>
      </c>
      <c r="AQ1" s="5" t="s">
        <v>37</v>
      </c>
      <c r="AR1" s="5" t="s">
        <v>38</v>
      </c>
      <c r="AS1" s="5" t="s">
        <v>39</v>
      </c>
      <c r="AT1" s="5" t="s">
        <v>40</v>
      </c>
      <c r="AU1" s="5" t="s">
        <v>41</v>
      </c>
      <c r="AV1" s="5" t="s">
        <v>42</v>
      </c>
      <c r="AW1" s="3" t="s">
        <v>43</v>
      </c>
      <c r="AX1" s="3" t="s">
        <v>44</v>
      </c>
      <c r="AY1" s="3" t="s">
        <v>45</v>
      </c>
      <c r="AZ1" s="3" t="s">
        <v>46</v>
      </c>
      <c r="BA1" s="3" t="s">
        <v>47</v>
      </c>
      <c r="BB1" s="3" t="s">
        <v>48</v>
      </c>
      <c r="BC1" s="4" t="s">
        <v>49</v>
      </c>
      <c r="BD1" s="4" t="s">
        <v>50</v>
      </c>
      <c r="BE1" s="4" t="s">
        <v>65</v>
      </c>
      <c r="BF1" s="8" t="s">
        <v>66</v>
      </c>
      <c r="BG1" s="8" t="s">
        <v>51</v>
      </c>
      <c r="BH1" s="8" t="s">
        <v>52</v>
      </c>
      <c r="BI1" s="8" t="s">
        <v>23</v>
      </c>
      <c r="BJ1" s="9" t="s">
        <v>53</v>
      </c>
      <c r="BK1" s="9" t="s">
        <v>54</v>
      </c>
      <c r="BL1" s="9" t="s">
        <v>55</v>
      </c>
      <c r="BM1" s="9" t="s">
        <v>51</v>
      </c>
      <c r="BN1" s="9" t="s">
        <v>56</v>
      </c>
      <c r="BO1" s="9" t="s">
        <v>57</v>
      </c>
      <c r="BP1" s="9" t="s">
        <v>58</v>
      </c>
      <c r="BQ1" s="5" t="s">
        <v>59</v>
      </c>
      <c r="BR1" s="5" t="s">
        <v>40</v>
      </c>
      <c r="BS1" s="5" t="s">
        <v>60</v>
      </c>
      <c r="BT1" s="5" t="s">
        <v>61</v>
      </c>
      <c r="BU1" s="5" t="s">
        <v>62</v>
      </c>
      <c r="BV1" s="5" t="s">
        <v>67</v>
      </c>
      <c r="BW1" s="1" t="s">
        <v>68</v>
      </c>
      <c r="BX1" s="1" t="s">
        <v>11</v>
      </c>
      <c r="BY1" s="1" t="s">
        <v>16</v>
      </c>
      <c r="BZ1" s="1" t="s">
        <v>68</v>
      </c>
      <c r="CA1" s="1" t="s">
        <v>11</v>
      </c>
      <c r="CB1" s="1" t="s">
        <v>16</v>
      </c>
      <c r="CC1" s="1" t="s">
        <v>68</v>
      </c>
      <c r="CD1" s="1" t="s">
        <v>11</v>
      </c>
      <c r="CE1" s="1" t="s">
        <v>16</v>
      </c>
      <c r="CF1" s="1" t="s">
        <v>68</v>
      </c>
      <c r="CG1" s="1" t="s">
        <v>11</v>
      </c>
      <c r="CH1" s="1" t="s">
        <v>16</v>
      </c>
      <c r="CI1" s="1" t="s">
        <v>68</v>
      </c>
      <c r="CJ1" s="1" t="s">
        <v>11</v>
      </c>
      <c r="CK1" s="1" t="s">
        <v>16</v>
      </c>
      <c r="CL1" s="1" t="s">
        <v>68</v>
      </c>
      <c r="CM1" s="1" t="s">
        <v>11</v>
      </c>
      <c r="CN1" s="1" t="s">
        <v>16</v>
      </c>
    </row>
    <row r="2" spans="1:92" x14ac:dyDescent="0.25">
      <c r="A2" s="19">
        <v>138</v>
      </c>
      <c r="B2" s="44" t="s">
        <v>299</v>
      </c>
      <c r="C2" s="19" t="s">
        <v>300</v>
      </c>
      <c r="D2" s="19" t="s">
        <v>301</v>
      </c>
      <c r="E2" s="21">
        <v>42111</v>
      </c>
      <c r="F2" s="36">
        <v>42201</v>
      </c>
      <c r="G2" s="24">
        <v>44562</v>
      </c>
      <c r="H2" s="19" t="s">
        <v>291</v>
      </c>
      <c r="I2" s="19" t="s">
        <v>302</v>
      </c>
      <c r="J2" s="19" t="s">
        <v>303</v>
      </c>
      <c r="K2" s="19" t="s">
        <v>304</v>
      </c>
      <c r="L2" s="55" t="s">
        <v>305</v>
      </c>
      <c r="M2" s="19" t="s">
        <v>306</v>
      </c>
      <c r="N2" s="19" t="s">
        <v>307</v>
      </c>
      <c r="O2" s="19" t="s">
        <v>633</v>
      </c>
      <c r="P2" s="24">
        <v>28721</v>
      </c>
      <c r="Q2" s="19">
        <v>19</v>
      </c>
      <c r="R2" s="19">
        <v>8</v>
      </c>
      <c r="S2" s="19">
        <v>78</v>
      </c>
      <c r="T2" s="26">
        <v>46.742465753424661</v>
      </c>
      <c r="U2" s="19" t="s">
        <v>308</v>
      </c>
      <c r="V2" s="19" t="s">
        <v>309</v>
      </c>
      <c r="W2" s="19" t="s">
        <v>310</v>
      </c>
      <c r="X2" s="46" t="s">
        <v>207</v>
      </c>
      <c r="Y2" s="19" t="s">
        <v>183</v>
      </c>
      <c r="Z2" s="19" t="s">
        <v>311</v>
      </c>
      <c r="AA2" s="19" t="s">
        <v>312</v>
      </c>
      <c r="AB2" s="29">
        <v>10086.668799999999</v>
      </c>
      <c r="AC2" s="29">
        <v>331.79831578947369</v>
      </c>
      <c r="AD2" s="27">
        <v>170</v>
      </c>
      <c r="AE2" s="47">
        <v>177.684</v>
      </c>
      <c r="AF2" s="19" t="s">
        <v>313</v>
      </c>
      <c r="AG2" s="19" t="s">
        <v>314</v>
      </c>
      <c r="AH2" s="19">
        <v>90</v>
      </c>
      <c r="AI2" s="19" t="s">
        <v>315</v>
      </c>
      <c r="AJ2" s="19" t="s">
        <v>291</v>
      </c>
      <c r="AK2" s="19" t="s">
        <v>316</v>
      </c>
      <c r="AL2" s="19" t="s">
        <v>317</v>
      </c>
      <c r="AM2" s="19" t="s">
        <v>318</v>
      </c>
      <c r="AN2" s="19" t="s">
        <v>319</v>
      </c>
      <c r="AO2" s="19" t="s">
        <v>320</v>
      </c>
      <c r="AP2" s="19" t="s">
        <v>321</v>
      </c>
      <c r="AQ2" s="19" t="s">
        <v>322</v>
      </c>
      <c r="AR2" s="19" t="s">
        <v>323</v>
      </c>
      <c r="AS2" s="51" t="s">
        <v>324</v>
      </c>
      <c r="AT2" s="19" t="s">
        <v>325</v>
      </c>
      <c r="AU2" s="19" t="s">
        <v>326</v>
      </c>
      <c r="AV2" s="19" t="s">
        <v>327</v>
      </c>
      <c r="AW2" s="24"/>
      <c r="AX2" s="19"/>
      <c r="AY2" s="19"/>
      <c r="AZ2" s="19"/>
      <c r="BA2" s="19"/>
      <c r="BB2" s="19"/>
      <c r="BC2" s="19" t="s">
        <v>328</v>
      </c>
      <c r="BD2" s="25" t="s">
        <v>329</v>
      </c>
      <c r="BE2" s="19" t="s">
        <v>330</v>
      </c>
      <c r="BF2" s="19"/>
      <c r="BG2" s="19"/>
      <c r="BH2" s="24"/>
      <c r="BI2" s="19"/>
      <c r="BJ2" s="20" t="s">
        <v>53</v>
      </c>
      <c r="BK2" s="53">
        <v>45736</v>
      </c>
      <c r="BL2" s="20" t="s">
        <v>56</v>
      </c>
      <c r="BM2" s="52" t="s">
        <v>331</v>
      </c>
      <c r="BN2" s="19" t="s">
        <v>1444</v>
      </c>
      <c r="BO2" s="19"/>
      <c r="BP2" s="19"/>
      <c r="BQ2" s="44" t="s">
        <v>324</v>
      </c>
      <c r="BR2" s="44" t="s">
        <v>325</v>
      </c>
      <c r="BS2" s="44" t="s">
        <v>332</v>
      </c>
      <c r="BT2" s="44" t="s">
        <v>333</v>
      </c>
      <c r="BU2" s="44" t="s">
        <v>334</v>
      </c>
      <c r="BV2" s="44">
        <v>2</v>
      </c>
    </row>
    <row r="3" spans="1:92" x14ac:dyDescent="0.25">
      <c r="A3" s="19">
        <v>142</v>
      </c>
      <c r="B3" s="44" t="s">
        <v>335</v>
      </c>
      <c r="C3" s="19" t="s">
        <v>116</v>
      </c>
      <c r="D3" s="19">
        <v>75978106849</v>
      </c>
      <c r="E3" s="21">
        <v>42186</v>
      </c>
      <c r="F3" s="36">
        <v>42276</v>
      </c>
      <c r="G3" s="24">
        <v>44921</v>
      </c>
      <c r="H3" s="19" t="s">
        <v>290</v>
      </c>
      <c r="I3" s="19" t="s">
        <v>336</v>
      </c>
      <c r="J3" s="19" t="s">
        <v>337</v>
      </c>
      <c r="K3" s="19" t="s">
        <v>338</v>
      </c>
      <c r="L3" s="55" t="s">
        <v>339</v>
      </c>
      <c r="M3" s="19" t="s">
        <v>340</v>
      </c>
      <c r="N3" s="45" t="s">
        <v>341</v>
      </c>
      <c r="O3" s="19" t="s">
        <v>571</v>
      </c>
      <c r="P3" s="24">
        <v>29777</v>
      </c>
      <c r="Q3" s="19">
        <v>10</v>
      </c>
      <c r="R3" s="19">
        <v>7</v>
      </c>
      <c r="S3" s="19">
        <v>81</v>
      </c>
      <c r="T3" s="26">
        <v>43.849315068493148</v>
      </c>
      <c r="U3" s="19" t="s">
        <v>342</v>
      </c>
      <c r="V3" s="19" t="s">
        <v>343</v>
      </c>
      <c r="W3" s="19" t="s">
        <v>344</v>
      </c>
      <c r="X3" s="46" t="s">
        <v>345</v>
      </c>
      <c r="Y3" s="19" t="s">
        <v>346</v>
      </c>
      <c r="Z3" s="19" t="s">
        <v>347</v>
      </c>
      <c r="AA3" s="19" t="s">
        <v>348</v>
      </c>
      <c r="AB3" s="29">
        <v>9686.9738037816642</v>
      </c>
      <c r="AC3" s="29">
        <v>318.6504540717653</v>
      </c>
      <c r="AD3" s="27">
        <v>281.99004975124382</v>
      </c>
      <c r="AE3" s="47">
        <v>294.73599999999999</v>
      </c>
      <c r="AF3" s="19" t="s">
        <v>313</v>
      </c>
      <c r="AG3" s="19" t="s">
        <v>349</v>
      </c>
      <c r="AH3" s="19">
        <v>90</v>
      </c>
      <c r="AI3" s="19" t="s">
        <v>350</v>
      </c>
      <c r="AJ3" s="19" t="s">
        <v>290</v>
      </c>
      <c r="AK3" s="19" t="s">
        <v>351</v>
      </c>
      <c r="AL3" s="19" t="s">
        <v>317</v>
      </c>
      <c r="AM3" s="19" t="s">
        <v>318</v>
      </c>
      <c r="AN3" s="19" t="s">
        <v>352</v>
      </c>
      <c r="AO3" s="19" t="s">
        <v>353</v>
      </c>
      <c r="AP3" s="19" t="s">
        <v>354</v>
      </c>
      <c r="AQ3" s="19" t="s">
        <v>355</v>
      </c>
      <c r="AR3" s="19" t="s">
        <v>356</v>
      </c>
      <c r="AS3" s="19"/>
      <c r="AT3" s="19"/>
      <c r="AU3" s="19"/>
      <c r="AV3" s="19" t="s">
        <v>327</v>
      </c>
      <c r="AW3" s="24"/>
      <c r="AX3" s="19"/>
      <c r="AY3" s="19"/>
      <c r="AZ3" s="19"/>
      <c r="BA3" s="19"/>
      <c r="BB3" s="19"/>
      <c r="BC3" s="19"/>
      <c r="BD3" s="19" t="s">
        <v>357</v>
      </c>
      <c r="BE3" s="19" t="s">
        <v>330</v>
      </c>
      <c r="BF3" s="19"/>
      <c r="BG3" s="19"/>
      <c r="BH3" s="24"/>
      <c r="BI3" s="19"/>
      <c r="BJ3" s="20" t="s">
        <v>53</v>
      </c>
      <c r="BK3" s="53">
        <v>45687</v>
      </c>
      <c r="BL3" s="20" t="s">
        <v>358</v>
      </c>
      <c r="BM3" s="52" t="s">
        <v>359</v>
      </c>
      <c r="BN3" s="19" t="s">
        <v>1444</v>
      </c>
      <c r="BO3" s="19"/>
      <c r="BP3" s="19"/>
      <c r="BQ3" s="44" t="s">
        <v>360</v>
      </c>
      <c r="BR3" s="44" t="s">
        <v>361</v>
      </c>
      <c r="BS3" s="44" t="s">
        <v>355</v>
      </c>
      <c r="BT3" s="44" t="s">
        <v>333</v>
      </c>
      <c r="BU3" s="44" t="s">
        <v>362</v>
      </c>
      <c r="BV3" s="44">
        <v>4</v>
      </c>
    </row>
    <row r="4" spans="1:92" x14ac:dyDescent="0.25">
      <c r="A4" s="19">
        <v>158</v>
      </c>
      <c r="B4" s="44" t="s">
        <v>363</v>
      </c>
      <c r="C4" s="19" t="s">
        <v>364</v>
      </c>
      <c r="D4" s="19">
        <v>41906600071</v>
      </c>
      <c r="E4" s="21">
        <v>42767</v>
      </c>
      <c r="F4" s="36">
        <v>42857</v>
      </c>
      <c r="G4" s="24">
        <v>44396</v>
      </c>
      <c r="H4" s="19" t="s">
        <v>290</v>
      </c>
      <c r="I4" s="19" t="s">
        <v>365</v>
      </c>
      <c r="J4" s="19" t="s">
        <v>366</v>
      </c>
      <c r="K4" s="19" t="s">
        <v>367</v>
      </c>
      <c r="L4" s="55" t="s">
        <v>368</v>
      </c>
      <c r="M4" s="19" t="s">
        <v>369</v>
      </c>
      <c r="N4" s="19" t="s">
        <v>370</v>
      </c>
      <c r="O4" s="19" t="s">
        <v>571</v>
      </c>
      <c r="P4" s="24">
        <v>24408</v>
      </c>
      <c r="Q4" s="19">
        <v>28</v>
      </c>
      <c r="R4" s="19">
        <v>10</v>
      </c>
      <c r="S4" s="19">
        <v>66</v>
      </c>
      <c r="T4" s="26">
        <v>58.558904109589044</v>
      </c>
      <c r="U4" s="19" t="s">
        <v>342</v>
      </c>
      <c r="V4" s="19" t="s">
        <v>371</v>
      </c>
      <c r="W4" s="19" t="s">
        <v>344</v>
      </c>
      <c r="X4" s="46" t="s">
        <v>94</v>
      </c>
      <c r="Y4" s="19" t="s">
        <v>372</v>
      </c>
      <c r="Z4" s="19" t="s">
        <v>373</v>
      </c>
      <c r="AA4" s="19" t="s">
        <v>374</v>
      </c>
      <c r="AB4" s="29">
        <v>7080.4249149738534</v>
      </c>
      <c r="AC4" s="29">
        <v>232.90871430835045</v>
      </c>
      <c r="AD4" s="27">
        <v>198.23957137389974</v>
      </c>
      <c r="AE4" s="47">
        <v>207.2</v>
      </c>
      <c r="AF4" s="19" t="s">
        <v>313</v>
      </c>
      <c r="AG4" s="19" t="s">
        <v>314</v>
      </c>
      <c r="AH4" s="19">
        <v>90</v>
      </c>
      <c r="AI4" s="19" t="s">
        <v>375</v>
      </c>
      <c r="AJ4" s="19" t="s">
        <v>290</v>
      </c>
      <c r="AK4" s="19" t="s">
        <v>376</v>
      </c>
      <c r="AL4" s="19" t="s">
        <v>317</v>
      </c>
      <c r="AM4" s="19" t="s">
        <v>318</v>
      </c>
      <c r="AN4" s="19" t="s">
        <v>319</v>
      </c>
      <c r="AO4" s="19">
        <v>1539987794</v>
      </c>
      <c r="AP4" s="19" t="s">
        <v>377</v>
      </c>
      <c r="AQ4" s="19">
        <v>4445778388</v>
      </c>
      <c r="AR4" s="19" t="s">
        <v>378</v>
      </c>
      <c r="AS4" s="19"/>
      <c r="AT4" s="19"/>
      <c r="AU4" s="19"/>
      <c r="AV4" s="19" t="s">
        <v>327</v>
      </c>
      <c r="AW4" s="24"/>
      <c r="AX4" s="19"/>
      <c r="AY4" s="19"/>
      <c r="AZ4" s="19"/>
      <c r="BA4" s="19"/>
      <c r="BB4" s="19"/>
      <c r="BC4" s="19" t="s">
        <v>328</v>
      </c>
      <c r="BD4" s="25" t="s">
        <v>329</v>
      </c>
      <c r="BE4" s="19" t="s">
        <v>330</v>
      </c>
      <c r="BF4" s="19"/>
      <c r="BG4" s="19"/>
      <c r="BH4" s="24"/>
      <c r="BI4" s="19"/>
      <c r="BJ4" s="20" t="s">
        <v>53</v>
      </c>
      <c r="BK4" s="53">
        <v>45696</v>
      </c>
      <c r="BL4" s="20" t="s">
        <v>56</v>
      </c>
      <c r="BM4" s="52" t="s">
        <v>379</v>
      </c>
      <c r="BN4" s="19" t="s">
        <v>1444</v>
      </c>
      <c r="BO4" s="19"/>
      <c r="BP4" s="19"/>
      <c r="BQ4" s="44" t="s">
        <v>380</v>
      </c>
      <c r="BR4" s="44" t="s">
        <v>381</v>
      </c>
      <c r="BS4" s="44" t="s">
        <v>382</v>
      </c>
      <c r="BT4" s="44" t="s">
        <v>362</v>
      </c>
      <c r="BU4" s="44" t="s">
        <v>362</v>
      </c>
      <c r="BV4" s="44">
        <v>2</v>
      </c>
    </row>
    <row r="5" spans="1:92" x14ac:dyDescent="0.25">
      <c r="A5" s="19">
        <v>160</v>
      </c>
      <c r="B5" s="44" t="s">
        <v>363</v>
      </c>
      <c r="C5" s="19" t="s">
        <v>364</v>
      </c>
      <c r="D5" s="31">
        <v>41079103135</v>
      </c>
      <c r="E5" s="21">
        <v>42815</v>
      </c>
      <c r="F5" s="36">
        <v>42905</v>
      </c>
      <c r="G5" s="24">
        <v>44396</v>
      </c>
      <c r="H5" s="19" t="s">
        <v>290</v>
      </c>
      <c r="I5" s="19" t="s">
        <v>383</v>
      </c>
      <c r="J5" s="19" t="s">
        <v>384</v>
      </c>
      <c r="K5" s="19" t="s">
        <v>385</v>
      </c>
      <c r="L5" s="55" t="s">
        <v>386</v>
      </c>
      <c r="M5" s="19" t="s">
        <v>387</v>
      </c>
      <c r="N5" s="45" t="s">
        <v>388</v>
      </c>
      <c r="O5" s="19" t="s">
        <v>571</v>
      </c>
      <c r="P5" s="24">
        <v>33525</v>
      </c>
      <c r="Q5" s="19">
        <v>14</v>
      </c>
      <c r="R5" s="19">
        <v>10</v>
      </c>
      <c r="S5" s="19">
        <v>91</v>
      </c>
      <c r="T5" s="26">
        <v>33.665753424657531</v>
      </c>
      <c r="U5" s="19" t="s">
        <v>389</v>
      </c>
      <c r="V5" s="19" t="s">
        <v>390</v>
      </c>
      <c r="W5" s="19" t="s">
        <v>344</v>
      </c>
      <c r="X5" s="46" t="s">
        <v>391</v>
      </c>
      <c r="Y5" s="19" t="s">
        <v>88</v>
      </c>
      <c r="Z5" s="19" t="s">
        <v>392</v>
      </c>
      <c r="AA5" s="19" t="s">
        <v>374</v>
      </c>
      <c r="AB5" s="29">
        <v>6230.0740688963515</v>
      </c>
      <c r="AC5" s="29">
        <v>204.93664700316947</v>
      </c>
      <c r="AD5" s="27">
        <v>169.7899923459625</v>
      </c>
      <c r="AE5" s="47">
        <v>177.46449999999999</v>
      </c>
      <c r="AF5" s="19" t="s">
        <v>313</v>
      </c>
      <c r="AG5" s="19" t="s">
        <v>314</v>
      </c>
      <c r="AH5" s="19">
        <v>90</v>
      </c>
      <c r="AI5" s="19" t="s">
        <v>375</v>
      </c>
      <c r="AJ5" s="19" t="s">
        <v>290</v>
      </c>
      <c r="AK5" s="19" t="s">
        <v>393</v>
      </c>
      <c r="AL5" s="19" t="s">
        <v>317</v>
      </c>
      <c r="AM5" s="19" t="s">
        <v>318</v>
      </c>
      <c r="AN5" s="19" t="s">
        <v>319</v>
      </c>
      <c r="AO5" s="19">
        <v>1539987769</v>
      </c>
      <c r="AP5" s="19" t="s">
        <v>394</v>
      </c>
      <c r="AQ5" s="19" t="s">
        <v>395</v>
      </c>
      <c r="AR5" s="19" t="s">
        <v>396</v>
      </c>
      <c r="AS5" s="19" t="s">
        <v>397</v>
      </c>
      <c r="AT5" s="19" t="s">
        <v>325</v>
      </c>
      <c r="AU5" s="19"/>
      <c r="AV5" s="19" t="s">
        <v>398</v>
      </c>
      <c r="AW5" s="24"/>
      <c r="AX5" s="19"/>
      <c r="AY5" s="19"/>
      <c r="AZ5" s="19"/>
      <c r="BA5" s="19"/>
      <c r="BB5" s="19"/>
      <c r="BC5" s="19" t="s">
        <v>328</v>
      </c>
      <c r="BD5" s="19" t="s">
        <v>357</v>
      </c>
      <c r="BE5" s="19" t="s">
        <v>330</v>
      </c>
      <c r="BF5" s="19"/>
      <c r="BG5" s="19"/>
      <c r="BH5" s="24"/>
      <c r="BI5" s="19"/>
      <c r="BJ5" s="20" t="s">
        <v>53</v>
      </c>
      <c r="BK5" s="53">
        <v>45775</v>
      </c>
      <c r="BL5" s="20" t="s">
        <v>56</v>
      </c>
      <c r="BM5" s="52" t="s">
        <v>399</v>
      </c>
      <c r="BN5" s="19" t="s">
        <v>1444</v>
      </c>
      <c r="BO5" s="19"/>
      <c r="BP5" s="19"/>
      <c r="BQ5" s="44" t="s">
        <v>400</v>
      </c>
      <c r="BR5" s="44" t="s">
        <v>401</v>
      </c>
      <c r="BS5" s="44" t="s">
        <v>402</v>
      </c>
      <c r="BT5" s="44" t="s">
        <v>362</v>
      </c>
      <c r="BU5" s="44" t="s">
        <v>362</v>
      </c>
      <c r="BV5" s="44">
        <v>0</v>
      </c>
    </row>
    <row r="6" spans="1:92" x14ac:dyDescent="0.25">
      <c r="A6" s="19">
        <v>179</v>
      </c>
      <c r="B6" s="44" t="s">
        <v>335</v>
      </c>
      <c r="C6" s="19" t="s">
        <v>127</v>
      </c>
      <c r="D6" s="19" t="s">
        <v>403</v>
      </c>
      <c r="E6" s="21">
        <v>43227</v>
      </c>
      <c r="F6" s="36">
        <v>43317</v>
      </c>
      <c r="G6" s="24">
        <v>44914</v>
      </c>
      <c r="H6" s="19" t="s">
        <v>290</v>
      </c>
      <c r="I6" s="19" t="s">
        <v>404</v>
      </c>
      <c r="J6" s="19" t="s">
        <v>405</v>
      </c>
      <c r="K6" s="19" t="s">
        <v>406</v>
      </c>
      <c r="L6" s="55" t="s">
        <v>407</v>
      </c>
      <c r="M6" s="19" t="s">
        <v>408</v>
      </c>
      <c r="N6" s="19" t="s">
        <v>409</v>
      </c>
      <c r="O6" s="19" t="s">
        <v>571</v>
      </c>
      <c r="P6" s="24">
        <v>30867</v>
      </c>
      <c r="Q6" s="19">
        <v>4</v>
      </c>
      <c r="R6" s="19">
        <v>7</v>
      </c>
      <c r="S6" s="19">
        <v>84</v>
      </c>
      <c r="T6" s="26">
        <v>40.863013698630134</v>
      </c>
      <c r="U6" s="19" t="s">
        <v>342</v>
      </c>
      <c r="V6" s="19" t="s">
        <v>410</v>
      </c>
      <c r="W6" s="19" t="s">
        <v>411</v>
      </c>
      <c r="X6" s="46" t="s">
        <v>345</v>
      </c>
      <c r="Y6" s="19" t="s">
        <v>130</v>
      </c>
      <c r="Z6" s="19" t="s">
        <v>347</v>
      </c>
      <c r="AA6" s="19" t="s">
        <v>412</v>
      </c>
      <c r="AB6" s="29">
        <v>6695.8174157782532</v>
      </c>
      <c r="AC6" s="29">
        <v>220.25715183481097</v>
      </c>
      <c r="AD6" s="27">
        <v>189.59050899349407</v>
      </c>
      <c r="AE6" s="47">
        <v>198.16</v>
      </c>
      <c r="AF6" s="19" t="s">
        <v>313</v>
      </c>
      <c r="AG6" s="19" t="s">
        <v>314</v>
      </c>
      <c r="AH6" s="19">
        <v>90</v>
      </c>
      <c r="AI6" s="19" t="s">
        <v>413</v>
      </c>
      <c r="AJ6" s="19" t="s">
        <v>290</v>
      </c>
      <c r="AK6" s="19" t="s">
        <v>414</v>
      </c>
      <c r="AL6" s="19" t="s">
        <v>317</v>
      </c>
      <c r="AM6" s="19" t="s">
        <v>318</v>
      </c>
      <c r="AN6" s="19" t="s">
        <v>319</v>
      </c>
      <c r="AO6" s="19" t="s">
        <v>415</v>
      </c>
      <c r="AP6" s="19" t="s">
        <v>416</v>
      </c>
      <c r="AQ6" s="19" t="s">
        <v>417</v>
      </c>
      <c r="AR6" s="19" t="s">
        <v>418</v>
      </c>
      <c r="AS6" s="49" t="s">
        <v>419</v>
      </c>
      <c r="AT6" s="49" t="s">
        <v>381</v>
      </c>
      <c r="AU6" s="50">
        <v>31390</v>
      </c>
      <c r="AV6" s="19" t="s">
        <v>398</v>
      </c>
      <c r="AW6" s="24"/>
      <c r="AX6" s="19"/>
      <c r="AY6" s="19"/>
      <c r="AZ6" s="19"/>
      <c r="BA6" s="19"/>
      <c r="BB6" s="19"/>
      <c r="BC6" s="19" t="s">
        <v>420</v>
      </c>
      <c r="BD6" s="25" t="s">
        <v>329</v>
      </c>
      <c r="BE6" s="19" t="s">
        <v>330</v>
      </c>
      <c r="BF6" s="19"/>
      <c r="BG6" s="19"/>
      <c r="BH6" s="24"/>
      <c r="BI6" s="19"/>
      <c r="BJ6" s="20" t="s">
        <v>53</v>
      </c>
      <c r="BK6" s="53">
        <v>45751</v>
      </c>
      <c r="BL6" s="20" t="s">
        <v>56</v>
      </c>
      <c r="BM6" s="52" t="s">
        <v>421</v>
      </c>
      <c r="BN6" s="19" t="s">
        <v>1444</v>
      </c>
      <c r="BO6" s="19"/>
      <c r="BP6" s="19"/>
      <c r="BQ6" s="44" t="s">
        <v>419</v>
      </c>
      <c r="BR6" s="44" t="s">
        <v>381</v>
      </c>
      <c r="BS6" s="65" t="s">
        <v>422</v>
      </c>
      <c r="BT6" s="65" t="s">
        <v>333</v>
      </c>
      <c r="BU6" s="65" t="s">
        <v>362</v>
      </c>
      <c r="BV6" s="44">
        <v>3</v>
      </c>
    </row>
    <row r="7" spans="1:92" x14ac:dyDescent="0.25">
      <c r="A7" s="19">
        <v>210</v>
      </c>
      <c r="B7" s="44" t="s">
        <v>299</v>
      </c>
      <c r="C7" s="19" t="s">
        <v>300</v>
      </c>
      <c r="D7" s="19" t="s">
        <v>423</v>
      </c>
      <c r="E7" s="21">
        <v>43654</v>
      </c>
      <c r="F7" s="36">
        <v>43744</v>
      </c>
      <c r="G7" s="24">
        <v>44562</v>
      </c>
      <c r="H7" s="19" t="s">
        <v>291</v>
      </c>
      <c r="I7" s="19" t="s">
        <v>424</v>
      </c>
      <c r="J7" s="19" t="s">
        <v>425</v>
      </c>
      <c r="K7" s="19" t="s">
        <v>426</v>
      </c>
      <c r="L7" s="55" t="s">
        <v>427</v>
      </c>
      <c r="M7" s="19" t="s">
        <v>428</v>
      </c>
      <c r="N7" s="19" t="s">
        <v>429</v>
      </c>
      <c r="O7" s="19" t="s">
        <v>571</v>
      </c>
      <c r="P7" s="24">
        <v>30227</v>
      </c>
      <c r="Q7" s="19">
        <v>3</v>
      </c>
      <c r="R7" s="19">
        <v>10</v>
      </c>
      <c r="S7" s="19">
        <v>82</v>
      </c>
      <c r="T7" s="26">
        <v>42.701369863013696</v>
      </c>
      <c r="U7" s="19" t="s">
        <v>389</v>
      </c>
      <c r="V7" s="19" t="s">
        <v>430</v>
      </c>
      <c r="W7" s="19" t="s">
        <v>431</v>
      </c>
      <c r="X7" s="46" t="s">
        <v>189</v>
      </c>
      <c r="Y7" s="19" t="s">
        <v>174</v>
      </c>
      <c r="Z7" s="19" t="s">
        <v>432</v>
      </c>
      <c r="AA7" s="19" t="s">
        <v>433</v>
      </c>
      <c r="AB7" s="29">
        <v>9360</v>
      </c>
      <c r="AC7" s="29">
        <v>307.89473684210526</v>
      </c>
      <c r="AD7" s="27">
        <v>170</v>
      </c>
      <c r="AE7" s="47">
        <v>177.684</v>
      </c>
      <c r="AF7" s="19" t="s">
        <v>313</v>
      </c>
      <c r="AG7" s="19" t="s">
        <v>314</v>
      </c>
      <c r="AH7" s="19">
        <v>90</v>
      </c>
      <c r="AI7" s="19" t="s">
        <v>315</v>
      </c>
      <c r="AJ7" s="19" t="s">
        <v>291</v>
      </c>
      <c r="AK7" s="19" t="s">
        <v>316</v>
      </c>
      <c r="AL7" s="19" t="s">
        <v>317</v>
      </c>
      <c r="AM7" s="19" t="s">
        <v>318</v>
      </c>
      <c r="AN7" s="19" t="s">
        <v>319</v>
      </c>
      <c r="AO7" s="19" t="s">
        <v>434</v>
      </c>
      <c r="AP7" s="19" t="s">
        <v>435</v>
      </c>
      <c r="AQ7" s="19" t="s">
        <v>436</v>
      </c>
      <c r="AR7" s="23" t="s">
        <v>437</v>
      </c>
      <c r="AS7" s="19" t="s">
        <v>438</v>
      </c>
      <c r="AT7" s="19" t="s">
        <v>439</v>
      </c>
      <c r="AU7" s="19" t="s">
        <v>440</v>
      </c>
      <c r="AV7" s="19" t="s">
        <v>398</v>
      </c>
      <c r="AW7" s="24"/>
      <c r="AX7" s="19"/>
      <c r="AY7" s="19"/>
      <c r="AZ7" s="19"/>
      <c r="BA7" s="19"/>
      <c r="BB7" s="19"/>
      <c r="BC7" s="19" t="s">
        <v>328</v>
      </c>
      <c r="BD7" s="25" t="s">
        <v>329</v>
      </c>
      <c r="BE7" s="19" t="s">
        <v>330</v>
      </c>
      <c r="BF7" s="19"/>
      <c r="BG7" s="19"/>
      <c r="BH7" s="24"/>
      <c r="BI7" s="19"/>
      <c r="BJ7" s="20" t="s">
        <v>53</v>
      </c>
      <c r="BK7" s="53">
        <v>45687</v>
      </c>
      <c r="BL7" s="20" t="s">
        <v>441</v>
      </c>
      <c r="BM7" s="52" t="s">
        <v>442</v>
      </c>
      <c r="BN7" s="19" t="s">
        <v>1444</v>
      </c>
      <c r="BO7" s="19"/>
      <c r="BP7" s="19"/>
      <c r="BQ7" s="44" t="s">
        <v>438</v>
      </c>
      <c r="BR7" s="44" t="s">
        <v>439</v>
      </c>
      <c r="BS7" s="44" t="s">
        <v>443</v>
      </c>
      <c r="BT7" s="44" t="s">
        <v>444</v>
      </c>
      <c r="BU7" s="44" t="s">
        <v>334</v>
      </c>
      <c r="BV7" s="44">
        <v>1</v>
      </c>
    </row>
    <row r="8" spans="1:92" x14ac:dyDescent="0.25">
      <c r="A8" s="19">
        <v>226</v>
      </c>
      <c r="B8" s="44" t="s">
        <v>363</v>
      </c>
      <c r="C8" s="19" t="s">
        <v>364</v>
      </c>
      <c r="D8" s="19" t="s">
        <v>445</v>
      </c>
      <c r="E8" s="21">
        <v>44078</v>
      </c>
      <c r="F8" s="36">
        <v>44168</v>
      </c>
      <c r="G8" s="24">
        <v>44396</v>
      </c>
      <c r="H8" s="19" t="s">
        <v>290</v>
      </c>
      <c r="I8" s="19" t="s">
        <v>446</v>
      </c>
      <c r="J8" s="19" t="s">
        <v>447</v>
      </c>
      <c r="K8" s="19" t="s">
        <v>448</v>
      </c>
      <c r="L8" s="55" t="s">
        <v>449</v>
      </c>
      <c r="M8" s="19" t="s">
        <v>450</v>
      </c>
      <c r="N8" s="19" t="s">
        <v>451</v>
      </c>
      <c r="O8" s="19" t="s">
        <v>571</v>
      </c>
      <c r="P8" s="24">
        <v>34868</v>
      </c>
      <c r="Q8" s="19">
        <v>18</v>
      </c>
      <c r="R8" s="19">
        <v>6</v>
      </c>
      <c r="S8" s="19">
        <v>95</v>
      </c>
      <c r="T8" s="26">
        <v>29.986301369863014</v>
      </c>
      <c r="U8" s="19" t="s">
        <v>452</v>
      </c>
      <c r="V8" s="19" t="s">
        <v>453</v>
      </c>
      <c r="W8" s="19" t="s">
        <v>454</v>
      </c>
      <c r="X8" s="46" t="s">
        <v>91</v>
      </c>
      <c r="Y8" s="19" t="s">
        <v>90</v>
      </c>
      <c r="Z8" s="19" t="s">
        <v>455</v>
      </c>
      <c r="AA8" s="19" t="s">
        <v>374</v>
      </c>
      <c r="AB8" s="29">
        <v>10000</v>
      </c>
      <c r="AC8" s="29">
        <v>328.94736842105266</v>
      </c>
      <c r="AD8" s="27">
        <v>280.00000000000006</v>
      </c>
      <c r="AE8" s="47">
        <v>292.65600000000001</v>
      </c>
      <c r="AF8" s="19" t="s">
        <v>313</v>
      </c>
      <c r="AG8" s="19" t="s">
        <v>314</v>
      </c>
      <c r="AH8" s="19">
        <v>90</v>
      </c>
      <c r="AI8" s="19" t="s">
        <v>375</v>
      </c>
      <c r="AJ8" s="19" t="s">
        <v>290</v>
      </c>
      <c r="AK8" s="19" t="s">
        <v>456</v>
      </c>
      <c r="AL8" s="19" t="s">
        <v>317</v>
      </c>
      <c r="AM8" s="19" t="s">
        <v>318</v>
      </c>
      <c r="AN8" s="19" t="s">
        <v>319</v>
      </c>
      <c r="AO8" s="19" t="s">
        <v>457</v>
      </c>
      <c r="AP8" s="19" t="s">
        <v>458</v>
      </c>
      <c r="AQ8" s="19">
        <v>4443163394</v>
      </c>
      <c r="AR8" s="19" t="s">
        <v>459</v>
      </c>
      <c r="AS8" s="19" t="s">
        <v>460</v>
      </c>
      <c r="AT8" s="19" t="s">
        <v>461</v>
      </c>
      <c r="AU8" s="19" t="s">
        <v>462</v>
      </c>
      <c r="AV8" s="19" t="s">
        <v>398</v>
      </c>
      <c r="AW8" s="24"/>
      <c r="AX8" s="19"/>
      <c r="AY8" s="19"/>
      <c r="AZ8" s="19"/>
      <c r="BA8" s="19"/>
      <c r="BB8" s="19"/>
      <c r="BC8" s="19" t="s">
        <v>328</v>
      </c>
      <c r="BD8" s="19" t="s">
        <v>357</v>
      </c>
      <c r="BE8" s="19" t="s">
        <v>330</v>
      </c>
      <c r="BF8" s="19"/>
      <c r="BG8" s="19"/>
      <c r="BH8" s="24"/>
      <c r="BI8" s="19"/>
      <c r="BJ8" s="20" t="s">
        <v>53</v>
      </c>
      <c r="BK8" s="53">
        <v>45389</v>
      </c>
      <c r="BL8" s="20" t="s">
        <v>56</v>
      </c>
      <c r="BM8" s="52" t="s">
        <v>463</v>
      </c>
      <c r="BN8" s="19" t="s">
        <v>1444</v>
      </c>
      <c r="BO8" s="19"/>
      <c r="BP8" s="19"/>
      <c r="BQ8" s="44" t="s">
        <v>460</v>
      </c>
      <c r="BR8" s="44" t="s">
        <v>461</v>
      </c>
      <c r="BS8" s="44">
        <v>4444976425</v>
      </c>
      <c r="BT8" s="44" t="s">
        <v>362</v>
      </c>
      <c r="BU8" s="44" t="s">
        <v>362</v>
      </c>
      <c r="BV8" s="44">
        <v>0</v>
      </c>
    </row>
    <row r="9" spans="1:92" x14ac:dyDescent="0.25">
      <c r="A9" s="20">
        <v>231</v>
      </c>
      <c r="B9" s="44" t="s">
        <v>363</v>
      </c>
      <c r="C9" s="20" t="s">
        <v>364</v>
      </c>
      <c r="D9" s="20" t="s">
        <v>464</v>
      </c>
      <c r="E9" s="21">
        <v>45061</v>
      </c>
      <c r="F9" s="36">
        <v>45151</v>
      </c>
      <c r="G9" s="53">
        <v>45061</v>
      </c>
      <c r="H9" s="20" t="s">
        <v>290</v>
      </c>
      <c r="I9" s="20" t="s">
        <v>465</v>
      </c>
      <c r="J9" s="20" t="s">
        <v>466</v>
      </c>
      <c r="K9" s="20" t="s">
        <v>467</v>
      </c>
      <c r="L9" s="55" t="s">
        <v>468</v>
      </c>
      <c r="M9" s="20" t="s">
        <v>469</v>
      </c>
      <c r="N9" s="20" t="s">
        <v>470</v>
      </c>
      <c r="O9" s="20" t="s">
        <v>571</v>
      </c>
      <c r="P9" s="63">
        <v>32840</v>
      </c>
      <c r="Q9" s="20">
        <v>28</v>
      </c>
      <c r="R9" s="20">
        <v>11</v>
      </c>
      <c r="S9" s="20">
        <v>89</v>
      </c>
      <c r="T9" s="54">
        <v>35.457534246575342</v>
      </c>
      <c r="U9" s="20" t="s">
        <v>452</v>
      </c>
      <c r="V9" s="20" t="s">
        <v>471</v>
      </c>
      <c r="W9" s="19" t="s">
        <v>472</v>
      </c>
      <c r="X9" s="46" t="s">
        <v>391</v>
      </c>
      <c r="Y9" s="20" t="s">
        <v>88</v>
      </c>
      <c r="Z9" s="20" t="s">
        <v>392</v>
      </c>
      <c r="AA9" s="20" t="s">
        <v>374</v>
      </c>
      <c r="AB9" s="29">
        <v>8208</v>
      </c>
      <c r="AC9" s="29">
        <v>270</v>
      </c>
      <c r="AD9" s="27">
        <v>270</v>
      </c>
      <c r="AE9" s="47">
        <v>283.31099999999998</v>
      </c>
      <c r="AF9" s="20" t="s">
        <v>313</v>
      </c>
      <c r="AG9" s="20" t="s">
        <v>314</v>
      </c>
      <c r="AH9" s="20">
        <v>90</v>
      </c>
      <c r="AI9" s="20" t="s">
        <v>375</v>
      </c>
      <c r="AJ9" s="20" t="s">
        <v>290</v>
      </c>
      <c r="AK9" s="20" t="s">
        <v>473</v>
      </c>
      <c r="AL9" s="20" t="s">
        <v>317</v>
      </c>
      <c r="AM9" s="20" t="s">
        <v>318</v>
      </c>
      <c r="AN9" s="20" t="s">
        <v>319</v>
      </c>
      <c r="AO9" s="20">
        <v>1539987728</v>
      </c>
      <c r="AP9" s="20" t="s">
        <v>474</v>
      </c>
      <c r="AQ9" s="20" t="s">
        <v>475</v>
      </c>
      <c r="AR9" s="57" t="s">
        <v>476</v>
      </c>
      <c r="AS9" s="20" t="s">
        <v>477</v>
      </c>
      <c r="AT9" s="20" t="s">
        <v>478</v>
      </c>
      <c r="AU9" s="20" t="s">
        <v>479</v>
      </c>
      <c r="AV9" s="20" t="s">
        <v>480</v>
      </c>
      <c r="AW9" s="53" t="s">
        <v>481</v>
      </c>
      <c r="AX9" s="19">
        <v>222</v>
      </c>
      <c r="AY9" s="20" t="s">
        <v>328</v>
      </c>
      <c r="AZ9" s="20" t="s">
        <v>482</v>
      </c>
      <c r="BA9" s="20" t="s">
        <v>483</v>
      </c>
      <c r="BB9" s="19">
        <v>78430</v>
      </c>
      <c r="BC9" s="32" t="s">
        <v>329</v>
      </c>
      <c r="BD9" s="19" t="s">
        <v>357</v>
      </c>
      <c r="BE9" s="20" t="s">
        <v>330</v>
      </c>
      <c r="BF9" s="20" t="s">
        <v>484</v>
      </c>
      <c r="BG9" s="20" t="s">
        <v>485</v>
      </c>
      <c r="BH9" s="53"/>
      <c r="BI9" s="20"/>
      <c r="BJ9" s="20" t="s">
        <v>53</v>
      </c>
      <c r="BK9" s="53">
        <v>45740</v>
      </c>
      <c r="BL9" s="20" t="s">
        <v>56</v>
      </c>
      <c r="BM9" s="52" t="s">
        <v>486</v>
      </c>
      <c r="BN9" s="19" t="s">
        <v>1444</v>
      </c>
      <c r="BO9" s="20"/>
      <c r="BP9" s="20"/>
      <c r="BQ9" s="52" t="s">
        <v>487</v>
      </c>
      <c r="BR9" s="52" t="s">
        <v>439</v>
      </c>
      <c r="BS9" s="52" t="s">
        <v>475</v>
      </c>
      <c r="BT9" s="52" t="s">
        <v>488</v>
      </c>
      <c r="BU9" s="52" t="s">
        <v>334</v>
      </c>
      <c r="BV9" s="52">
        <v>2</v>
      </c>
    </row>
    <row r="10" spans="1:92" x14ac:dyDescent="0.25">
      <c r="A10" s="19">
        <v>282</v>
      </c>
      <c r="B10" s="52" t="s">
        <v>299</v>
      </c>
      <c r="C10" s="20" t="s">
        <v>300</v>
      </c>
      <c r="D10" s="19">
        <v>41068316144</v>
      </c>
      <c r="E10" s="21">
        <v>44621</v>
      </c>
      <c r="F10" s="36">
        <v>44711</v>
      </c>
      <c r="G10" s="53">
        <v>44621</v>
      </c>
      <c r="H10" s="19" t="s">
        <v>291</v>
      </c>
      <c r="I10" s="19" t="s">
        <v>489</v>
      </c>
      <c r="J10" s="19" t="s">
        <v>490</v>
      </c>
      <c r="K10" s="19" t="s">
        <v>491</v>
      </c>
      <c r="L10" s="55" t="s">
        <v>492</v>
      </c>
      <c r="M10" s="19" t="s">
        <v>493</v>
      </c>
      <c r="N10" s="19" t="s">
        <v>494</v>
      </c>
      <c r="O10" s="19" t="s">
        <v>571</v>
      </c>
      <c r="P10" s="63">
        <v>30443</v>
      </c>
      <c r="Q10" s="19">
        <v>7</v>
      </c>
      <c r="R10" s="19">
        <v>5</v>
      </c>
      <c r="S10" s="19">
        <v>83</v>
      </c>
      <c r="T10" s="26">
        <v>42.109589041095887</v>
      </c>
      <c r="U10" s="19" t="s">
        <v>342</v>
      </c>
      <c r="V10" s="19" t="s">
        <v>495</v>
      </c>
      <c r="W10" s="19" t="s">
        <v>310</v>
      </c>
      <c r="X10" s="46" t="s">
        <v>496</v>
      </c>
      <c r="Y10" s="19" t="s">
        <v>183</v>
      </c>
      <c r="Z10" s="20" t="s">
        <v>311</v>
      </c>
      <c r="AA10" s="20" t="s">
        <v>497</v>
      </c>
      <c r="AB10" s="29">
        <v>12000</v>
      </c>
      <c r="AC10" s="29">
        <v>394.73684210526318</v>
      </c>
      <c r="AD10" s="27">
        <v>259</v>
      </c>
      <c r="AE10" s="47">
        <v>270.70679999999999</v>
      </c>
      <c r="AF10" s="20" t="s">
        <v>313</v>
      </c>
      <c r="AG10" s="20" t="s">
        <v>314</v>
      </c>
      <c r="AH10" s="20">
        <v>90</v>
      </c>
      <c r="AI10" s="20" t="s">
        <v>315</v>
      </c>
      <c r="AJ10" s="20" t="s">
        <v>291</v>
      </c>
      <c r="AK10" s="20" t="s">
        <v>316</v>
      </c>
      <c r="AL10" s="20" t="s">
        <v>317</v>
      </c>
      <c r="AM10" s="19" t="s">
        <v>318</v>
      </c>
      <c r="AN10" s="20" t="s">
        <v>319</v>
      </c>
      <c r="AO10" s="19" t="s">
        <v>498</v>
      </c>
      <c r="AP10" s="20" t="s">
        <v>499</v>
      </c>
      <c r="AQ10" s="19" t="s">
        <v>500</v>
      </c>
      <c r="AR10" s="23" t="s">
        <v>501</v>
      </c>
      <c r="AS10" s="19" t="s">
        <v>502</v>
      </c>
      <c r="AT10" s="19" t="s">
        <v>381</v>
      </c>
      <c r="AU10" s="19" t="s">
        <v>503</v>
      </c>
      <c r="AV10" s="19">
        <v>2420048267</v>
      </c>
      <c r="AW10" s="19"/>
      <c r="AX10" s="19"/>
      <c r="AY10" s="19"/>
      <c r="AZ10" s="19"/>
      <c r="BA10" s="19"/>
      <c r="BB10" s="19"/>
      <c r="BC10" s="19" t="s">
        <v>357</v>
      </c>
      <c r="BD10" s="19" t="s">
        <v>357</v>
      </c>
      <c r="BE10" s="19" t="s">
        <v>330</v>
      </c>
      <c r="BF10" s="19"/>
      <c r="BG10" s="19"/>
      <c r="BH10" s="19"/>
      <c r="BI10" s="19"/>
      <c r="BJ10" s="20" t="s">
        <v>53</v>
      </c>
      <c r="BK10" s="53">
        <v>45309</v>
      </c>
      <c r="BL10" s="20" t="s">
        <v>56</v>
      </c>
      <c r="BM10" s="52" t="s">
        <v>504</v>
      </c>
      <c r="BN10" s="19" t="s">
        <v>1444</v>
      </c>
      <c r="BO10" s="19"/>
      <c r="BP10" s="19"/>
      <c r="BQ10" s="44" t="s">
        <v>502</v>
      </c>
      <c r="BR10" s="44" t="s">
        <v>381</v>
      </c>
      <c r="BS10" s="44" t="s">
        <v>505</v>
      </c>
      <c r="BT10" s="44" t="s">
        <v>333</v>
      </c>
      <c r="BU10" s="44" t="s">
        <v>334</v>
      </c>
      <c r="BV10" s="44">
        <v>2</v>
      </c>
    </row>
    <row r="11" spans="1:92" x14ac:dyDescent="0.25">
      <c r="A11" s="19">
        <v>284</v>
      </c>
      <c r="B11" s="52" t="s">
        <v>299</v>
      </c>
      <c r="C11" s="20" t="s">
        <v>300</v>
      </c>
      <c r="D11" s="19">
        <v>93119305808</v>
      </c>
      <c r="E11" s="21">
        <v>44627</v>
      </c>
      <c r="F11" s="36">
        <v>44717</v>
      </c>
      <c r="G11" s="53">
        <v>44627</v>
      </c>
      <c r="H11" s="19" t="s">
        <v>290</v>
      </c>
      <c r="I11" s="19" t="s">
        <v>506</v>
      </c>
      <c r="J11" s="19" t="s">
        <v>507</v>
      </c>
      <c r="K11" s="19" t="s">
        <v>508</v>
      </c>
      <c r="L11" s="55" t="s">
        <v>509</v>
      </c>
      <c r="M11" s="19" t="s">
        <v>510</v>
      </c>
      <c r="N11" s="19" t="s">
        <v>511</v>
      </c>
      <c r="O11" s="19" t="s">
        <v>571</v>
      </c>
      <c r="P11" s="22">
        <v>34001</v>
      </c>
      <c r="Q11" s="19">
        <v>1</v>
      </c>
      <c r="R11" s="19">
        <v>2</v>
      </c>
      <c r="S11" s="19">
        <v>93</v>
      </c>
      <c r="T11" s="26">
        <v>32.276712328767125</v>
      </c>
      <c r="U11" s="19" t="s">
        <v>342</v>
      </c>
      <c r="V11" s="19" t="s">
        <v>512</v>
      </c>
      <c r="W11" s="19" t="s">
        <v>513</v>
      </c>
      <c r="X11" s="46" t="s">
        <v>514</v>
      </c>
      <c r="Y11" s="19" t="s">
        <v>183</v>
      </c>
      <c r="Z11" s="20" t="s">
        <v>311</v>
      </c>
      <c r="AA11" s="20" t="s">
        <v>497</v>
      </c>
      <c r="AB11" s="29">
        <v>18000</v>
      </c>
      <c r="AC11" s="29">
        <v>592.1052631578948</v>
      </c>
      <c r="AD11" s="27">
        <v>259</v>
      </c>
      <c r="AE11" s="47">
        <v>270.70679999999999</v>
      </c>
      <c r="AF11" s="20" t="s">
        <v>313</v>
      </c>
      <c r="AG11" s="20" t="s">
        <v>314</v>
      </c>
      <c r="AH11" s="20">
        <v>90</v>
      </c>
      <c r="AI11" s="20" t="s">
        <v>315</v>
      </c>
      <c r="AJ11" s="20" t="s">
        <v>290</v>
      </c>
      <c r="AK11" s="20" t="s">
        <v>316</v>
      </c>
      <c r="AL11" s="20" t="s">
        <v>317</v>
      </c>
      <c r="AM11" s="19" t="s">
        <v>318</v>
      </c>
      <c r="AN11" s="20" t="s">
        <v>319</v>
      </c>
      <c r="AO11" s="19">
        <v>1566565050</v>
      </c>
      <c r="AP11" s="20" t="s">
        <v>515</v>
      </c>
      <c r="AQ11" s="19" t="s">
        <v>516</v>
      </c>
      <c r="AR11" s="23" t="s">
        <v>517</v>
      </c>
      <c r="AS11" s="19" t="s">
        <v>518</v>
      </c>
      <c r="AT11" s="19" t="s">
        <v>381</v>
      </c>
      <c r="AU11" s="19" t="s">
        <v>519</v>
      </c>
      <c r="AV11" s="19">
        <v>2418111941</v>
      </c>
      <c r="AW11" s="19"/>
      <c r="AX11" s="19"/>
      <c r="AY11" s="19"/>
      <c r="AZ11" s="19"/>
      <c r="BA11" s="19"/>
      <c r="BB11" s="19"/>
      <c r="BC11" s="19" t="s">
        <v>328</v>
      </c>
      <c r="BD11" s="19" t="s">
        <v>357</v>
      </c>
      <c r="BE11" s="19" t="s">
        <v>330</v>
      </c>
      <c r="BF11" s="19"/>
      <c r="BG11" s="19"/>
      <c r="BH11" s="19"/>
      <c r="BI11" s="19"/>
      <c r="BJ11" s="20" t="s">
        <v>53</v>
      </c>
      <c r="BK11" s="53">
        <v>45759</v>
      </c>
      <c r="BL11" s="20" t="s">
        <v>56</v>
      </c>
      <c r="BM11" s="52" t="s">
        <v>520</v>
      </c>
      <c r="BN11" s="19" t="s">
        <v>1444</v>
      </c>
      <c r="BO11" s="19"/>
      <c r="BP11" s="19"/>
      <c r="BQ11" s="44" t="s">
        <v>518</v>
      </c>
      <c r="BR11" s="44" t="s">
        <v>381</v>
      </c>
      <c r="BS11" s="44" t="s">
        <v>521</v>
      </c>
      <c r="BT11" s="44" t="s">
        <v>333</v>
      </c>
      <c r="BU11" s="44" t="s">
        <v>334</v>
      </c>
      <c r="BV11" s="44">
        <v>3</v>
      </c>
    </row>
    <row r="12" spans="1:92" x14ac:dyDescent="0.25">
      <c r="A12" s="48">
        <v>326</v>
      </c>
      <c r="B12" s="44" t="s">
        <v>335</v>
      </c>
      <c r="C12" s="20" t="s">
        <v>116</v>
      </c>
      <c r="D12" s="20" t="s">
        <v>522</v>
      </c>
      <c r="E12" s="21">
        <v>44795</v>
      </c>
      <c r="F12" s="36">
        <v>44885</v>
      </c>
      <c r="G12" s="24">
        <v>44926</v>
      </c>
      <c r="H12" s="20" t="s">
        <v>291</v>
      </c>
      <c r="I12" s="20" t="s">
        <v>523</v>
      </c>
      <c r="J12" s="20" t="s">
        <v>524</v>
      </c>
      <c r="K12" s="20" t="s">
        <v>525</v>
      </c>
      <c r="L12" s="55" t="s">
        <v>526</v>
      </c>
      <c r="M12" s="20" t="s">
        <v>527</v>
      </c>
      <c r="N12" s="20" t="s">
        <v>528</v>
      </c>
      <c r="O12" s="20" t="s">
        <v>633</v>
      </c>
      <c r="P12" s="53">
        <v>32989</v>
      </c>
      <c r="Q12" s="20">
        <v>26</v>
      </c>
      <c r="R12" s="20">
        <v>4</v>
      </c>
      <c r="S12" s="20">
        <v>90</v>
      </c>
      <c r="T12" s="54">
        <v>35.049315068493151</v>
      </c>
      <c r="U12" s="20" t="s">
        <v>308</v>
      </c>
      <c r="V12" s="20" t="s">
        <v>529</v>
      </c>
      <c r="W12" s="20" t="s">
        <v>530</v>
      </c>
      <c r="X12" s="46" t="s">
        <v>219</v>
      </c>
      <c r="Y12" s="20" t="s">
        <v>531</v>
      </c>
      <c r="Z12" s="20" t="s">
        <v>532</v>
      </c>
      <c r="AA12" s="20" t="s">
        <v>533</v>
      </c>
      <c r="AB12" s="29">
        <v>9000</v>
      </c>
      <c r="AC12" s="29">
        <v>296.0526315789474</v>
      </c>
      <c r="AD12" s="27">
        <v>259</v>
      </c>
      <c r="AE12" s="47">
        <v>270.70679999999999</v>
      </c>
      <c r="AF12" s="20" t="s">
        <v>313</v>
      </c>
      <c r="AG12" s="19" t="s">
        <v>314</v>
      </c>
      <c r="AH12" s="20">
        <v>90</v>
      </c>
      <c r="AI12" s="20" t="s">
        <v>350</v>
      </c>
      <c r="AJ12" s="20" t="s">
        <v>291</v>
      </c>
      <c r="AK12" s="20" t="s">
        <v>351</v>
      </c>
      <c r="AL12" s="20" t="s">
        <v>317</v>
      </c>
      <c r="AM12" s="20" t="s">
        <v>318</v>
      </c>
      <c r="AN12" s="19" t="s">
        <v>319</v>
      </c>
      <c r="AO12" s="20">
        <v>2724458680</v>
      </c>
      <c r="AP12" s="20" t="s">
        <v>534</v>
      </c>
      <c r="AQ12" s="20" t="s">
        <v>535</v>
      </c>
      <c r="AR12" s="20" t="s">
        <v>536</v>
      </c>
      <c r="AS12" s="20" t="s">
        <v>537</v>
      </c>
      <c r="AT12" s="20" t="s">
        <v>325</v>
      </c>
      <c r="AU12" s="20" t="s">
        <v>538</v>
      </c>
      <c r="AV12" s="19" t="s">
        <v>480</v>
      </c>
      <c r="AW12" s="53"/>
      <c r="AX12" s="20"/>
      <c r="AY12" s="20"/>
      <c r="AZ12" s="20"/>
      <c r="BA12" s="20"/>
      <c r="BB12" s="20"/>
      <c r="BC12" s="48"/>
      <c r="BD12" s="48" t="s">
        <v>357</v>
      </c>
      <c r="BE12" s="19" t="s">
        <v>330</v>
      </c>
      <c r="BF12" s="20" t="s">
        <v>484</v>
      </c>
      <c r="BG12" s="20" t="s">
        <v>539</v>
      </c>
      <c r="BH12" s="53" t="s">
        <v>540</v>
      </c>
      <c r="BI12" s="20" t="s">
        <v>533</v>
      </c>
      <c r="BJ12" s="20" t="s">
        <v>53</v>
      </c>
      <c r="BK12" s="53">
        <v>45762</v>
      </c>
      <c r="BL12" s="20" t="s">
        <v>541</v>
      </c>
      <c r="BM12" s="52" t="s">
        <v>542</v>
      </c>
      <c r="BN12" s="19" t="s">
        <v>1444</v>
      </c>
      <c r="BO12" s="48"/>
      <c r="BP12" s="48"/>
      <c r="BQ12" s="52" t="s">
        <v>537</v>
      </c>
      <c r="BR12" s="52" t="s">
        <v>325</v>
      </c>
      <c r="BS12" s="52" t="s">
        <v>543</v>
      </c>
      <c r="BT12" s="52" t="s">
        <v>333</v>
      </c>
      <c r="BU12" s="52" t="s">
        <v>544</v>
      </c>
      <c r="BV12" s="52">
        <v>0</v>
      </c>
    </row>
    <row r="13" spans="1:92" x14ac:dyDescent="0.25">
      <c r="A13" s="19">
        <v>401</v>
      </c>
      <c r="B13" s="52" t="s">
        <v>335</v>
      </c>
      <c r="C13" s="20" t="s">
        <v>545</v>
      </c>
      <c r="D13" s="19">
        <v>14109265471</v>
      </c>
      <c r="E13" s="21">
        <v>44949</v>
      </c>
      <c r="F13" s="36">
        <v>45039</v>
      </c>
      <c r="G13" s="53">
        <v>44949</v>
      </c>
      <c r="H13" s="19" t="s">
        <v>290</v>
      </c>
      <c r="I13" s="19" t="s">
        <v>546</v>
      </c>
      <c r="J13" s="19" t="s">
        <v>507</v>
      </c>
      <c r="K13" s="19" t="s">
        <v>547</v>
      </c>
      <c r="L13" s="55" t="s">
        <v>548</v>
      </c>
      <c r="M13" s="19" t="s">
        <v>549</v>
      </c>
      <c r="N13" s="19" t="s">
        <v>550</v>
      </c>
      <c r="O13" s="19" t="s">
        <v>571</v>
      </c>
      <c r="P13" s="22">
        <v>33938</v>
      </c>
      <c r="Q13" s="19">
        <v>3</v>
      </c>
      <c r="R13" s="19">
        <v>11</v>
      </c>
      <c r="S13" s="19">
        <v>92</v>
      </c>
      <c r="T13" s="54">
        <v>32.449315068493149</v>
      </c>
      <c r="U13" s="19" t="s">
        <v>452</v>
      </c>
      <c r="V13" s="19" t="s">
        <v>551</v>
      </c>
      <c r="W13" s="19" t="s">
        <v>454</v>
      </c>
      <c r="X13" s="46" t="s">
        <v>552</v>
      </c>
      <c r="Y13" s="20" t="s">
        <v>241</v>
      </c>
      <c r="Z13" s="20" t="s">
        <v>532</v>
      </c>
      <c r="AA13" s="20" t="s">
        <v>553</v>
      </c>
      <c r="AB13" s="29">
        <v>13224</v>
      </c>
      <c r="AC13" s="29">
        <v>435</v>
      </c>
      <c r="AD13" s="27">
        <v>435</v>
      </c>
      <c r="AE13" s="47"/>
      <c r="AF13" s="20" t="s">
        <v>313</v>
      </c>
      <c r="AG13" s="20" t="s">
        <v>314</v>
      </c>
      <c r="AH13" s="20">
        <v>90</v>
      </c>
      <c r="AI13" s="19" t="s">
        <v>554</v>
      </c>
      <c r="AJ13" s="19" t="s">
        <v>290</v>
      </c>
      <c r="AK13" s="19" t="s">
        <v>555</v>
      </c>
      <c r="AL13" s="20" t="s">
        <v>317</v>
      </c>
      <c r="AM13" s="19" t="s">
        <v>318</v>
      </c>
      <c r="AN13" s="19" t="s">
        <v>319</v>
      </c>
      <c r="AO13" s="20">
        <v>2972435764</v>
      </c>
      <c r="AP13" s="19" t="s">
        <v>556</v>
      </c>
      <c r="AQ13" s="19" t="s">
        <v>557</v>
      </c>
      <c r="AR13" s="23" t="s">
        <v>558</v>
      </c>
      <c r="AS13" s="19" t="s">
        <v>559</v>
      </c>
      <c r="AT13" s="19" t="s">
        <v>560</v>
      </c>
      <c r="AU13" s="19" t="s">
        <v>561</v>
      </c>
      <c r="AV13" s="19" t="s">
        <v>480</v>
      </c>
      <c r="AW13" s="19"/>
      <c r="AX13" s="19"/>
      <c r="AY13" s="19"/>
      <c r="AZ13" s="19"/>
      <c r="BA13" s="19"/>
      <c r="BB13" s="19"/>
      <c r="BC13" s="19" t="s">
        <v>357</v>
      </c>
      <c r="BD13" s="19" t="s">
        <v>357</v>
      </c>
      <c r="BE13" s="19" t="s">
        <v>330</v>
      </c>
      <c r="BF13" s="19"/>
      <c r="BG13" s="19"/>
      <c r="BH13" s="55"/>
      <c r="BI13" s="55"/>
      <c r="BJ13" s="20" t="s">
        <v>53</v>
      </c>
      <c r="BK13" s="53">
        <v>45701</v>
      </c>
      <c r="BL13" s="20" t="s">
        <v>56</v>
      </c>
      <c r="BM13" s="52" t="s">
        <v>421</v>
      </c>
      <c r="BN13" s="19" t="s">
        <v>1444</v>
      </c>
      <c r="BO13" s="19"/>
      <c r="BP13" s="19"/>
      <c r="BQ13" s="44" t="s">
        <v>559</v>
      </c>
      <c r="BR13" s="44" t="s">
        <v>560</v>
      </c>
      <c r="BS13" s="44" t="s">
        <v>562</v>
      </c>
      <c r="BT13" s="44" t="s">
        <v>333</v>
      </c>
      <c r="BU13" s="44" t="s">
        <v>563</v>
      </c>
      <c r="BV13" s="44">
        <v>1</v>
      </c>
    </row>
    <row r="14" spans="1:92" x14ac:dyDescent="0.25">
      <c r="A14" s="19">
        <v>524</v>
      </c>
      <c r="B14" s="44" t="s">
        <v>564</v>
      </c>
      <c r="C14" s="20" t="s">
        <v>565</v>
      </c>
      <c r="D14" s="31" t="s">
        <v>566</v>
      </c>
      <c r="E14" s="21">
        <v>45427</v>
      </c>
      <c r="F14" s="36">
        <v>45517</v>
      </c>
      <c r="G14" s="53">
        <v>45427</v>
      </c>
      <c r="H14" s="19" t="s">
        <v>290</v>
      </c>
      <c r="I14" s="19" t="s">
        <v>366</v>
      </c>
      <c r="J14" s="19" t="s">
        <v>447</v>
      </c>
      <c r="K14" s="19" t="s">
        <v>567</v>
      </c>
      <c r="L14" s="55" t="s">
        <v>568</v>
      </c>
      <c r="M14" s="19" t="s">
        <v>569</v>
      </c>
      <c r="N14" s="19" t="s">
        <v>570</v>
      </c>
      <c r="O14" s="19" t="s">
        <v>571</v>
      </c>
      <c r="P14" s="22">
        <v>37128</v>
      </c>
      <c r="Q14" s="20">
        <v>25</v>
      </c>
      <c r="R14" s="20">
        <v>8</v>
      </c>
      <c r="S14" s="20" t="s">
        <v>572</v>
      </c>
      <c r="T14" s="26">
        <v>23</v>
      </c>
      <c r="U14" s="20" t="s">
        <v>389</v>
      </c>
      <c r="V14" s="19" t="s">
        <v>573</v>
      </c>
      <c r="W14" s="20" t="s">
        <v>454</v>
      </c>
      <c r="X14" s="46" t="s">
        <v>552</v>
      </c>
      <c r="Y14" s="20" t="s">
        <v>260</v>
      </c>
      <c r="Z14" s="20" t="s">
        <v>532</v>
      </c>
      <c r="AA14" s="20" t="s">
        <v>574</v>
      </c>
      <c r="AB14" s="29">
        <v>14258</v>
      </c>
      <c r="AC14" s="29">
        <v>469.01315789473688</v>
      </c>
      <c r="AD14" s="27">
        <v>475.27</v>
      </c>
      <c r="AE14" s="47">
        <v>498.70081099999993</v>
      </c>
      <c r="AF14" s="20" t="s">
        <v>313</v>
      </c>
      <c r="AG14" s="20" t="s">
        <v>314</v>
      </c>
      <c r="AH14" s="20">
        <v>90</v>
      </c>
      <c r="AI14" s="19" t="s">
        <v>350</v>
      </c>
      <c r="AJ14" s="20" t="s">
        <v>290</v>
      </c>
      <c r="AK14" s="19" t="s">
        <v>575</v>
      </c>
      <c r="AL14" s="20" t="s">
        <v>317</v>
      </c>
      <c r="AM14" s="20" t="s">
        <v>318</v>
      </c>
      <c r="AN14" s="20" t="s">
        <v>319</v>
      </c>
      <c r="AO14" s="19">
        <v>1572987241</v>
      </c>
      <c r="AP14" s="30" t="s">
        <v>576</v>
      </c>
      <c r="AQ14" s="19" t="s">
        <v>577</v>
      </c>
      <c r="AR14" s="23" t="s">
        <v>578</v>
      </c>
      <c r="AS14" s="19" t="s">
        <v>579</v>
      </c>
      <c r="AT14" s="28" t="s">
        <v>325</v>
      </c>
      <c r="AU14" s="55"/>
      <c r="AV14" s="20" t="s">
        <v>480</v>
      </c>
      <c r="AW14" s="20" t="s">
        <v>580</v>
      </c>
      <c r="AX14" s="19">
        <v>6</v>
      </c>
      <c r="AY14" s="20" t="s">
        <v>581</v>
      </c>
      <c r="AZ14" s="20" t="s">
        <v>582</v>
      </c>
      <c r="BA14" s="20" t="s">
        <v>583</v>
      </c>
      <c r="BB14" s="30">
        <v>45640</v>
      </c>
      <c r="BC14" s="19" t="s">
        <v>357</v>
      </c>
      <c r="BD14" s="19" t="s">
        <v>357</v>
      </c>
      <c r="BE14" s="19"/>
      <c r="BF14" s="55" t="s">
        <v>484</v>
      </c>
      <c r="BG14" s="55" t="s">
        <v>584</v>
      </c>
      <c r="BH14" s="55"/>
      <c r="BI14" s="55"/>
      <c r="BJ14" s="20" t="s">
        <v>53</v>
      </c>
      <c r="BK14" s="53">
        <v>45705</v>
      </c>
      <c r="BL14" s="20" t="s">
        <v>56</v>
      </c>
      <c r="BM14" s="52" t="s">
        <v>585</v>
      </c>
      <c r="BN14" s="19" t="s">
        <v>1444</v>
      </c>
      <c r="BO14" s="19"/>
      <c r="BP14" s="19"/>
      <c r="BQ14" s="44" t="s">
        <v>579</v>
      </c>
      <c r="BR14" s="44" t="s">
        <v>325</v>
      </c>
      <c r="BS14" s="44" t="s">
        <v>586</v>
      </c>
      <c r="BT14" s="44" t="s">
        <v>333</v>
      </c>
      <c r="BU14" s="44" t="s">
        <v>334</v>
      </c>
      <c r="BV14" s="44">
        <v>0</v>
      </c>
    </row>
    <row r="15" spans="1:92" x14ac:dyDescent="0.25">
      <c r="A15" s="19">
        <v>538</v>
      </c>
      <c r="B15" s="44" t="s">
        <v>363</v>
      </c>
      <c r="C15" s="20" t="s">
        <v>587</v>
      </c>
      <c r="D15" s="19" t="s">
        <v>588</v>
      </c>
      <c r="E15" s="21">
        <v>45251</v>
      </c>
      <c r="F15" s="36">
        <v>45341</v>
      </c>
      <c r="G15" s="53">
        <v>45251</v>
      </c>
      <c r="H15" s="20" t="s">
        <v>290</v>
      </c>
      <c r="I15" s="20" t="s">
        <v>589</v>
      </c>
      <c r="J15" s="20" t="s">
        <v>590</v>
      </c>
      <c r="K15" s="20" t="s">
        <v>591</v>
      </c>
      <c r="L15" s="55" t="s">
        <v>592</v>
      </c>
      <c r="M15" s="20" t="s">
        <v>593</v>
      </c>
      <c r="N15" s="20" t="s">
        <v>594</v>
      </c>
      <c r="O15" s="20" t="s">
        <v>571</v>
      </c>
      <c r="P15" s="22">
        <v>30179</v>
      </c>
      <c r="Q15" s="19">
        <v>16</v>
      </c>
      <c r="R15" s="19">
        <v>8</v>
      </c>
      <c r="S15" s="19">
        <v>82</v>
      </c>
      <c r="T15" s="19">
        <v>41</v>
      </c>
      <c r="U15" s="19" t="s">
        <v>452</v>
      </c>
      <c r="V15" s="20" t="s">
        <v>595</v>
      </c>
      <c r="W15" s="20" t="s">
        <v>472</v>
      </c>
      <c r="X15" s="46" t="s">
        <v>391</v>
      </c>
      <c r="Y15" s="20" t="s">
        <v>99</v>
      </c>
      <c r="Z15" s="20" t="s">
        <v>392</v>
      </c>
      <c r="AA15" s="20" t="s">
        <v>596</v>
      </c>
      <c r="AB15" s="29">
        <v>8208</v>
      </c>
      <c r="AC15" s="29">
        <v>270</v>
      </c>
      <c r="AD15" s="27">
        <v>270</v>
      </c>
      <c r="AE15" s="47">
        <v>283.31099999999998</v>
      </c>
      <c r="AF15" s="20" t="s">
        <v>313</v>
      </c>
      <c r="AG15" s="20" t="s">
        <v>314</v>
      </c>
      <c r="AH15" s="20">
        <v>90</v>
      </c>
      <c r="AI15" s="20" t="s">
        <v>597</v>
      </c>
      <c r="AJ15" s="20" t="s">
        <v>290</v>
      </c>
      <c r="AK15" s="20" t="s">
        <v>598</v>
      </c>
      <c r="AL15" s="20" t="s">
        <v>317</v>
      </c>
      <c r="AM15" s="20" t="s">
        <v>318</v>
      </c>
      <c r="AN15" s="20" t="s">
        <v>319</v>
      </c>
      <c r="AO15" s="28"/>
      <c r="AP15" s="28"/>
      <c r="AQ15" s="20" t="s">
        <v>599</v>
      </c>
      <c r="AR15" s="23" t="s">
        <v>600</v>
      </c>
      <c r="AS15" s="20" t="s">
        <v>601</v>
      </c>
      <c r="AT15" s="20" t="s">
        <v>602</v>
      </c>
      <c r="AU15" s="20" t="s">
        <v>603</v>
      </c>
      <c r="AV15" s="20" t="s">
        <v>604</v>
      </c>
      <c r="AW15" s="20" t="s">
        <v>605</v>
      </c>
      <c r="AX15" s="20">
        <v>6730</v>
      </c>
      <c r="AY15" s="19" t="s">
        <v>328</v>
      </c>
      <c r="AZ15" s="20" t="s">
        <v>606</v>
      </c>
      <c r="BA15" s="20" t="s">
        <v>583</v>
      </c>
      <c r="BB15" s="20">
        <v>45618</v>
      </c>
      <c r="BC15" s="25" t="s">
        <v>329</v>
      </c>
      <c r="BD15" s="25" t="s">
        <v>329</v>
      </c>
      <c r="BE15" s="19" t="s">
        <v>357</v>
      </c>
      <c r="BF15" s="55"/>
      <c r="BG15" s="55"/>
      <c r="BH15" s="55"/>
      <c r="BI15" s="55"/>
      <c r="BJ15" s="20" t="s">
        <v>53</v>
      </c>
      <c r="BK15" s="53">
        <v>45681</v>
      </c>
      <c r="BL15" s="20" t="s">
        <v>56</v>
      </c>
      <c r="BM15" s="52" t="s">
        <v>607</v>
      </c>
      <c r="BN15" s="19" t="s">
        <v>1444</v>
      </c>
      <c r="BO15" s="19"/>
      <c r="BP15" s="19"/>
      <c r="BQ15" s="52" t="s">
        <v>601</v>
      </c>
      <c r="BR15" s="52" t="s">
        <v>602</v>
      </c>
      <c r="BS15" s="52" t="s">
        <v>608</v>
      </c>
      <c r="BT15" s="52" t="s">
        <v>609</v>
      </c>
      <c r="BU15" s="44" t="s">
        <v>334</v>
      </c>
      <c r="BV15" s="52">
        <v>3</v>
      </c>
    </row>
    <row r="16" spans="1:92" x14ac:dyDescent="0.25">
      <c r="A16" s="19">
        <v>597</v>
      </c>
      <c r="B16" s="44" t="s">
        <v>564</v>
      </c>
      <c r="C16" s="20" t="s">
        <v>565</v>
      </c>
      <c r="D16" s="31">
        <v>30190217817</v>
      </c>
      <c r="E16" s="21">
        <v>45331</v>
      </c>
      <c r="F16" s="36">
        <v>45421</v>
      </c>
      <c r="G16" s="53">
        <v>45331</v>
      </c>
      <c r="H16" s="20" t="s">
        <v>290</v>
      </c>
      <c r="I16" s="20" t="s">
        <v>610</v>
      </c>
      <c r="J16" s="20" t="s">
        <v>611</v>
      </c>
      <c r="K16" s="20" t="s">
        <v>612</v>
      </c>
      <c r="L16" s="55" t="s">
        <v>613</v>
      </c>
      <c r="M16" s="20" t="s">
        <v>614</v>
      </c>
      <c r="N16" s="20" t="s">
        <v>615</v>
      </c>
      <c r="O16" s="20" t="s">
        <v>571</v>
      </c>
      <c r="P16" s="22">
        <v>37514</v>
      </c>
      <c r="Q16" s="20">
        <v>15</v>
      </c>
      <c r="R16" s="20">
        <v>9</v>
      </c>
      <c r="S16" s="20">
        <v>2</v>
      </c>
      <c r="T16" s="19">
        <v>21</v>
      </c>
      <c r="U16" s="20" t="s">
        <v>389</v>
      </c>
      <c r="V16" s="20" t="s">
        <v>616</v>
      </c>
      <c r="W16" s="20" t="s">
        <v>472</v>
      </c>
      <c r="X16" s="46" t="s">
        <v>617</v>
      </c>
      <c r="Y16" s="20" t="s">
        <v>260</v>
      </c>
      <c r="Z16" s="20" t="s">
        <v>532</v>
      </c>
      <c r="AA16" s="20" t="s">
        <v>574</v>
      </c>
      <c r="AB16" s="29">
        <v>8451</v>
      </c>
      <c r="AC16" s="29">
        <v>277.99342105263162</v>
      </c>
      <c r="AD16" s="27">
        <v>278</v>
      </c>
      <c r="AE16" s="47">
        <v>291.7054</v>
      </c>
      <c r="AF16" s="20" t="s">
        <v>313</v>
      </c>
      <c r="AG16" s="20" t="s">
        <v>314</v>
      </c>
      <c r="AH16" s="20">
        <v>90</v>
      </c>
      <c r="AI16" s="20" t="s">
        <v>350</v>
      </c>
      <c r="AJ16" s="20" t="s">
        <v>290</v>
      </c>
      <c r="AK16" s="19" t="s">
        <v>575</v>
      </c>
      <c r="AL16" s="20" t="s">
        <v>317</v>
      </c>
      <c r="AM16" s="20" t="s">
        <v>318</v>
      </c>
      <c r="AN16" s="20" t="s">
        <v>319</v>
      </c>
      <c r="AO16" s="19">
        <v>1509534620</v>
      </c>
      <c r="AP16" s="31" t="s">
        <v>618</v>
      </c>
      <c r="AQ16" s="20" t="s">
        <v>619</v>
      </c>
      <c r="AR16" s="23" t="s">
        <v>620</v>
      </c>
      <c r="AS16" s="20" t="s">
        <v>621</v>
      </c>
      <c r="AT16" s="19" t="s">
        <v>622</v>
      </c>
      <c r="AU16" s="61">
        <v>30791</v>
      </c>
      <c r="AV16" s="20" t="s">
        <v>480</v>
      </c>
      <c r="AW16" s="20" t="s">
        <v>623</v>
      </c>
      <c r="AX16" s="20">
        <v>13</v>
      </c>
      <c r="AY16" s="20" t="s">
        <v>362</v>
      </c>
      <c r="AZ16" s="20" t="s">
        <v>624</v>
      </c>
      <c r="BA16" s="20" t="s">
        <v>583</v>
      </c>
      <c r="BB16" s="30">
        <v>45696</v>
      </c>
      <c r="BC16" s="19" t="s">
        <v>357</v>
      </c>
      <c r="BD16" s="19" t="s">
        <v>357</v>
      </c>
      <c r="BE16" s="33" t="s">
        <v>357</v>
      </c>
      <c r="BF16" s="55"/>
      <c r="BG16" s="55"/>
      <c r="BH16" s="55"/>
      <c r="BI16" s="55"/>
      <c r="BJ16" s="20" t="s">
        <v>53</v>
      </c>
      <c r="BK16" s="53">
        <v>45321</v>
      </c>
      <c r="BL16" s="20" t="s">
        <v>625</v>
      </c>
      <c r="BM16" s="52" t="s">
        <v>626</v>
      </c>
      <c r="BN16" s="19" t="s">
        <v>1444</v>
      </c>
      <c r="BO16" s="19"/>
      <c r="BP16" s="19"/>
      <c r="BQ16" s="52" t="s">
        <v>621</v>
      </c>
      <c r="BR16" s="44" t="s">
        <v>622</v>
      </c>
      <c r="BS16" s="44" t="s">
        <v>627</v>
      </c>
      <c r="BT16" s="44" t="s">
        <v>333</v>
      </c>
      <c r="BU16" s="44" t="s">
        <v>334</v>
      </c>
      <c r="BV16" s="44">
        <v>0</v>
      </c>
    </row>
    <row r="17" spans="1:74" x14ac:dyDescent="0.25">
      <c r="A17" s="19">
        <v>612</v>
      </c>
      <c r="B17" s="44" t="s">
        <v>564</v>
      </c>
      <c r="C17" s="20" t="s">
        <v>565</v>
      </c>
      <c r="D17" s="19">
        <v>13130036638</v>
      </c>
      <c r="E17" s="21">
        <v>45348</v>
      </c>
      <c r="F17" s="36">
        <v>45438</v>
      </c>
      <c r="G17" s="53">
        <v>45348</v>
      </c>
      <c r="H17" s="19" t="s">
        <v>291</v>
      </c>
      <c r="I17" s="19" t="s">
        <v>366</v>
      </c>
      <c r="J17" s="19" t="s">
        <v>628</v>
      </c>
      <c r="K17" s="19" t="s">
        <v>629</v>
      </c>
      <c r="L17" s="55" t="s">
        <v>630</v>
      </c>
      <c r="M17" s="19" t="s">
        <v>631</v>
      </c>
      <c r="N17" s="19" t="s">
        <v>632</v>
      </c>
      <c r="O17" s="19" t="s">
        <v>633</v>
      </c>
      <c r="P17" s="22">
        <v>36847</v>
      </c>
      <c r="Q17" s="20">
        <v>17</v>
      </c>
      <c r="R17" s="20">
        <v>11</v>
      </c>
      <c r="S17" s="20">
        <v>0</v>
      </c>
      <c r="T17" s="26">
        <v>23</v>
      </c>
      <c r="U17" s="20" t="s">
        <v>308</v>
      </c>
      <c r="V17" s="19" t="s">
        <v>634</v>
      </c>
      <c r="W17" s="19" t="s">
        <v>310</v>
      </c>
      <c r="X17" s="46" t="s">
        <v>262</v>
      </c>
      <c r="Y17" s="19" t="s">
        <v>635</v>
      </c>
      <c r="Z17" s="19" t="s">
        <v>636</v>
      </c>
      <c r="AA17" s="19" t="s">
        <v>637</v>
      </c>
      <c r="AB17" s="29">
        <v>10000</v>
      </c>
      <c r="AC17" s="29">
        <v>328.94736842105266</v>
      </c>
      <c r="AD17" s="27">
        <v>259</v>
      </c>
      <c r="AE17" s="47">
        <v>271.76869999999997</v>
      </c>
      <c r="AF17" s="20" t="s">
        <v>313</v>
      </c>
      <c r="AG17" s="20" t="s">
        <v>314</v>
      </c>
      <c r="AH17" s="19">
        <v>90</v>
      </c>
      <c r="AI17" s="20" t="s">
        <v>350</v>
      </c>
      <c r="AJ17" s="20" t="s">
        <v>291</v>
      </c>
      <c r="AK17" s="19" t="s">
        <v>575</v>
      </c>
      <c r="AL17" s="20" t="s">
        <v>317</v>
      </c>
      <c r="AM17" s="20" t="s">
        <v>318</v>
      </c>
      <c r="AN17" s="20" t="s">
        <v>319</v>
      </c>
      <c r="AO17" s="19">
        <v>1580698730</v>
      </c>
      <c r="AP17" s="31" t="s">
        <v>638</v>
      </c>
      <c r="AQ17" s="19" t="s">
        <v>639</v>
      </c>
      <c r="AR17" s="23" t="s">
        <v>640</v>
      </c>
      <c r="AS17" s="19" t="s">
        <v>641</v>
      </c>
      <c r="AT17" s="19" t="s">
        <v>325</v>
      </c>
      <c r="AU17" s="55"/>
      <c r="AV17" s="20" t="s">
        <v>480</v>
      </c>
      <c r="AW17" s="20" t="s">
        <v>642</v>
      </c>
      <c r="AX17" s="20" t="s">
        <v>642</v>
      </c>
      <c r="AY17" s="20" t="s">
        <v>642</v>
      </c>
      <c r="AZ17" s="20" t="s">
        <v>582</v>
      </c>
      <c r="BA17" s="20" t="s">
        <v>583</v>
      </c>
      <c r="BB17" s="30">
        <v>45645</v>
      </c>
      <c r="BC17" s="19" t="s">
        <v>357</v>
      </c>
      <c r="BD17" s="19" t="s">
        <v>357</v>
      </c>
      <c r="BE17" s="33" t="s">
        <v>357</v>
      </c>
      <c r="BF17" s="55"/>
      <c r="BG17" s="55"/>
      <c r="BH17" s="55"/>
      <c r="BI17" s="55"/>
      <c r="BJ17" s="20" t="s">
        <v>53</v>
      </c>
      <c r="BK17" s="53">
        <v>45745</v>
      </c>
      <c r="BL17" s="20" t="s">
        <v>56</v>
      </c>
      <c r="BM17" s="52" t="s">
        <v>643</v>
      </c>
      <c r="BN17" s="19" t="s">
        <v>1444</v>
      </c>
      <c r="BO17" s="19"/>
      <c r="BP17" s="19"/>
      <c r="BQ17" s="44" t="s">
        <v>644</v>
      </c>
      <c r="BR17" s="44" t="s">
        <v>325</v>
      </c>
      <c r="BS17" s="44" t="s">
        <v>645</v>
      </c>
      <c r="BT17" s="44" t="s">
        <v>444</v>
      </c>
      <c r="BU17" s="44" t="s">
        <v>646</v>
      </c>
      <c r="BV17" s="44">
        <v>0</v>
      </c>
    </row>
    <row r="18" spans="1:74" x14ac:dyDescent="0.25">
      <c r="A18" s="19">
        <v>630</v>
      </c>
      <c r="B18" s="52" t="s">
        <v>363</v>
      </c>
      <c r="C18" s="20" t="s">
        <v>587</v>
      </c>
      <c r="D18" s="31" t="s">
        <v>647</v>
      </c>
      <c r="E18" s="21">
        <v>45469</v>
      </c>
      <c r="F18" s="36">
        <v>45649</v>
      </c>
      <c r="G18" s="53">
        <v>45469</v>
      </c>
      <c r="H18" s="19" t="s">
        <v>290</v>
      </c>
      <c r="I18" s="19" t="s">
        <v>648</v>
      </c>
      <c r="J18" s="19" t="s">
        <v>649</v>
      </c>
      <c r="K18" s="19" t="s">
        <v>650</v>
      </c>
      <c r="L18" s="55" t="s">
        <v>651</v>
      </c>
      <c r="M18" s="19" t="s">
        <v>652</v>
      </c>
      <c r="N18" s="19" t="s">
        <v>653</v>
      </c>
      <c r="O18" s="19" t="s">
        <v>571</v>
      </c>
      <c r="P18" s="22">
        <v>34485</v>
      </c>
      <c r="Q18" s="20">
        <v>30</v>
      </c>
      <c r="R18" s="20">
        <v>5</v>
      </c>
      <c r="S18" s="20">
        <v>94</v>
      </c>
      <c r="T18" s="26">
        <v>29</v>
      </c>
      <c r="U18" s="20" t="s">
        <v>342</v>
      </c>
      <c r="V18" s="19" t="s">
        <v>654</v>
      </c>
      <c r="W18" s="20" t="s">
        <v>454</v>
      </c>
      <c r="X18" s="59" t="s">
        <v>391</v>
      </c>
      <c r="Y18" s="20" t="s">
        <v>99</v>
      </c>
      <c r="Z18" s="20" t="s">
        <v>392</v>
      </c>
      <c r="AA18" s="20" t="s">
        <v>596</v>
      </c>
      <c r="AB18" s="29">
        <v>8700.48</v>
      </c>
      <c r="AC18" s="29">
        <v>286.2</v>
      </c>
      <c r="AD18" s="27">
        <v>286.2</v>
      </c>
      <c r="AE18" s="47">
        <v>300.30965999999995</v>
      </c>
      <c r="AF18" s="20" t="s">
        <v>313</v>
      </c>
      <c r="AG18" s="20" t="s">
        <v>314</v>
      </c>
      <c r="AH18" s="20">
        <v>180</v>
      </c>
      <c r="AI18" s="20" t="s">
        <v>597</v>
      </c>
      <c r="AJ18" s="20" t="s">
        <v>290</v>
      </c>
      <c r="AK18" s="20" t="s">
        <v>598</v>
      </c>
      <c r="AL18" s="20" t="s">
        <v>317</v>
      </c>
      <c r="AM18" s="20" t="s">
        <v>318</v>
      </c>
      <c r="AN18" s="20" t="s">
        <v>319</v>
      </c>
      <c r="AO18" s="19">
        <v>1508798608</v>
      </c>
      <c r="AP18" s="31" t="s">
        <v>655</v>
      </c>
      <c r="AQ18" s="19" t="s">
        <v>656</v>
      </c>
      <c r="AR18" s="23" t="s">
        <v>657</v>
      </c>
      <c r="AS18" s="19" t="s">
        <v>658</v>
      </c>
      <c r="AT18" s="28" t="s">
        <v>560</v>
      </c>
      <c r="AU18" s="55"/>
      <c r="AV18" s="20" t="s">
        <v>480</v>
      </c>
      <c r="AW18" s="20" t="s">
        <v>659</v>
      </c>
      <c r="AX18" s="20">
        <v>43</v>
      </c>
      <c r="AY18" s="20" t="s">
        <v>328</v>
      </c>
      <c r="AZ18" s="20" t="s">
        <v>660</v>
      </c>
      <c r="BA18" s="20" t="s">
        <v>583</v>
      </c>
      <c r="BB18" s="30">
        <v>48930</v>
      </c>
      <c r="BC18" s="25" t="s">
        <v>329</v>
      </c>
      <c r="BD18" s="19"/>
      <c r="BE18" s="25" t="s">
        <v>329</v>
      </c>
      <c r="BF18" s="55"/>
      <c r="BG18" s="55"/>
      <c r="BH18" s="55"/>
      <c r="BI18" s="55"/>
      <c r="BJ18" s="20" t="s">
        <v>53</v>
      </c>
      <c r="BK18" s="53">
        <v>45712</v>
      </c>
      <c r="BL18" s="20" t="s">
        <v>584</v>
      </c>
      <c r="BM18" s="52" t="s">
        <v>661</v>
      </c>
      <c r="BN18" s="19" t="s">
        <v>1444</v>
      </c>
      <c r="BO18" s="19"/>
      <c r="BP18" s="19"/>
      <c r="BQ18" s="44" t="s">
        <v>658</v>
      </c>
      <c r="BR18" s="44" t="s">
        <v>560</v>
      </c>
      <c r="BS18" s="44" t="s">
        <v>662</v>
      </c>
      <c r="BT18" s="44" t="s">
        <v>444</v>
      </c>
      <c r="BU18" s="44" t="s">
        <v>334</v>
      </c>
      <c r="BV18" s="44">
        <v>2</v>
      </c>
    </row>
    <row r="19" spans="1:74" x14ac:dyDescent="0.25">
      <c r="A19" s="19">
        <v>640</v>
      </c>
      <c r="B19" s="52" t="s">
        <v>335</v>
      </c>
      <c r="C19" s="20" t="s">
        <v>133</v>
      </c>
      <c r="D19" s="19">
        <v>43937840890</v>
      </c>
      <c r="E19" s="21">
        <v>45404</v>
      </c>
      <c r="F19" s="36">
        <v>45494</v>
      </c>
      <c r="G19" s="53">
        <v>45404</v>
      </c>
      <c r="H19" s="19" t="s">
        <v>290</v>
      </c>
      <c r="I19" s="19" t="s">
        <v>663</v>
      </c>
      <c r="J19" s="19" t="s">
        <v>664</v>
      </c>
      <c r="K19" s="19" t="s">
        <v>665</v>
      </c>
      <c r="L19" s="55" t="s">
        <v>666</v>
      </c>
      <c r="M19" s="19" t="s">
        <v>667</v>
      </c>
      <c r="N19" s="19" t="s">
        <v>668</v>
      </c>
      <c r="O19" s="19" t="s">
        <v>571</v>
      </c>
      <c r="P19" s="22">
        <v>28602</v>
      </c>
      <c r="Q19" s="20">
        <v>22</v>
      </c>
      <c r="R19" s="20">
        <v>4</v>
      </c>
      <c r="S19" s="20">
        <v>78</v>
      </c>
      <c r="T19" s="26">
        <v>45</v>
      </c>
      <c r="U19" s="20" t="s">
        <v>389</v>
      </c>
      <c r="V19" s="19" t="s">
        <v>669</v>
      </c>
      <c r="W19" s="20" t="s">
        <v>472</v>
      </c>
      <c r="X19" s="46" t="s">
        <v>345</v>
      </c>
      <c r="Y19" s="20" t="s">
        <v>136</v>
      </c>
      <c r="Z19" s="20" t="s">
        <v>347</v>
      </c>
      <c r="AA19" s="20" t="s">
        <v>670</v>
      </c>
      <c r="AB19" s="29">
        <v>12038</v>
      </c>
      <c r="AC19" s="29">
        <v>395.98684210526318</v>
      </c>
      <c r="AD19" s="27">
        <v>396</v>
      </c>
      <c r="AE19" s="47">
        <v>415.52279999999996</v>
      </c>
      <c r="AF19" s="20" t="s">
        <v>313</v>
      </c>
      <c r="AG19" s="20" t="s">
        <v>314</v>
      </c>
      <c r="AH19" s="20">
        <v>90</v>
      </c>
      <c r="AI19" s="20" t="s">
        <v>671</v>
      </c>
      <c r="AJ19" s="20" t="s">
        <v>290</v>
      </c>
      <c r="AK19" s="20" t="s">
        <v>672</v>
      </c>
      <c r="AL19" s="20" t="s">
        <v>317</v>
      </c>
      <c r="AM19" s="20" t="s">
        <v>318</v>
      </c>
      <c r="AN19" s="20" t="s">
        <v>673</v>
      </c>
      <c r="AO19" s="19">
        <v>56869915089</v>
      </c>
      <c r="AP19" s="30" t="s">
        <v>674</v>
      </c>
      <c r="AQ19" s="19" t="s">
        <v>675</v>
      </c>
      <c r="AR19" s="23" t="s">
        <v>676</v>
      </c>
      <c r="AS19" s="19" t="s">
        <v>677</v>
      </c>
      <c r="AT19" s="28" t="s">
        <v>381</v>
      </c>
      <c r="AU19" s="55"/>
      <c r="AV19" s="20" t="s">
        <v>604</v>
      </c>
      <c r="AW19" s="20" t="s">
        <v>678</v>
      </c>
      <c r="AX19" s="28" t="s">
        <v>679</v>
      </c>
      <c r="AY19" s="20" t="s">
        <v>328</v>
      </c>
      <c r="AZ19" s="20" t="s">
        <v>680</v>
      </c>
      <c r="BA19" s="20" t="s">
        <v>681</v>
      </c>
      <c r="BB19" s="31" t="s">
        <v>682</v>
      </c>
      <c r="BC19" s="32" t="s">
        <v>329</v>
      </c>
      <c r="BD19" s="19"/>
      <c r="BE19" s="19" t="s">
        <v>330</v>
      </c>
      <c r="BF19" s="55"/>
      <c r="BG19" s="55"/>
      <c r="BH19" s="55"/>
      <c r="BI19" s="55"/>
      <c r="BJ19" s="20" t="s">
        <v>53</v>
      </c>
      <c r="BK19" s="53">
        <v>45684</v>
      </c>
      <c r="BL19" s="20" t="s">
        <v>56</v>
      </c>
      <c r="BM19" s="52" t="s">
        <v>683</v>
      </c>
      <c r="BN19" s="19" t="s">
        <v>1444</v>
      </c>
      <c r="BO19" s="19"/>
      <c r="BP19" s="19"/>
      <c r="BQ19" s="44" t="s">
        <v>677</v>
      </c>
      <c r="BR19" s="44" t="s">
        <v>381</v>
      </c>
      <c r="BS19" s="44" t="s">
        <v>684</v>
      </c>
      <c r="BT19" s="44" t="s">
        <v>685</v>
      </c>
      <c r="BU19" s="44" t="s">
        <v>334</v>
      </c>
      <c r="BV19" s="44">
        <v>3</v>
      </c>
    </row>
    <row r="20" spans="1:74" x14ac:dyDescent="0.25">
      <c r="A20" s="19">
        <v>650</v>
      </c>
      <c r="B20" s="44" t="s">
        <v>363</v>
      </c>
      <c r="C20" s="20" t="s">
        <v>364</v>
      </c>
      <c r="D20" s="19">
        <v>35210284762</v>
      </c>
      <c r="E20" s="21">
        <v>45425</v>
      </c>
      <c r="F20" s="36">
        <v>45515</v>
      </c>
      <c r="G20" s="53">
        <v>45425</v>
      </c>
      <c r="H20" s="19" t="s">
        <v>290</v>
      </c>
      <c r="I20" s="19" t="s">
        <v>686</v>
      </c>
      <c r="J20" s="19" t="s">
        <v>687</v>
      </c>
      <c r="K20" s="19" t="s">
        <v>688</v>
      </c>
      <c r="L20" s="55" t="s">
        <v>689</v>
      </c>
      <c r="M20" s="19" t="s">
        <v>690</v>
      </c>
      <c r="N20" s="19" t="s">
        <v>691</v>
      </c>
      <c r="O20" s="19" t="s">
        <v>571</v>
      </c>
      <c r="P20" s="22">
        <v>37524</v>
      </c>
      <c r="Q20" s="20">
        <v>25</v>
      </c>
      <c r="R20" s="20">
        <v>9</v>
      </c>
      <c r="S20" s="20">
        <v>2</v>
      </c>
      <c r="T20" s="26">
        <v>21</v>
      </c>
      <c r="U20" s="20" t="s">
        <v>452</v>
      </c>
      <c r="V20" s="19" t="s">
        <v>692</v>
      </c>
      <c r="W20" s="20" t="s">
        <v>693</v>
      </c>
      <c r="X20" s="59" t="s">
        <v>391</v>
      </c>
      <c r="Y20" s="20" t="s">
        <v>88</v>
      </c>
      <c r="Z20" s="20" t="s">
        <v>392</v>
      </c>
      <c r="AA20" s="20" t="s">
        <v>374</v>
      </c>
      <c r="AB20" s="29">
        <v>8700.17</v>
      </c>
      <c r="AC20" s="29">
        <v>286.18980263157897</v>
      </c>
      <c r="AD20" s="27">
        <v>286.19</v>
      </c>
      <c r="AE20" s="47">
        <v>300.29916699999995</v>
      </c>
      <c r="AF20" s="20" t="s">
        <v>313</v>
      </c>
      <c r="AG20" s="20" t="s">
        <v>314</v>
      </c>
      <c r="AH20" s="20">
        <v>90</v>
      </c>
      <c r="AI20" s="20" t="s">
        <v>375</v>
      </c>
      <c r="AJ20" s="20" t="s">
        <v>290</v>
      </c>
      <c r="AK20" s="20" t="s">
        <v>473</v>
      </c>
      <c r="AL20" s="20" t="s">
        <v>317</v>
      </c>
      <c r="AM20" s="20" t="s">
        <v>318</v>
      </c>
      <c r="AN20" s="20" t="s">
        <v>319</v>
      </c>
      <c r="AO20" s="19">
        <v>1568025873</v>
      </c>
      <c r="AP20" s="30" t="s">
        <v>694</v>
      </c>
      <c r="AQ20" s="19" t="s">
        <v>695</v>
      </c>
      <c r="AR20" s="23" t="s">
        <v>696</v>
      </c>
      <c r="AS20" s="19" t="s">
        <v>697</v>
      </c>
      <c r="AT20" s="28" t="s">
        <v>325</v>
      </c>
      <c r="AU20" s="55"/>
      <c r="AV20" s="20" t="s">
        <v>480</v>
      </c>
      <c r="AW20" s="20" t="s">
        <v>698</v>
      </c>
      <c r="AX20" s="20">
        <v>224</v>
      </c>
      <c r="AY20" s="20" t="s">
        <v>699</v>
      </c>
      <c r="AZ20" s="20" t="s">
        <v>700</v>
      </c>
      <c r="BA20" s="20" t="s">
        <v>483</v>
      </c>
      <c r="BB20" s="30">
        <v>78440</v>
      </c>
      <c r="BC20" s="19" t="s">
        <v>357</v>
      </c>
      <c r="BD20" s="19" t="s">
        <v>357</v>
      </c>
      <c r="BE20" s="19" t="s">
        <v>357</v>
      </c>
      <c r="BF20" s="55"/>
      <c r="BG20" s="55"/>
      <c r="BH20" s="55"/>
      <c r="BI20" s="55"/>
      <c r="BJ20" s="20" t="s">
        <v>53</v>
      </c>
      <c r="BK20" s="53">
        <v>45734</v>
      </c>
      <c r="BL20" s="20" t="s">
        <v>56</v>
      </c>
      <c r="BM20" s="52" t="s">
        <v>331</v>
      </c>
      <c r="BN20" s="19" t="s">
        <v>1444</v>
      </c>
      <c r="BO20" s="19"/>
      <c r="BP20" s="19"/>
      <c r="BQ20" s="44" t="s">
        <v>701</v>
      </c>
      <c r="BR20" s="44" t="s">
        <v>622</v>
      </c>
      <c r="BS20" s="44" t="s">
        <v>702</v>
      </c>
      <c r="BT20" s="44" t="s">
        <v>488</v>
      </c>
      <c r="BU20" s="44" t="s">
        <v>703</v>
      </c>
      <c r="BV20" s="44">
        <v>0</v>
      </c>
    </row>
    <row r="21" spans="1:74" x14ac:dyDescent="0.25">
      <c r="A21" s="19">
        <v>662</v>
      </c>
      <c r="B21" s="52" t="s">
        <v>564</v>
      </c>
      <c r="C21" s="20" t="s">
        <v>565</v>
      </c>
      <c r="D21" s="30">
        <v>44149583250</v>
      </c>
      <c r="E21" s="21">
        <v>45448</v>
      </c>
      <c r="F21" s="36">
        <v>45538</v>
      </c>
      <c r="G21" s="53">
        <v>45448</v>
      </c>
      <c r="H21" s="19" t="s">
        <v>290</v>
      </c>
      <c r="I21" s="19" t="s">
        <v>704</v>
      </c>
      <c r="J21" s="19" t="s">
        <v>705</v>
      </c>
      <c r="K21" s="19" t="s">
        <v>706</v>
      </c>
      <c r="L21" s="55" t="s">
        <v>298</v>
      </c>
      <c r="M21" s="19" t="s">
        <v>707</v>
      </c>
      <c r="N21" s="19" t="s">
        <v>708</v>
      </c>
      <c r="O21" s="19" t="s">
        <v>571</v>
      </c>
      <c r="P21" s="63">
        <v>35334</v>
      </c>
      <c r="Q21" s="20">
        <v>26</v>
      </c>
      <c r="R21" s="20">
        <v>9</v>
      </c>
      <c r="S21" s="20">
        <v>96</v>
      </c>
      <c r="T21" s="54">
        <v>27</v>
      </c>
      <c r="U21" s="20" t="s">
        <v>452</v>
      </c>
      <c r="V21" s="55" t="s">
        <v>709</v>
      </c>
      <c r="W21" s="20" t="s">
        <v>472</v>
      </c>
      <c r="X21" s="59" t="s">
        <v>115</v>
      </c>
      <c r="Y21" s="20" t="s">
        <v>84</v>
      </c>
      <c r="Z21" s="20" t="s">
        <v>532</v>
      </c>
      <c r="AA21" s="20" t="s">
        <v>637</v>
      </c>
      <c r="AB21" s="29">
        <v>10640</v>
      </c>
      <c r="AC21" s="29">
        <v>350</v>
      </c>
      <c r="AD21" s="27">
        <v>350</v>
      </c>
      <c r="AE21" s="47">
        <v>367.25499999999994</v>
      </c>
      <c r="AF21" s="20" t="s">
        <v>313</v>
      </c>
      <c r="AG21" s="20" t="s">
        <v>314</v>
      </c>
      <c r="AH21" s="20">
        <v>90</v>
      </c>
      <c r="AI21" s="20" t="s">
        <v>710</v>
      </c>
      <c r="AJ21" s="20" t="s">
        <v>290</v>
      </c>
      <c r="AK21" s="19" t="s">
        <v>575</v>
      </c>
      <c r="AL21" s="20" t="s">
        <v>317</v>
      </c>
      <c r="AM21" s="20" t="s">
        <v>318</v>
      </c>
      <c r="AN21" s="20" t="s">
        <v>319</v>
      </c>
      <c r="AO21" s="19">
        <v>1518161242</v>
      </c>
      <c r="AP21" s="19" t="s">
        <v>711</v>
      </c>
      <c r="AQ21" s="20" t="s">
        <v>712</v>
      </c>
      <c r="AR21" s="23" t="s">
        <v>713</v>
      </c>
      <c r="AS21" s="20" t="s">
        <v>714</v>
      </c>
      <c r="AT21" s="20" t="s">
        <v>560</v>
      </c>
      <c r="AU21" s="55"/>
      <c r="AV21" s="20" t="s">
        <v>604</v>
      </c>
      <c r="AW21" s="53" t="s">
        <v>715</v>
      </c>
      <c r="AX21" s="20" t="s">
        <v>716</v>
      </c>
      <c r="AY21" s="20" t="s">
        <v>328</v>
      </c>
      <c r="AZ21" s="20" t="s">
        <v>717</v>
      </c>
      <c r="BA21" s="20" t="s">
        <v>583</v>
      </c>
      <c r="BB21" s="20">
        <v>45400</v>
      </c>
      <c r="BC21" s="32" t="s">
        <v>329</v>
      </c>
      <c r="BD21" s="19" t="s">
        <v>357</v>
      </c>
      <c r="BE21" s="33" t="s">
        <v>357</v>
      </c>
      <c r="BF21" s="55"/>
      <c r="BG21" s="55"/>
      <c r="BH21" s="55"/>
      <c r="BI21" s="55"/>
      <c r="BJ21" s="20" t="s">
        <v>53</v>
      </c>
      <c r="BK21" s="53">
        <v>45687</v>
      </c>
      <c r="BL21" s="20" t="s">
        <v>625</v>
      </c>
      <c r="BM21" s="52" t="s">
        <v>718</v>
      </c>
      <c r="BN21" s="19" t="s">
        <v>1444</v>
      </c>
      <c r="BO21" s="19"/>
      <c r="BP21" s="19"/>
      <c r="BQ21" s="44" t="s">
        <v>714</v>
      </c>
      <c r="BR21" s="44" t="s">
        <v>560</v>
      </c>
      <c r="BS21" s="52" t="s">
        <v>719</v>
      </c>
      <c r="BT21" s="44" t="s">
        <v>333</v>
      </c>
      <c r="BU21" s="52" t="s">
        <v>334</v>
      </c>
      <c r="BV21" s="52">
        <v>2</v>
      </c>
    </row>
    <row r="22" spans="1:74" x14ac:dyDescent="0.25">
      <c r="A22" s="19">
        <v>667</v>
      </c>
      <c r="B22" s="44" t="s">
        <v>363</v>
      </c>
      <c r="C22" s="20" t="s">
        <v>587</v>
      </c>
      <c r="D22" s="30">
        <v>18190371213</v>
      </c>
      <c r="E22" s="21">
        <v>45456</v>
      </c>
      <c r="F22" s="36">
        <v>45546</v>
      </c>
      <c r="G22" s="53">
        <v>45456</v>
      </c>
      <c r="H22" s="19" t="s">
        <v>290</v>
      </c>
      <c r="I22" s="19" t="s">
        <v>720</v>
      </c>
      <c r="J22" s="19" t="s">
        <v>721</v>
      </c>
      <c r="K22" s="19" t="s">
        <v>722</v>
      </c>
      <c r="L22" s="55" t="s">
        <v>723</v>
      </c>
      <c r="M22" s="19" t="s">
        <v>724</v>
      </c>
      <c r="N22" s="19" t="s">
        <v>725</v>
      </c>
      <c r="O22" s="19" t="s">
        <v>633</v>
      </c>
      <c r="P22" s="63">
        <v>37750</v>
      </c>
      <c r="Q22" s="20">
        <v>9</v>
      </c>
      <c r="R22" s="20">
        <v>5</v>
      </c>
      <c r="S22" s="20">
        <v>3</v>
      </c>
      <c r="T22" s="54">
        <v>21</v>
      </c>
      <c r="U22" s="20" t="s">
        <v>308</v>
      </c>
      <c r="V22" s="19" t="s">
        <v>726</v>
      </c>
      <c r="W22" s="20" t="s">
        <v>727</v>
      </c>
      <c r="X22" s="46" t="s">
        <v>266</v>
      </c>
      <c r="Y22" s="20" t="s">
        <v>256</v>
      </c>
      <c r="Z22" s="20" t="s">
        <v>636</v>
      </c>
      <c r="AA22" s="20" t="s">
        <v>533</v>
      </c>
      <c r="AB22" s="29">
        <v>8022</v>
      </c>
      <c r="AC22" s="29">
        <v>263.88157894736844</v>
      </c>
      <c r="AD22" s="27">
        <v>264</v>
      </c>
      <c r="AE22" s="47">
        <v>277.01519999999999</v>
      </c>
      <c r="AF22" s="20" t="s">
        <v>313</v>
      </c>
      <c r="AG22" s="20" t="s">
        <v>314</v>
      </c>
      <c r="AH22" s="20">
        <v>90</v>
      </c>
      <c r="AI22" s="20" t="s">
        <v>597</v>
      </c>
      <c r="AJ22" s="20" t="s">
        <v>290</v>
      </c>
      <c r="AK22" s="20" t="s">
        <v>598</v>
      </c>
      <c r="AL22" s="20" t="s">
        <v>317</v>
      </c>
      <c r="AM22" s="20" t="s">
        <v>318</v>
      </c>
      <c r="AN22" s="20" t="s">
        <v>352</v>
      </c>
      <c r="AO22" s="19">
        <v>1244940871</v>
      </c>
      <c r="AP22" s="19" t="s">
        <v>728</v>
      </c>
      <c r="AQ22" s="20" t="s">
        <v>729</v>
      </c>
      <c r="AR22" s="23" t="s">
        <v>730</v>
      </c>
      <c r="AS22" s="20" t="s">
        <v>731</v>
      </c>
      <c r="AT22" s="20" t="s">
        <v>325</v>
      </c>
      <c r="AU22" s="55"/>
      <c r="AV22" s="20" t="s">
        <v>480</v>
      </c>
      <c r="AW22" s="20" t="s">
        <v>732</v>
      </c>
      <c r="AX22" s="20">
        <v>1819</v>
      </c>
      <c r="AY22" s="20" t="s">
        <v>328</v>
      </c>
      <c r="AZ22" s="20" t="s">
        <v>116</v>
      </c>
      <c r="BA22" s="20" t="s">
        <v>583</v>
      </c>
      <c r="BB22" s="20">
        <v>44980</v>
      </c>
      <c r="BC22" s="32" t="s">
        <v>329</v>
      </c>
      <c r="BD22" s="19"/>
      <c r="BE22" s="19"/>
      <c r="BF22" s="55"/>
      <c r="BG22" s="55"/>
      <c r="BH22" s="55"/>
      <c r="BI22" s="55"/>
      <c r="BJ22" s="20" t="s">
        <v>53</v>
      </c>
      <c r="BK22" s="53">
        <v>45712</v>
      </c>
      <c r="BL22" s="20" t="s">
        <v>56</v>
      </c>
      <c r="BM22" s="52" t="s">
        <v>733</v>
      </c>
      <c r="BN22" s="19" t="s">
        <v>1444</v>
      </c>
      <c r="BO22" s="19"/>
      <c r="BP22" s="19"/>
      <c r="BQ22" s="44" t="s">
        <v>731</v>
      </c>
      <c r="BR22" s="44" t="s">
        <v>325</v>
      </c>
      <c r="BS22" s="52" t="s">
        <v>734</v>
      </c>
      <c r="BT22" s="44" t="s">
        <v>333</v>
      </c>
      <c r="BU22" s="52" t="s">
        <v>334</v>
      </c>
      <c r="BV22" s="44">
        <v>0</v>
      </c>
    </row>
    <row r="23" spans="1:74" x14ac:dyDescent="0.25">
      <c r="A23" s="19">
        <v>676</v>
      </c>
      <c r="B23" s="52" t="s">
        <v>363</v>
      </c>
      <c r="C23" s="20" t="s">
        <v>587</v>
      </c>
      <c r="D23" s="19">
        <v>26149583234</v>
      </c>
      <c r="E23" s="21">
        <v>45472</v>
      </c>
      <c r="F23" s="36">
        <v>45562</v>
      </c>
      <c r="G23" s="53">
        <v>45472</v>
      </c>
      <c r="H23" s="19" t="s">
        <v>290</v>
      </c>
      <c r="I23" s="19" t="s">
        <v>507</v>
      </c>
      <c r="J23" s="19" t="s">
        <v>735</v>
      </c>
      <c r="K23" s="19" t="s">
        <v>736</v>
      </c>
      <c r="L23" s="55" t="s">
        <v>737</v>
      </c>
      <c r="M23" s="19" t="s">
        <v>738</v>
      </c>
      <c r="N23" s="19" t="s">
        <v>739</v>
      </c>
      <c r="O23" s="19" t="s">
        <v>571</v>
      </c>
      <c r="P23" s="22">
        <v>34798</v>
      </c>
      <c r="Q23" s="20">
        <v>9</v>
      </c>
      <c r="R23" s="20">
        <v>4</v>
      </c>
      <c r="S23" s="20">
        <v>95</v>
      </c>
      <c r="T23" s="26">
        <v>29</v>
      </c>
      <c r="U23" s="20" t="s">
        <v>452</v>
      </c>
      <c r="V23" s="19" t="s">
        <v>740</v>
      </c>
      <c r="W23" s="20" t="s">
        <v>454</v>
      </c>
      <c r="X23" s="59" t="s">
        <v>391</v>
      </c>
      <c r="Y23" s="20" t="s">
        <v>99</v>
      </c>
      <c r="Z23" s="20" t="s">
        <v>392</v>
      </c>
      <c r="AA23" s="20" t="s">
        <v>596</v>
      </c>
      <c r="AB23" s="29">
        <v>8700.48</v>
      </c>
      <c r="AC23" s="29">
        <v>286.2</v>
      </c>
      <c r="AD23" s="27">
        <v>286.2</v>
      </c>
      <c r="AE23" s="47">
        <v>300.30965999999995</v>
      </c>
      <c r="AF23" s="20" t="s">
        <v>313</v>
      </c>
      <c r="AG23" s="20" t="s">
        <v>314</v>
      </c>
      <c r="AH23" s="20">
        <v>90</v>
      </c>
      <c r="AI23" s="20" t="s">
        <v>597</v>
      </c>
      <c r="AJ23" s="20" t="s">
        <v>290</v>
      </c>
      <c r="AK23" s="20" t="s">
        <v>598</v>
      </c>
      <c r="AL23" s="20" t="s">
        <v>317</v>
      </c>
      <c r="AM23" s="20" t="s">
        <v>318</v>
      </c>
      <c r="AN23" s="20" t="s">
        <v>319</v>
      </c>
      <c r="AO23" s="19">
        <v>1598974406</v>
      </c>
      <c r="AP23" s="20" t="s">
        <v>741</v>
      </c>
      <c r="AQ23" s="20" t="s">
        <v>742</v>
      </c>
      <c r="AR23" s="23" t="s">
        <v>743</v>
      </c>
      <c r="AS23" s="20" t="s">
        <v>744</v>
      </c>
      <c r="AT23" s="20" t="s">
        <v>622</v>
      </c>
      <c r="AU23" s="55"/>
      <c r="AV23" s="20" t="s">
        <v>604</v>
      </c>
      <c r="AW23" s="20" t="s">
        <v>745</v>
      </c>
      <c r="AX23" s="20">
        <v>308</v>
      </c>
      <c r="AY23" s="19">
        <v>14</v>
      </c>
      <c r="AZ23" s="20" t="s">
        <v>105</v>
      </c>
      <c r="BA23" s="20" t="s">
        <v>105</v>
      </c>
      <c r="BB23" s="20">
        <v>20179</v>
      </c>
      <c r="BC23" s="25" t="s">
        <v>329</v>
      </c>
      <c r="BD23" s="19"/>
      <c r="BE23" s="25" t="s">
        <v>329</v>
      </c>
      <c r="BF23" s="55"/>
      <c r="BG23" s="55"/>
      <c r="BH23" s="55"/>
      <c r="BI23" s="55"/>
      <c r="BJ23" s="20" t="s">
        <v>53</v>
      </c>
      <c r="BK23" s="53">
        <v>45712</v>
      </c>
      <c r="BL23" s="20" t="s">
        <v>56</v>
      </c>
      <c r="BM23" s="52" t="s">
        <v>746</v>
      </c>
      <c r="BN23" s="19" t="s">
        <v>1444</v>
      </c>
      <c r="BO23" s="19"/>
      <c r="BP23" s="19"/>
      <c r="BQ23" s="44" t="s">
        <v>744</v>
      </c>
      <c r="BR23" s="44" t="s">
        <v>622</v>
      </c>
      <c r="BS23" s="44" t="s">
        <v>747</v>
      </c>
      <c r="BT23" s="52" t="s">
        <v>748</v>
      </c>
      <c r="BU23" s="52" t="s">
        <v>334</v>
      </c>
      <c r="BV23" s="44">
        <v>2</v>
      </c>
    </row>
    <row r="24" spans="1:74" x14ac:dyDescent="0.25">
      <c r="A24" s="19">
        <v>690</v>
      </c>
      <c r="B24" s="44" t="s">
        <v>564</v>
      </c>
      <c r="C24" s="20" t="s">
        <v>565</v>
      </c>
      <c r="D24" s="31" t="s">
        <v>749</v>
      </c>
      <c r="E24" s="21">
        <v>45495</v>
      </c>
      <c r="F24" s="36">
        <v>45585</v>
      </c>
      <c r="G24" s="53">
        <v>45495</v>
      </c>
      <c r="H24" s="19" t="s">
        <v>290</v>
      </c>
      <c r="I24" s="19" t="s">
        <v>750</v>
      </c>
      <c r="J24" s="19" t="s">
        <v>366</v>
      </c>
      <c r="K24" s="19" t="s">
        <v>751</v>
      </c>
      <c r="L24" s="55" t="s">
        <v>752</v>
      </c>
      <c r="M24" s="19" t="s">
        <v>753</v>
      </c>
      <c r="N24" s="19" t="s">
        <v>754</v>
      </c>
      <c r="O24" s="19" t="s">
        <v>571</v>
      </c>
      <c r="P24" s="22">
        <v>30588</v>
      </c>
      <c r="Q24" s="20">
        <v>29</v>
      </c>
      <c r="R24" s="20">
        <v>9</v>
      </c>
      <c r="S24" s="20">
        <v>83</v>
      </c>
      <c r="T24" s="26">
        <v>40</v>
      </c>
      <c r="U24" s="20" t="s">
        <v>452</v>
      </c>
      <c r="V24" s="19" t="s">
        <v>755</v>
      </c>
      <c r="W24" s="20" t="s">
        <v>472</v>
      </c>
      <c r="X24" s="46" t="s">
        <v>617</v>
      </c>
      <c r="Y24" s="20" t="s">
        <v>260</v>
      </c>
      <c r="Z24" s="20" t="s">
        <v>532</v>
      </c>
      <c r="AA24" s="20" t="s">
        <v>574</v>
      </c>
      <c r="AB24" s="29">
        <v>10640</v>
      </c>
      <c r="AC24" s="29">
        <v>350</v>
      </c>
      <c r="AD24" s="27">
        <v>350</v>
      </c>
      <c r="AE24" s="47">
        <v>367.25499999999994</v>
      </c>
      <c r="AF24" s="20" t="s">
        <v>313</v>
      </c>
      <c r="AG24" s="20" t="s">
        <v>314</v>
      </c>
      <c r="AH24" s="20">
        <v>90</v>
      </c>
      <c r="AI24" s="20" t="s">
        <v>710</v>
      </c>
      <c r="AJ24" s="20" t="s">
        <v>290</v>
      </c>
      <c r="AK24" s="19" t="s">
        <v>575</v>
      </c>
      <c r="AL24" s="20" t="s">
        <v>317</v>
      </c>
      <c r="AM24" s="20" t="s">
        <v>318</v>
      </c>
      <c r="AN24" s="20" t="s">
        <v>319</v>
      </c>
      <c r="AO24" s="19">
        <v>2974833791</v>
      </c>
      <c r="AP24" s="20" t="s">
        <v>756</v>
      </c>
      <c r="AQ24" s="20" t="s">
        <v>757</v>
      </c>
      <c r="AR24" s="23" t="s">
        <v>758</v>
      </c>
      <c r="AS24" s="20" t="s">
        <v>759</v>
      </c>
      <c r="AT24" s="20" t="s">
        <v>381</v>
      </c>
      <c r="AU24" s="55"/>
      <c r="AV24" s="20" t="s">
        <v>480</v>
      </c>
      <c r="AW24" s="20" t="s">
        <v>760</v>
      </c>
      <c r="AX24" s="20">
        <v>15675</v>
      </c>
      <c r="AY24" s="20" t="s">
        <v>328</v>
      </c>
      <c r="AZ24" s="20" t="s">
        <v>761</v>
      </c>
      <c r="BA24" s="20" t="s">
        <v>762</v>
      </c>
      <c r="BB24" s="20">
        <v>22180</v>
      </c>
      <c r="BC24" s="19" t="s">
        <v>357</v>
      </c>
      <c r="BD24" s="19"/>
      <c r="BE24" s="25" t="s">
        <v>329</v>
      </c>
      <c r="BF24" s="55"/>
      <c r="BG24" s="55"/>
      <c r="BH24" s="55"/>
      <c r="BI24" s="55"/>
      <c r="BJ24" s="20" t="s">
        <v>53</v>
      </c>
      <c r="BK24" s="53">
        <v>45717</v>
      </c>
      <c r="BL24" s="20" t="s">
        <v>56</v>
      </c>
      <c r="BM24" s="52" t="s">
        <v>763</v>
      </c>
      <c r="BN24" s="19" t="s">
        <v>1444</v>
      </c>
      <c r="BO24" s="19"/>
      <c r="BP24" s="19"/>
      <c r="BQ24" s="44" t="s">
        <v>759</v>
      </c>
      <c r="BR24" s="44" t="s">
        <v>381</v>
      </c>
      <c r="BS24" s="44" t="s">
        <v>764</v>
      </c>
      <c r="BT24" s="44" t="s">
        <v>333</v>
      </c>
      <c r="BU24" s="44" t="s">
        <v>334</v>
      </c>
      <c r="BV24" s="44">
        <v>3</v>
      </c>
    </row>
    <row r="25" spans="1:74" x14ac:dyDescent="0.25">
      <c r="A25" s="19">
        <v>729</v>
      </c>
      <c r="B25" s="52" t="s">
        <v>564</v>
      </c>
      <c r="C25" s="20" t="s">
        <v>565</v>
      </c>
      <c r="D25" s="31" t="s">
        <v>765</v>
      </c>
      <c r="E25" s="21">
        <v>45574</v>
      </c>
      <c r="F25" s="36">
        <v>45664</v>
      </c>
      <c r="G25" s="53">
        <v>45574</v>
      </c>
      <c r="H25" s="19" t="s">
        <v>290</v>
      </c>
      <c r="I25" s="19" t="s">
        <v>766</v>
      </c>
      <c r="J25" s="19" t="s">
        <v>767</v>
      </c>
      <c r="K25" s="19" t="s">
        <v>768</v>
      </c>
      <c r="L25" s="55" t="s">
        <v>769</v>
      </c>
      <c r="M25" s="19" t="s">
        <v>770</v>
      </c>
      <c r="N25" s="19" t="s">
        <v>771</v>
      </c>
      <c r="O25" s="19" t="s">
        <v>571</v>
      </c>
      <c r="P25" s="24">
        <v>36045</v>
      </c>
      <c r="Q25" s="20">
        <v>7</v>
      </c>
      <c r="R25" s="20">
        <v>9</v>
      </c>
      <c r="S25" s="20">
        <v>98</v>
      </c>
      <c r="T25" s="38">
        <v>26</v>
      </c>
      <c r="U25" s="20" t="s">
        <v>389</v>
      </c>
      <c r="V25" s="20" t="s">
        <v>772</v>
      </c>
      <c r="W25" s="20" t="s">
        <v>454</v>
      </c>
      <c r="X25" s="46" t="s">
        <v>617</v>
      </c>
      <c r="Y25" s="20" t="s">
        <v>260</v>
      </c>
      <c r="Z25" s="20" t="s">
        <v>532</v>
      </c>
      <c r="AA25" s="20" t="s">
        <v>574</v>
      </c>
      <c r="AB25" s="29">
        <v>10640</v>
      </c>
      <c r="AC25" s="29">
        <v>350</v>
      </c>
      <c r="AD25" s="27">
        <v>350</v>
      </c>
      <c r="AE25" s="47">
        <v>367.25499999999994</v>
      </c>
      <c r="AF25" s="20" t="s">
        <v>313</v>
      </c>
      <c r="AG25" s="20" t="s">
        <v>314</v>
      </c>
      <c r="AH25" s="20">
        <v>90</v>
      </c>
      <c r="AI25" s="20" t="s">
        <v>710</v>
      </c>
      <c r="AJ25" s="20" t="s">
        <v>290</v>
      </c>
      <c r="AK25" s="20" t="s">
        <v>575</v>
      </c>
      <c r="AL25" s="20" t="s">
        <v>317</v>
      </c>
      <c r="AM25" s="20" t="s">
        <v>318</v>
      </c>
      <c r="AN25" s="20" t="s">
        <v>319</v>
      </c>
      <c r="AO25" s="19">
        <v>1525990121</v>
      </c>
      <c r="AP25" s="20" t="s">
        <v>773</v>
      </c>
      <c r="AQ25" s="20">
        <v>3343952006</v>
      </c>
      <c r="AR25" s="23" t="s">
        <v>774</v>
      </c>
      <c r="AS25" s="20" t="s">
        <v>775</v>
      </c>
      <c r="AT25" s="20" t="s">
        <v>776</v>
      </c>
      <c r="AU25" s="55"/>
      <c r="AV25" s="20" t="s">
        <v>480</v>
      </c>
      <c r="AW25" s="20" t="s">
        <v>777</v>
      </c>
      <c r="AX25" s="19">
        <v>23</v>
      </c>
      <c r="AY25" s="20" t="s">
        <v>328</v>
      </c>
      <c r="AZ25" s="20" t="s">
        <v>582</v>
      </c>
      <c r="BA25" s="20" t="s">
        <v>583</v>
      </c>
      <c r="BB25" s="20">
        <v>45650</v>
      </c>
      <c r="BC25" s="33" t="s">
        <v>357</v>
      </c>
      <c r="BD25" s="19"/>
      <c r="BE25" s="33" t="s">
        <v>357</v>
      </c>
      <c r="BF25" s="55"/>
      <c r="BG25" s="55"/>
      <c r="BH25" s="55"/>
      <c r="BI25" s="55"/>
      <c r="BJ25" s="20" t="s">
        <v>53</v>
      </c>
      <c r="BK25" s="53">
        <v>45304</v>
      </c>
      <c r="BL25" s="20" t="s">
        <v>56</v>
      </c>
      <c r="BM25" s="52" t="s">
        <v>778</v>
      </c>
      <c r="BN25" s="19" t="s">
        <v>1444</v>
      </c>
      <c r="BO25" s="19"/>
      <c r="BP25" s="19"/>
      <c r="BQ25" s="44" t="s">
        <v>775</v>
      </c>
      <c r="BR25" s="44" t="s">
        <v>776</v>
      </c>
      <c r="BS25" s="44">
        <v>3325428182</v>
      </c>
      <c r="BT25" s="52" t="s">
        <v>333</v>
      </c>
      <c r="BU25" s="52" t="s">
        <v>398</v>
      </c>
      <c r="BV25" s="44">
        <v>0</v>
      </c>
    </row>
    <row r="26" spans="1:74" x14ac:dyDescent="0.25">
      <c r="A26" s="19">
        <v>733</v>
      </c>
      <c r="B26" s="52" t="s">
        <v>564</v>
      </c>
      <c r="C26" s="20" t="s">
        <v>565</v>
      </c>
      <c r="D26" s="35" t="s">
        <v>779</v>
      </c>
      <c r="E26" s="21">
        <v>45579</v>
      </c>
      <c r="F26" s="36">
        <v>45669</v>
      </c>
      <c r="G26" s="37">
        <v>45579</v>
      </c>
      <c r="H26" s="19" t="s">
        <v>290</v>
      </c>
      <c r="I26" s="19" t="s">
        <v>337</v>
      </c>
      <c r="J26" s="19" t="s">
        <v>780</v>
      </c>
      <c r="K26" s="19" t="s">
        <v>781</v>
      </c>
      <c r="L26" s="55" t="s">
        <v>782</v>
      </c>
      <c r="M26" s="19" t="s">
        <v>783</v>
      </c>
      <c r="N26" s="19" t="s">
        <v>784</v>
      </c>
      <c r="O26" s="19" t="s">
        <v>571</v>
      </c>
      <c r="P26" s="24">
        <v>34927</v>
      </c>
      <c r="Q26" s="20">
        <v>16</v>
      </c>
      <c r="R26" s="20">
        <v>8</v>
      </c>
      <c r="S26" s="20">
        <v>95</v>
      </c>
      <c r="T26" s="38">
        <v>29</v>
      </c>
      <c r="U26" s="20" t="s">
        <v>389</v>
      </c>
      <c r="V26" s="20" t="s">
        <v>785</v>
      </c>
      <c r="W26" s="20" t="s">
        <v>454</v>
      </c>
      <c r="X26" s="46" t="s">
        <v>617</v>
      </c>
      <c r="Y26" s="20" t="s">
        <v>260</v>
      </c>
      <c r="Z26" s="20" t="s">
        <v>532</v>
      </c>
      <c r="AA26" s="20" t="s">
        <v>574</v>
      </c>
      <c r="AB26" s="29">
        <v>10640</v>
      </c>
      <c r="AC26" s="29">
        <v>350</v>
      </c>
      <c r="AD26" s="27">
        <v>350</v>
      </c>
      <c r="AE26" s="47">
        <v>367.25499999999994</v>
      </c>
      <c r="AF26" s="20" t="s">
        <v>313</v>
      </c>
      <c r="AG26" s="20" t="s">
        <v>314</v>
      </c>
      <c r="AH26" s="20">
        <v>90</v>
      </c>
      <c r="AI26" s="20" t="s">
        <v>710</v>
      </c>
      <c r="AJ26" s="20" t="s">
        <v>290</v>
      </c>
      <c r="AK26" s="20" t="s">
        <v>575</v>
      </c>
      <c r="AL26" s="20" t="s">
        <v>317</v>
      </c>
      <c r="AM26" s="20" t="s">
        <v>318</v>
      </c>
      <c r="AN26" s="20" t="s">
        <v>319</v>
      </c>
      <c r="AO26" s="19">
        <v>1547964107</v>
      </c>
      <c r="AP26" s="20" t="s">
        <v>786</v>
      </c>
      <c r="AQ26" s="20">
        <v>3531216705</v>
      </c>
      <c r="AR26" s="23" t="s">
        <v>787</v>
      </c>
      <c r="AS26" s="20" t="s">
        <v>788</v>
      </c>
      <c r="AT26" s="20" t="s">
        <v>776</v>
      </c>
      <c r="AU26" s="55"/>
      <c r="AV26" s="20" t="s">
        <v>480</v>
      </c>
      <c r="AW26" s="20" t="s">
        <v>789</v>
      </c>
      <c r="AX26" s="19">
        <v>1000</v>
      </c>
      <c r="AY26" s="20" t="s">
        <v>328</v>
      </c>
      <c r="AZ26" s="20" t="s">
        <v>790</v>
      </c>
      <c r="BA26" s="20" t="s">
        <v>717</v>
      </c>
      <c r="BB26" s="20">
        <v>45416</v>
      </c>
      <c r="BC26" s="33" t="s">
        <v>357</v>
      </c>
      <c r="BD26" s="19"/>
      <c r="BE26" s="33" t="s">
        <v>357</v>
      </c>
      <c r="BF26" s="55"/>
      <c r="BG26" s="55"/>
      <c r="BH26" s="55"/>
      <c r="BI26" s="55"/>
      <c r="BJ26" s="20" t="s">
        <v>53</v>
      </c>
      <c r="BK26" s="53">
        <v>45657</v>
      </c>
      <c r="BL26" s="20" t="s">
        <v>56</v>
      </c>
      <c r="BM26" s="52" t="s">
        <v>791</v>
      </c>
      <c r="BN26" s="19" t="s">
        <v>1444</v>
      </c>
      <c r="BO26" s="19"/>
      <c r="BP26" s="19"/>
      <c r="BQ26" s="44" t="s">
        <v>788</v>
      </c>
      <c r="BR26" s="44" t="s">
        <v>776</v>
      </c>
      <c r="BS26" s="44">
        <v>3328212698</v>
      </c>
      <c r="BT26" s="52" t="s">
        <v>333</v>
      </c>
      <c r="BU26" s="52" t="s">
        <v>398</v>
      </c>
      <c r="BV26" s="44">
        <v>2</v>
      </c>
    </row>
    <row r="27" spans="1:74" x14ac:dyDescent="0.25">
      <c r="A27" s="19">
        <v>739</v>
      </c>
      <c r="B27" s="52" t="s">
        <v>564</v>
      </c>
      <c r="C27" s="20" t="s">
        <v>565</v>
      </c>
      <c r="D27" s="35" t="s">
        <v>792</v>
      </c>
      <c r="E27" s="21">
        <v>45586</v>
      </c>
      <c r="F27" s="36">
        <v>45676</v>
      </c>
      <c r="G27" s="37">
        <v>45586</v>
      </c>
      <c r="H27" s="19" t="s">
        <v>290</v>
      </c>
      <c r="I27" s="19" t="s">
        <v>793</v>
      </c>
      <c r="J27" s="19" t="s">
        <v>794</v>
      </c>
      <c r="K27" s="19" t="s">
        <v>795</v>
      </c>
      <c r="L27" s="55" t="s">
        <v>796</v>
      </c>
      <c r="M27" s="55" t="s">
        <v>797</v>
      </c>
      <c r="N27" s="55" t="s">
        <v>798</v>
      </c>
      <c r="O27" s="19" t="s">
        <v>571</v>
      </c>
      <c r="P27" s="24">
        <v>33957</v>
      </c>
      <c r="Q27" s="20">
        <v>19</v>
      </c>
      <c r="R27" s="20">
        <v>12</v>
      </c>
      <c r="S27" s="20">
        <v>92</v>
      </c>
      <c r="T27" s="38">
        <v>32</v>
      </c>
      <c r="U27" s="20" t="s">
        <v>452</v>
      </c>
      <c r="V27" s="20" t="s">
        <v>799</v>
      </c>
      <c r="W27" s="20" t="s">
        <v>454</v>
      </c>
      <c r="X27" s="46" t="s">
        <v>617</v>
      </c>
      <c r="Y27" s="20" t="s">
        <v>260</v>
      </c>
      <c r="Z27" s="20" t="s">
        <v>532</v>
      </c>
      <c r="AA27" s="20" t="s">
        <v>574</v>
      </c>
      <c r="AB27" s="29">
        <v>10640</v>
      </c>
      <c r="AC27" s="29">
        <v>350</v>
      </c>
      <c r="AD27" s="27">
        <v>350</v>
      </c>
      <c r="AE27" s="47">
        <v>367.25499999999994</v>
      </c>
      <c r="AF27" s="20" t="s">
        <v>313</v>
      </c>
      <c r="AG27" s="20" t="s">
        <v>314</v>
      </c>
      <c r="AH27" s="20">
        <v>90</v>
      </c>
      <c r="AI27" s="20" t="s">
        <v>710</v>
      </c>
      <c r="AJ27" s="20" t="s">
        <v>290</v>
      </c>
      <c r="AK27" s="20" t="s">
        <v>575</v>
      </c>
      <c r="AL27" s="20" t="s">
        <v>317</v>
      </c>
      <c r="AM27" s="20" t="s">
        <v>318</v>
      </c>
      <c r="AN27" s="20" t="s">
        <v>319</v>
      </c>
      <c r="AO27" s="19">
        <v>1522997295</v>
      </c>
      <c r="AP27" s="56" t="s">
        <v>800</v>
      </c>
      <c r="AQ27" s="55">
        <v>3751123489</v>
      </c>
      <c r="AR27" s="23" t="s">
        <v>801</v>
      </c>
      <c r="AS27" s="20" t="s">
        <v>802</v>
      </c>
      <c r="AT27" s="20" t="s">
        <v>803</v>
      </c>
      <c r="AU27" s="55"/>
      <c r="AV27" s="20" t="s">
        <v>480</v>
      </c>
      <c r="AW27" s="20" t="s">
        <v>804</v>
      </c>
      <c r="AX27" s="19">
        <v>77</v>
      </c>
      <c r="AY27" s="20" t="s">
        <v>328</v>
      </c>
      <c r="AZ27" s="20" t="s">
        <v>805</v>
      </c>
      <c r="BA27" s="20" t="s">
        <v>583</v>
      </c>
      <c r="BB27" s="20">
        <v>46600</v>
      </c>
      <c r="BC27" s="33" t="s">
        <v>357</v>
      </c>
      <c r="BD27" s="19"/>
      <c r="BE27" s="33" t="s">
        <v>357</v>
      </c>
      <c r="BF27" s="55"/>
      <c r="BG27" s="55"/>
      <c r="BH27" s="55"/>
      <c r="BI27" s="55"/>
      <c r="BJ27" s="20" t="s">
        <v>53</v>
      </c>
      <c r="BK27" s="53">
        <v>45657</v>
      </c>
      <c r="BL27" s="20" t="s">
        <v>56</v>
      </c>
      <c r="BM27" s="52" t="s">
        <v>806</v>
      </c>
      <c r="BN27" s="19" t="s">
        <v>1444</v>
      </c>
      <c r="BO27" s="19"/>
      <c r="BP27" s="19"/>
      <c r="BQ27" s="44" t="s">
        <v>807</v>
      </c>
      <c r="BR27" s="44" t="s">
        <v>808</v>
      </c>
      <c r="BS27" s="66">
        <v>3327748096</v>
      </c>
      <c r="BT27" s="52" t="s">
        <v>488</v>
      </c>
      <c r="BU27" s="52" t="s">
        <v>398</v>
      </c>
      <c r="BV27" s="44">
        <v>0</v>
      </c>
    </row>
    <row r="28" spans="1:74" x14ac:dyDescent="0.25">
      <c r="A28" s="19">
        <v>746</v>
      </c>
      <c r="B28" s="44" t="s">
        <v>363</v>
      </c>
      <c r="C28" s="20" t="s">
        <v>364</v>
      </c>
      <c r="D28" s="19">
        <v>41139706877</v>
      </c>
      <c r="E28" s="21">
        <v>45593</v>
      </c>
      <c r="F28" s="36">
        <v>45683</v>
      </c>
      <c r="G28" s="37">
        <v>45593</v>
      </c>
      <c r="H28" s="19" t="s">
        <v>290</v>
      </c>
      <c r="I28" s="19" t="s">
        <v>809</v>
      </c>
      <c r="J28" s="19" t="s">
        <v>447</v>
      </c>
      <c r="K28" s="19" t="s">
        <v>810</v>
      </c>
      <c r="L28" s="55" t="s">
        <v>811</v>
      </c>
      <c r="M28" s="19" t="s">
        <v>812</v>
      </c>
      <c r="N28" s="19" t="s">
        <v>813</v>
      </c>
      <c r="O28" s="19" t="s">
        <v>571</v>
      </c>
      <c r="P28" s="24">
        <v>35523</v>
      </c>
      <c r="Q28" s="20">
        <v>3</v>
      </c>
      <c r="R28" s="20">
        <v>4</v>
      </c>
      <c r="S28" s="20">
        <v>97</v>
      </c>
      <c r="T28" s="38">
        <v>27</v>
      </c>
      <c r="U28" s="20" t="s">
        <v>814</v>
      </c>
      <c r="V28" s="20" t="s">
        <v>815</v>
      </c>
      <c r="W28" s="20" t="s">
        <v>454</v>
      </c>
      <c r="X28" s="46" t="s">
        <v>91</v>
      </c>
      <c r="Y28" s="20" t="s">
        <v>816</v>
      </c>
      <c r="Z28" s="20" t="s">
        <v>392</v>
      </c>
      <c r="AA28" s="20" t="s">
        <v>374</v>
      </c>
      <c r="AB28" s="29">
        <v>10600</v>
      </c>
      <c r="AC28" s="29">
        <v>348.68421052631578</v>
      </c>
      <c r="AD28" s="27">
        <v>348.68</v>
      </c>
      <c r="AE28" s="47">
        <v>365.86992399999997</v>
      </c>
      <c r="AF28" s="20" t="s">
        <v>313</v>
      </c>
      <c r="AG28" s="20" t="s">
        <v>314</v>
      </c>
      <c r="AH28" s="20">
        <v>90</v>
      </c>
      <c r="AI28" s="20" t="s">
        <v>375</v>
      </c>
      <c r="AJ28" s="20" t="s">
        <v>290</v>
      </c>
      <c r="AK28" s="20" t="s">
        <v>473</v>
      </c>
      <c r="AL28" s="20" t="s">
        <v>317</v>
      </c>
      <c r="AM28" s="20" t="s">
        <v>318</v>
      </c>
      <c r="AN28" s="20" t="s">
        <v>319</v>
      </c>
      <c r="AO28" s="19">
        <v>1529457668</v>
      </c>
      <c r="AP28" s="20" t="s">
        <v>817</v>
      </c>
      <c r="AQ28" s="20">
        <v>4447036095</v>
      </c>
      <c r="AR28" s="23" t="s">
        <v>818</v>
      </c>
      <c r="AS28" s="19" t="s">
        <v>819</v>
      </c>
      <c r="AT28" s="19" t="s">
        <v>776</v>
      </c>
      <c r="AU28" s="55"/>
      <c r="AV28" s="20" t="s">
        <v>480</v>
      </c>
      <c r="AW28" s="20" t="s">
        <v>820</v>
      </c>
      <c r="AX28" s="19">
        <v>115</v>
      </c>
      <c r="AY28" s="20" t="s">
        <v>328</v>
      </c>
      <c r="AZ28" s="20" t="s">
        <v>483</v>
      </c>
      <c r="BA28" s="20" t="s">
        <v>483</v>
      </c>
      <c r="BB28" s="20">
        <v>78421</v>
      </c>
      <c r="BC28" s="33" t="s">
        <v>357</v>
      </c>
      <c r="BD28" s="19"/>
      <c r="BE28" s="33" t="s">
        <v>357</v>
      </c>
      <c r="BF28" s="55"/>
      <c r="BG28" s="55"/>
      <c r="BH28" s="55"/>
      <c r="BI28" s="55"/>
      <c r="BJ28" s="20" t="s">
        <v>53</v>
      </c>
      <c r="BK28" s="53">
        <v>45740</v>
      </c>
      <c r="BL28" s="20" t="s">
        <v>56</v>
      </c>
      <c r="BM28" s="52" t="s">
        <v>821</v>
      </c>
      <c r="BN28" s="19" t="s">
        <v>1444</v>
      </c>
      <c r="BO28" s="19"/>
      <c r="BP28" s="19"/>
      <c r="BQ28" s="44" t="s">
        <v>819</v>
      </c>
      <c r="BR28" s="44" t="s">
        <v>776</v>
      </c>
      <c r="BS28" s="44">
        <v>4445065581</v>
      </c>
      <c r="BT28" s="52" t="s">
        <v>685</v>
      </c>
      <c r="BU28" s="52" t="s">
        <v>398</v>
      </c>
      <c r="BV28" s="44">
        <v>2</v>
      </c>
    </row>
    <row r="29" spans="1:74" x14ac:dyDescent="0.25">
      <c r="A29" s="19">
        <v>748</v>
      </c>
      <c r="B29" s="52" t="s">
        <v>564</v>
      </c>
      <c r="C29" s="20" t="s">
        <v>565</v>
      </c>
      <c r="D29" s="35" t="s">
        <v>822</v>
      </c>
      <c r="E29" s="21">
        <v>45593</v>
      </c>
      <c r="F29" s="36">
        <v>45683</v>
      </c>
      <c r="G29" s="37">
        <v>45593</v>
      </c>
      <c r="H29" s="19" t="s">
        <v>290</v>
      </c>
      <c r="I29" s="19" t="s">
        <v>365</v>
      </c>
      <c r="J29" s="19" t="s">
        <v>823</v>
      </c>
      <c r="K29" s="19" t="s">
        <v>824</v>
      </c>
      <c r="L29" s="55" t="s">
        <v>825</v>
      </c>
      <c r="M29" s="19" t="s">
        <v>826</v>
      </c>
      <c r="N29" s="19" t="s">
        <v>827</v>
      </c>
      <c r="O29" s="19" t="s">
        <v>571</v>
      </c>
      <c r="P29" s="24">
        <v>28735</v>
      </c>
      <c r="Q29" s="20">
        <v>2</v>
      </c>
      <c r="R29" s="20">
        <v>9</v>
      </c>
      <c r="S29" s="20">
        <v>78</v>
      </c>
      <c r="T29" s="38">
        <v>46</v>
      </c>
      <c r="U29" s="20" t="s">
        <v>389</v>
      </c>
      <c r="V29" s="20" t="s">
        <v>828</v>
      </c>
      <c r="W29" s="20" t="s">
        <v>454</v>
      </c>
      <c r="X29" s="46" t="s">
        <v>617</v>
      </c>
      <c r="Y29" s="20" t="s">
        <v>260</v>
      </c>
      <c r="Z29" s="20" t="s">
        <v>532</v>
      </c>
      <c r="AA29" s="20" t="s">
        <v>574</v>
      </c>
      <c r="AB29" s="29">
        <v>10640</v>
      </c>
      <c r="AC29" s="29">
        <v>350</v>
      </c>
      <c r="AD29" s="27">
        <v>350</v>
      </c>
      <c r="AE29" s="47">
        <v>367.25499999999994</v>
      </c>
      <c r="AF29" s="20" t="s">
        <v>313</v>
      </c>
      <c r="AG29" s="20" t="s">
        <v>314</v>
      </c>
      <c r="AH29" s="20">
        <v>90</v>
      </c>
      <c r="AI29" s="20" t="s">
        <v>710</v>
      </c>
      <c r="AJ29" s="20" t="s">
        <v>290</v>
      </c>
      <c r="AK29" s="20" t="s">
        <v>575</v>
      </c>
      <c r="AL29" s="20" t="s">
        <v>317</v>
      </c>
      <c r="AM29" s="20" t="s">
        <v>318</v>
      </c>
      <c r="AN29" s="20" t="s">
        <v>319</v>
      </c>
      <c r="AO29" s="19">
        <v>1529561678</v>
      </c>
      <c r="AP29" s="56" t="s">
        <v>829</v>
      </c>
      <c r="AQ29" s="20">
        <v>3333524467</v>
      </c>
      <c r="AR29" s="23" t="s">
        <v>830</v>
      </c>
      <c r="AS29" s="19" t="s">
        <v>831</v>
      </c>
      <c r="AT29" s="19" t="s">
        <v>832</v>
      </c>
      <c r="AU29" s="55"/>
      <c r="AV29" s="20" t="s">
        <v>604</v>
      </c>
      <c r="AW29" s="20" t="s">
        <v>833</v>
      </c>
      <c r="AX29" s="19">
        <v>1</v>
      </c>
      <c r="AY29" s="20" t="s">
        <v>328</v>
      </c>
      <c r="AZ29" s="20" t="s">
        <v>606</v>
      </c>
      <c r="BA29" s="20" t="s">
        <v>583</v>
      </c>
      <c r="BB29" s="20">
        <v>45530</v>
      </c>
      <c r="BC29" s="33" t="s">
        <v>357</v>
      </c>
      <c r="BD29" s="19"/>
      <c r="BE29" s="33" t="s">
        <v>357</v>
      </c>
      <c r="BF29" s="55"/>
      <c r="BG29" s="55"/>
      <c r="BH29" s="55"/>
      <c r="BI29" s="55"/>
      <c r="BJ29" s="20" t="s">
        <v>53</v>
      </c>
      <c r="BK29" s="53">
        <v>45698</v>
      </c>
      <c r="BL29" s="20" t="s">
        <v>56</v>
      </c>
      <c r="BM29" s="52" t="s">
        <v>834</v>
      </c>
      <c r="BN29" s="19" t="s">
        <v>1444</v>
      </c>
      <c r="BO29" s="19"/>
      <c r="BP29" s="19"/>
      <c r="BQ29" s="44" t="s">
        <v>835</v>
      </c>
      <c r="BR29" s="44" t="s">
        <v>401</v>
      </c>
      <c r="BS29" s="44">
        <v>3336636101</v>
      </c>
      <c r="BT29" s="52" t="s">
        <v>685</v>
      </c>
      <c r="BU29" s="52" t="s">
        <v>398</v>
      </c>
      <c r="BV29" s="44">
        <v>3</v>
      </c>
    </row>
    <row r="30" spans="1:74" x14ac:dyDescent="0.25">
      <c r="A30" s="19">
        <v>752</v>
      </c>
      <c r="B30" s="44" t="s">
        <v>335</v>
      </c>
      <c r="C30" s="20" t="s">
        <v>86</v>
      </c>
      <c r="D30" s="19">
        <v>17220363794</v>
      </c>
      <c r="E30" s="21">
        <v>45596</v>
      </c>
      <c r="F30" s="36">
        <v>45686</v>
      </c>
      <c r="G30" s="37">
        <v>45596</v>
      </c>
      <c r="H30" s="19" t="s">
        <v>290</v>
      </c>
      <c r="I30" s="19" t="s">
        <v>590</v>
      </c>
      <c r="J30" s="19" t="s">
        <v>836</v>
      </c>
      <c r="K30" s="19" t="s">
        <v>837</v>
      </c>
      <c r="L30" s="55" t="s">
        <v>838</v>
      </c>
      <c r="M30" s="19" t="s">
        <v>839</v>
      </c>
      <c r="N30" s="19" t="s">
        <v>840</v>
      </c>
      <c r="O30" s="19" t="s">
        <v>571</v>
      </c>
      <c r="P30" s="24">
        <v>37960</v>
      </c>
      <c r="Q30" s="20">
        <v>5</v>
      </c>
      <c r="R30" s="20">
        <v>12</v>
      </c>
      <c r="S30" s="20">
        <v>2003</v>
      </c>
      <c r="T30" s="38">
        <v>20</v>
      </c>
      <c r="U30" s="20" t="s">
        <v>452</v>
      </c>
      <c r="V30" s="20" t="s">
        <v>841</v>
      </c>
      <c r="W30" s="20" t="s">
        <v>454</v>
      </c>
      <c r="X30" s="46" t="s">
        <v>115</v>
      </c>
      <c r="Y30" s="20" t="s">
        <v>153</v>
      </c>
      <c r="Z30" s="20" t="s">
        <v>347</v>
      </c>
      <c r="AA30" s="20" t="s">
        <v>842</v>
      </c>
      <c r="AB30" s="29">
        <v>8203</v>
      </c>
      <c r="AC30" s="29">
        <v>269.83552631578948</v>
      </c>
      <c r="AD30" s="27">
        <v>270</v>
      </c>
      <c r="AE30" s="47">
        <v>283.31099999999998</v>
      </c>
      <c r="AF30" s="20" t="s">
        <v>313</v>
      </c>
      <c r="AG30" s="20" t="s">
        <v>314</v>
      </c>
      <c r="AH30" s="20">
        <v>90</v>
      </c>
      <c r="AI30" s="20" t="s">
        <v>315</v>
      </c>
      <c r="AJ30" s="20" t="s">
        <v>290</v>
      </c>
      <c r="AK30" s="20" t="s">
        <v>843</v>
      </c>
      <c r="AL30" s="20" t="s">
        <v>317</v>
      </c>
      <c r="AM30" s="20" t="s">
        <v>318</v>
      </c>
      <c r="AN30" s="20" t="s">
        <v>319</v>
      </c>
      <c r="AO30" s="19">
        <v>153009042</v>
      </c>
      <c r="AP30" s="20" t="s">
        <v>844</v>
      </c>
      <c r="AQ30" s="20">
        <v>4447141711</v>
      </c>
      <c r="AR30" s="19" t="s">
        <v>845</v>
      </c>
      <c r="AS30" s="19" t="s">
        <v>846</v>
      </c>
      <c r="AT30" s="19" t="s">
        <v>776</v>
      </c>
      <c r="AU30" s="55"/>
      <c r="AV30" s="20" t="s">
        <v>480</v>
      </c>
      <c r="AW30" s="20" t="s">
        <v>847</v>
      </c>
      <c r="AX30" s="19">
        <v>100</v>
      </c>
      <c r="AY30" s="20" t="s">
        <v>328</v>
      </c>
      <c r="AZ30" s="20" t="s">
        <v>848</v>
      </c>
      <c r="BA30" s="20" t="s">
        <v>681</v>
      </c>
      <c r="BB30" s="20">
        <v>11000</v>
      </c>
      <c r="BC30" s="33" t="s">
        <v>357</v>
      </c>
      <c r="BD30" s="19"/>
      <c r="BE30" s="33" t="s">
        <v>357</v>
      </c>
      <c r="BF30" s="55"/>
      <c r="BG30" s="55"/>
      <c r="BH30" s="55"/>
      <c r="BI30" s="55"/>
      <c r="BJ30" s="20" t="s">
        <v>53</v>
      </c>
      <c r="BK30" s="53">
        <v>45685</v>
      </c>
      <c r="BL30" s="20" t="s">
        <v>625</v>
      </c>
      <c r="BM30" s="52" t="s">
        <v>849</v>
      </c>
      <c r="BN30" s="19" t="s">
        <v>1444</v>
      </c>
      <c r="BO30" s="19"/>
      <c r="BP30" s="19"/>
      <c r="BQ30" s="44" t="s">
        <v>846</v>
      </c>
      <c r="BR30" s="44" t="s">
        <v>325</v>
      </c>
      <c r="BS30" s="44">
        <v>4444458864</v>
      </c>
      <c r="BT30" s="52" t="s">
        <v>333</v>
      </c>
      <c r="BU30" s="52" t="s">
        <v>398</v>
      </c>
      <c r="BV30" s="44">
        <v>0</v>
      </c>
    </row>
    <row r="31" spans="1:74" x14ac:dyDescent="0.25">
      <c r="A31" s="19">
        <v>753</v>
      </c>
      <c r="B31" s="52" t="s">
        <v>335</v>
      </c>
      <c r="C31" s="20" t="s">
        <v>105</v>
      </c>
      <c r="D31" s="19" t="s">
        <v>850</v>
      </c>
      <c r="E31" s="21">
        <v>45600</v>
      </c>
      <c r="F31" s="36">
        <v>45690</v>
      </c>
      <c r="G31" s="37">
        <v>45600</v>
      </c>
      <c r="H31" s="19" t="s">
        <v>291</v>
      </c>
      <c r="I31" s="19" t="s">
        <v>851</v>
      </c>
      <c r="J31" s="19" t="s">
        <v>405</v>
      </c>
      <c r="K31" s="19" t="s">
        <v>852</v>
      </c>
      <c r="L31" s="55" t="s">
        <v>853</v>
      </c>
      <c r="M31" s="19" t="s">
        <v>854</v>
      </c>
      <c r="N31" s="19" t="s">
        <v>855</v>
      </c>
      <c r="O31" s="19" t="s">
        <v>571</v>
      </c>
      <c r="P31" s="24">
        <v>30067</v>
      </c>
      <c r="Q31" s="20">
        <v>26</v>
      </c>
      <c r="R31" s="20">
        <v>4</v>
      </c>
      <c r="S31" s="20">
        <v>82</v>
      </c>
      <c r="T31" s="38">
        <v>42</v>
      </c>
      <c r="U31" s="20" t="s">
        <v>452</v>
      </c>
      <c r="V31" s="20" t="s">
        <v>856</v>
      </c>
      <c r="W31" s="20" t="s">
        <v>310</v>
      </c>
      <c r="X31" s="46" t="s">
        <v>216</v>
      </c>
      <c r="Y31" s="20" t="s">
        <v>223</v>
      </c>
      <c r="Z31" s="20" t="s">
        <v>857</v>
      </c>
      <c r="AA31" s="20" t="s">
        <v>858</v>
      </c>
      <c r="AB31" s="29">
        <v>11156.8</v>
      </c>
      <c r="AC31" s="29">
        <v>367</v>
      </c>
      <c r="AD31" s="27">
        <v>367</v>
      </c>
      <c r="AE31" s="47">
        <v>385.09309999999994</v>
      </c>
      <c r="AF31" s="20" t="s">
        <v>313</v>
      </c>
      <c r="AG31" s="20" t="s">
        <v>314</v>
      </c>
      <c r="AH31" s="20">
        <v>90</v>
      </c>
      <c r="AI31" s="19" t="s">
        <v>859</v>
      </c>
      <c r="AJ31" s="19" t="s">
        <v>291</v>
      </c>
      <c r="AK31" s="20" t="s">
        <v>860</v>
      </c>
      <c r="AL31" s="19" t="s">
        <v>317</v>
      </c>
      <c r="AM31" s="19" t="s">
        <v>318</v>
      </c>
      <c r="AN31" s="19" t="s">
        <v>319</v>
      </c>
      <c r="AO31" s="19">
        <v>2875168198</v>
      </c>
      <c r="AP31" s="19" t="s">
        <v>861</v>
      </c>
      <c r="AQ31" s="19" t="s">
        <v>862</v>
      </c>
      <c r="AR31" s="23" t="s">
        <v>863</v>
      </c>
      <c r="AS31" s="28" t="s">
        <v>864</v>
      </c>
      <c r="AT31" s="19" t="s">
        <v>401</v>
      </c>
      <c r="AU31" s="55"/>
      <c r="AV31" s="57" t="s">
        <v>865</v>
      </c>
      <c r="AW31" s="55" t="s">
        <v>866</v>
      </c>
      <c r="AX31" s="19">
        <v>261</v>
      </c>
      <c r="AY31" s="20" t="s">
        <v>328</v>
      </c>
      <c r="AZ31" s="20" t="s">
        <v>105</v>
      </c>
      <c r="BA31" s="20" t="s">
        <v>105</v>
      </c>
      <c r="BB31" s="20">
        <v>20059</v>
      </c>
      <c r="BC31" s="20" t="s">
        <v>357</v>
      </c>
      <c r="BD31" s="19"/>
      <c r="BE31" s="20" t="s">
        <v>357</v>
      </c>
      <c r="BF31" s="55"/>
      <c r="BG31" s="55"/>
      <c r="BH31" s="55"/>
      <c r="BI31" s="55"/>
      <c r="BJ31" s="20" t="s">
        <v>53</v>
      </c>
      <c r="BK31" s="53">
        <v>45743</v>
      </c>
      <c r="BL31" s="20" t="s">
        <v>625</v>
      </c>
      <c r="BM31" s="52" t="s">
        <v>867</v>
      </c>
      <c r="BN31" s="19" t="s">
        <v>1444</v>
      </c>
      <c r="BO31" s="19"/>
      <c r="BP31" s="19"/>
      <c r="BQ31" s="44" t="s">
        <v>868</v>
      </c>
      <c r="BR31" s="44" t="s">
        <v>560</v>
      </c>
      <c r="BS31" s="66" t="s">
        <v>869</v>
      </c>
      <c r="BT31" s="52" t="s">
        <v>333</v>
      </c>
      <c r="BU31" s="52" t="s">
        <v>398</v>
      </c>
      <c r="BV31" s="44">
        <v>2</v>
      </c>
    </row>
    <row r="32" spans="1:74" x14ac:dyDescent="0.25">
      <c r="A32" s="19">
        <v>757</v>
      </c>
      <c r="B32" s="52" t="s">
        <v>564</v>
      </c>
      <c r="C32" s="20" t="s">
        <v>565</v>
      </c>
      <c r="D32" s="19">
        <v>41917329447</v>
      </c>
      <c r="E32" s="21">
        <v>45603</v>
      </c>
      <c r="F32" s="36">
        <v>45693</v>
      </c>
      <c r="G32" s="37">
        <v>45603</v>
      </c>
      <c r="H32" s="19" t="s">
        <v>290</v>
      </c>
      <c r="I32" s="19" t="s">
        <v>507</v>
      </c>
      <c r="J32" s="19" t="s">
        <v>870</v>
      </c>
      <c r="K32" s="19" t="s">
        <v>871</v>
      </c>
      <c r="L32" s="55" t="s">
        <v>872</v>
      </c>
      <c r="M32" s="19" t="s">
        <v>873</v>
      </c>
      <c r="N32" s="19" t="s">
        <v>874</v>
      </c>
      <c r="O32" s="19" t="s">
        <v>571</v>
      </c>
      <c r="P32" s="24">
        <v>26928</v>
      </c>
      <c r="Q32" s="20">
        <v>21</v>
      </c>
      <c r="R32" s="20">
        <v>9</v>
      </c>
      <c r="S32" s="20">
        <v>73</v>
      </c>
      <c r="T32" s="38">
        <v>51</v>
      </c>
      <c r="U32" s="20" t="s">
        <v>389</v>
      </c>
      <c r="V32" s="20" t="s">
        <v>875</v>
      </c>
      <c r="W32" s="20" t="s">
        <v>472</v>
      </c>
      <c r="X32" s="46" t="s">
        <v>617</v>
      </c>
      <c r="Y32" s="20" t="s">
        <v>260</v>
      </c>
      <c r="Z32" s="20" t="s">
        <v>532</v>
      </c>
      <c r="AA32" s="20" t="s">
        <v>574</v>
      </c>
      <c r="AB32" s="29">
        <v>10640</v>
      </c>
      <c r="AC32" s="29">
        <v>350</v>
      </c>
      <c r="AD32" s="27">
        <v>350</v>
      </c>
      <c r="AE32" s="47">
        <v>367.25499999999994</v>
      </c>
      <c r="AF32" s="20" t="s">
        <v>313</v>
      </c>
      <c r="AG32" s="20" t="s">
        <v>314</v>
      </c>
      <c r="AH32" s="20">
        <v>90</v>
      </c>
      <c r="AI32" s="20" t="s">
        <v>710</v>
      </c>
      <c r="AJ32" s="20" t="s">
        <v>290</v>
      </c>
      <c r="AK32" s="20" t="s">
        <v>575</v>
      </c>
      <c r="AL32" s="20" t="s">
        <v>317</v>
      </c>
      <c r="AM32" s="20" t="s">
        <v>318</v>
      </c>
      <c r="AN32" s="20" t="s">
        <v>319</v>
      </c>
      <c r="AO32" s="19">
        <v>1539284431</v>
      </c>
      <c r="AP32" s="56" t="s">
        <v>876</v>
      </c>
      <c r="AQ32" s="20">
        <v>5654440852</v>
      </c>
      <c r="AR32" s="23" t="s">
        <v>877</v>
      </c>
      <c r="AS32" s="28" t="s">
        <v>878</v>
      </c>
      <c r="AT32" s="28" t="s">
        <v>401</v>
      </c>
      <c r="AU32" s="55"/>
      <c r="AV32" s="28" t="s">
        <v>480</v>
      </c>
      <c r="AW32" s="55" t="s">
        <v>879</v>
      </c>
      <c r="AX32" s="28" t="s">
        <v>880</v>
      </c>
      <c r="AY32" s="28" t="s">
        <v>328</v>
      </c>
      <c r="AZ32" s="28" t="s">
        <v>624</v>
      </c>
      <c r="BA32" s="28" t="s">
        <v>583</v>
      </c>
      <c r="BB32" s="28">
        <v>45680</v>
      </c>
      <c r="BC32" s="33" t="s">
        <v>357</v>
      </c>
      <c r="BD32" s="19"/>
      <c r="BE32" s="33" t="s">
        <v>357</v>
      </c>
      <c r="BF32" s="55"/>
      <c r="BG32" s="55"/>
      <c r="BH32" s="55"/>
      <c r="BI32" s="55"/>
      <c r="BJ32" s="20" t="s">
        <v>53</v>
      </c>
      <c r="BK32" s="53">
        <v>45678</v>
      </c>
      <c r="BL32" s="20" t="s">
        <v>625</v>
      </c>
      <c r="BM32" s="52" t="s">
        <v>881</v>
      </c>
      <c r="BN32" s="19" t="s">
        <v>1444</v>
      </c>
      <c r="BO32" s="19"/>
      <c r="BP32" s="19"/>
      <c r="BQ32" s="44" t="s">
        <v>878</v>
      </c>
      <c r="BR32" s="44" t="s">
        <v>401</v>
      </c>
      <c r="BS32" s="66">
        <v>3327687392</v>
      </c>
      <c r="BT32" s="66" t="s">
        <v>685</v>
      </c>
      <c r="BU32" s="52" t="s">
        <v>398</v>
      </c>
      <c r="BV32" s="44">
        <v>0</v>
      </c>
    </row>
    <row r="33" spans="1:74" x14ac:dyDescent="0.25">
      <c r="A33" s="19">
        <v>762</v>
      </c>
      <c r="B33" s="44" t="s">
        <v>335</v>
      </c>
      <c r="C33" s="20" t="s">
        <v>140</v>
      </c>
      <c r="D33" s="19">
        <v>10159267342</v>
      </c>
      <c r="E33" s="21">
        <v>45607</v>
      </c>
      <c r="F33" s="36">
        <v>45697</v>
      </c>
      <c r="G33" s="37">
        <v>45607</v>
      </c>
      <c r="H33" s="19" t="s">
        <v>290</v>
      </c>
      <c r="I33" s="19" t="s">
        <v>365</v>
      </c>
      <c r="J33" s="19" t="s">
        <v>882</v>
      </c>
      <c r="K33" s="19" t="s">
        <v>883</v>
      </c>
      <c r="L33" s="55" t="s">
        <v>884</v>
      </c>
      <c r="M33" s="19" t="s">
        <v>885</v>
      </c>
      <c r="N33" s="19" t="s">
        <v>886</v>
      </c>
      <c r="O33" s="19" t="s">
        <v>571</v>
      </c>
      <c r="P33" s="24">
        <v>33967</v>
      </c>
      <c r="Q33" s="20">
        <v>29</v>
      </c>
      <c r="R33" s="20">
        <v>12</v>
      </c>
      <c r="S33" s="20">
        <v>1992</v>
      </c>
      <c r="T33" s="38">
        <v>31</v>
      </c>
      <c r="U33" s="20" t="s">
        <v>389</v>
      </c>
      <c r="V33" s="20" t="s">
        <v>887</v>
      </c>
      <c r="W33" s="20" t="s">
        <v>693</v>
      </c>
      <c r="X33" s="46" t="s">
        <v>160</v>
      </c>
      <c r="Y33" s="20" t="s">
        <v>241</v>
      </c>
      <c r="Z33" s="20" t="s">
        <v>532</v>
      </c>
      <c r="AA33" s="20" t="s">
        <v>888</v>
      </c>
      <c r="AB33" s="29">
        <v>15565</v>
      </c>
      <c r="AC33" s="29">
        <v>512.00657894736844</v>
      </c>
      <c r="AD33" s="27">
        <v>512</v>
      </c>
      <c r="AE33" s="47">
        <v>537.24159999999995</v>
      </c>
      <c r="AF33" s="20" t="s">
        <v>313</v>
      </c>
      <c r="AG33" s="20" t="s">
        <v>314</v>
      </c>
      <c r="AH33" s="20">
        <v>90</v>
      </c>
      <c r="AI33" s="19" t="s">
        <v>554</v>
      </c>
      <c r="AJ33" s="19" t="s">
        <v>290</v>
      </c>
      <c r="AK33" s="19" t="s">
        <v>555</v>
      </c>
      <c r="AL33" s="20" t="s">
        <v>317</v>
      </c>
      <c r="AM33" s="20" t="s">
        <v>318</v>
      </c>
      <c r="AN33" s="20" t="s">
        <v>319</v>
      </c>
      <c r="AO33" s="19">
        <v>14008550772</v>
      </c>
      <c r="AP33" s="20" t="s">
        <v>889</v>
      </c>
      <c r="AQ33" s="20">
        <v>4423671092</v>
      </c>
      <c r="AR33" s="23" t="s">
        <v>890</v>
      </c>
      <c r="AS33" s="28" t="s">
        <v>891</v>
      </c>
      <c r="AT33" s="28" t="s">
        <v>892</v>
      </c>
      <c r="AU33" s="55"/>
      <c r="AV33" s="20" t="s">
        <v>398</v>
      </c>
      <c r="AW33" s="20" t="s">
        <v>893</v>
      </c>
      <c r="AX33" s="28">
        <v>22</v>
      </c>
      <c r="AY33" s="28">
        <v>38</v>
      </c>
      <c r="AZ33" s="28" t="s">
        <v>894</v>
      </c>
      <c r="BA33" s="28" t="s">
        <v>681</v>
      </c>
      <c r="BB33" s="28" t="s">
        <v>895</v>
      </c>
      <c r="BC33" s="33" t="s">
        <v>357</v>
      </c>
      <c r="BD33" s="19"/>
      <c r="BE33" s="33" t="s">
        <v>357</v>
      </c>
      <c r="BF33" s="55"/>
      <c r="BG33" s="55"/>
      <c r="BH33" s="55"/>
      <c r="BI33" s="55"/>
      <c r="BJ33" s="20" t="s">
        <v>53</v>
      </c>
      <c r="BK33" s="53">
        <v>45694</v>
      </c>
      <c r="BL33" s="20" t="s">
        <v>625</v>
      </c>
      <c r="BM33" s="52" t="s">
        <v>896</v>
      </c>
      <c r="BN33" s="19" t="s">
        <v>1444</v>
      </c>
      <c r="BO33" s="19"/>
      <c r="BP33" s="19"/>
      <c r="BQ33" s="44" t="s">
        <v>891</v>
      </c>
      <c r="BR33" s="66" t="s">
        <v>892</v>
      </c>
      <c r="BS33" s="66">
        <v>4423895643</v>
      </c>
      <c r="BT33" s="66" t="s">
        <v>333</v>
      </c>
      <c r="BU33" s="66" t="s">
        <v>398</v>
      </c>
      <c r="BV33" s="44">
        <v>1</v>
      </c>
    </row>
    <row r="34" spans="1:74" x14ac:dyDescent="0.25">
      <c r="A34" s="19">
        <v>763</v>
      </c>
      <c r="B34" s="52" t="s">
        <v>335</v>
      </c>
      <c r="C34" s="20" t="s">
        <v>133</v>
      </c>
      <c r="D34" s="19">
        <v>38189996366</v>
      </c>
      <c r="E34" s="21">
        <v>45608</v>
      </c>
      <c r="F34" s="36">
        <v>45698</v>
      </c>
      <c r="G34" s="37">
        <v>45608</v>
      </c>
      <c r="H34" s="19" t="s">
        <v>290</v>
      </c>
      <c r="I34" s="19" t="s">
        <v>897</v>
      </c>
      <c r="J34" s="19" t="s">
        <v>898</v>
      </c>
      <c r="K34" s="19" t="s">
        <v>899</v>
      </c>
      <c r="L34" s="55" t="s">
        <v>900</v>
      </c>
      <c r="M34" s="19" t="s">
        <v>901</v>
      </c>
      <c r="N34" s="19" t="s">
        <v>902</v>
      </c>
      <c r="O34" s="19" t="s">
        <v>571</v>
      </c>
      <c r="P34" s="24">
        <v>36354</v>
      </c>
      <c r="Q34" s="20">
        <v>13</v>
      </c>
      <c r="R34" s="20">
        <v>7</v>
      </c>
      <c r="S34" s="20">
        <v>99</v>
      </c>
      <c r="T34" s="38">
        <v>25</v>
      </c>
      <c r="U34" s="20" t="s">
        <v>389</v>
      </c>
      <c r="V34" s="20" t="s">
        <v>903</v>
      </c>
      <c r="W34" s="20" t="s">
        <v>454</v>
      </c>
      <c r="X34" s="46" t="s">
        <v>115</v>
      </c>
      <c r="Y34" s="20" t="s">
        <v>136</v>
      </c>
      <c r="Z34" s="20" t="s">
        <v>347</v>
      </c>
      <c r="AA34" s="20" t="s">
        <v>670</v>
      </c>
      <c r="AB34" s="29">
        <v>8203</v>
      </c>
      <c r="AC34" s="29">
        <v>269.83552631578948</v>
      </c>
      <c r="AD34" s="27">
        <v>269.85000000000002</v>
      </c>
      <c r="AE34" s="47">
        <v>283.15360499999997</v>
      </c>
      <c r="AF34" s="20" t="s">
        <v>313</v>
      </c>
      <c r="AG34" s="20" t="s">
        <v>314</v>
      </c>
      <c r="AH34" s="20">
        <v>90</v>
      </c>
      <c r="AI34" s="20" t="s">
        <v>671</v>
      </c>
      <c r="AJ34" s="20" t="s">
        <v>290</v>
      </c>
      <c r="AK34" s="20" t="s">
        <v>672</v>
      </c>
      <c r="AL34" s="20" t="s">
        <v>317</v>
      </c>
      <c r="AM34" s="20" t="s">
        <v>318</v>
      </c>
      <c r="AN34" s="20" t="s">
        <v>319</v>
      </c>
      <c r="AO34" s="56" t="s">
        <v>904</v>
      </c>
      <c r="AP34" s="20" t="s">
        <v>905</v>
      </c>
      <c r="AQ34" s="20">
        <v>8123740549</v>
      </c>
      <c r="AR34" s="23" t="s">
        <v>906</v>
      </c>
      <c r="AS34" s="28" t="s">
        <v>907</v>
      </c>
      <c r="AT34" s="28" t="s">
        <v>325</v>
      </c>
      <c r="AU34" s="55"/>
      <c r="AV34" s="28" t="s">
        <v>398</v>
      </c>
      <c r="AW34" s="55" t="s">
        <v>908</v>
      </c>
      <c r="AX34" s="28" t="s">
        <v>909</v>
      </c>
      <c r="AY34" s="28" t="s">
        <v>910</v>
      </c>
      <c r="AZ34" s="28" t="s">
        <v>911</v>
      </c>
      <c r="BA34" s="28" t="s">
        <v>912</v>
      </c>
      <c r="BB34" s="28">
        <v>66650</v>
      </c>
      <c r="BC34" s="25" t="s">
        <v>329</v>
      </c>
      <c r="BD34" s="19"/>
      <c r="BE34" s="25" t="s">
        <v>329</v>
      </c>
      <c r="BF34" s="55"/>
      <c r="BG34" s="55"/>
      <c r="BH34" s="55"/>
      <c r="BI34" s="55"/>
      <c r="BJ34" s="20" t="s">
        <v>53</v>
      </c>
      <c r="BK34" s="53">
        <v>45698</v>
      </c>
      <c r="BL34" s="20" t="s">
        <v>625</v>
      </c>
      <c r="BM34" s="52" t="s">
        <v>913</v>
      </c>
      <c r="BN34" s="19" t="s">
        <v>1444</v>
      </c>
      <c r="BO34" s="19"/>
      <c r="BP34" s="19"/>
      <c r="BQ34" s="44" t="s">
        <v>914</v>
      </c>
      <c r="BR34" s="66" t="s">
        <v>325</v>
      </c>
      <c r="BS34" s="66"/>
      <c r="BT34" s="66"/>
      <c r="BU34" s="66"/>
      <c r="BV34" s="66">
        <v>0</v>
      </c>
    </row>
    <row r="35" spans="1:74" x14ac:dyDescent="0.25">
      <c r="A35" s="19">
        <v>766</v>
      </c>
      <c r="B35" s="44" t="s">
        <v>335</v>
      </c>
      <c r="C35" s="20" t="s">
        <v>140</v>
      </c>
      <c r="D35" s="19">
        <v>2718024322</v>
      </c>
      <c r="E35" s="21">
        <v>45609</v>
      </c>
      <c r="F35" s="36">
        <v>45699</v>
      </c>
      <c r="G35" s="37">
        <v>45609</v>
      </c>
      <c r="H35" s="19" t="s">
        <v>290</v>
      </c>
      <c r="I35" s="19" t="s">
        <v>766</v>
      </c>
      <c r="J35" s="19" t="s">
        <v>590</v>
      </c>
      <c r="K35" s="19" t="s">
        <v>915</v>
      </c>
      <c r="L35" s="55" t="s">
        <v>916</v>
      </c>
      <c r="M35" s="19" t="s">
        <v>917</v>
      </c>
      <c r="N35" s="19" t="s">
        <v>918</v>
      </c>
      <c r="O35" s="19" t="s">
        <v>571</v>
      </c>
      <c r="P35" s="24">
        <v>37558</v>
      </c>
      <c r="Q35" s="20">
        <v>29</v>
      </c>
      <c r="R35" s="20">
        <v>10</v>
      </c>
      <c r="S35" s="20">
        <v>2002</v>
      </c>
      <c r="T35" s="38">
        <v>22</v>
      </c>
      <c r="U35" s="20" t="s">
        <v>389</v>
      </c>
      <c r="V35" s="20" t="s">
        <v>919</v>
      </c>
      <c r="W35" s="20" t="s">
        <v>920</v>
      </c>
      <c r="X35" s="46" t="s">
        <v>115</v>
      </c>
      <c r="Y35" s="20" t="s">
        <v>921</v>
      </c>
      <c r="Z35" s="20" t="s">
        <v>347</v>
      </c>
      <c r="AA35" s="20" t="s">
        <v>922</v>
      </c>
      <c r="AB35" s="29">
        <v>8964</v>
      </c>
      <c r="AC35" s="29">
        <v>295</v>
      </c>
      <c r="AD35" s="27">
        <v>295</v>
      </c>
      <c r="AE35" s="47">
        <v>309.54349999999999</v>
      </c>
      <c r="AF35" s="20" t="s">
        <v>313</v>
      </c>
      <c r="AG35" s="20" t="s">
        <v>314</v>
      </c>
      <c r="AH35" s="20">
        <v>90</v>
      </c>
      <c r="AI35" s="20" t="s">
        <v>554</v>
      </c>
      <c r="AJ35" s="20" t="s">
        <v>290</v>
      </c>
      <c r="AK35" s="20" t="s">
        <v>555</v>
      </c>
      <c r="AL35" s="20" t="s">
        <v>317</v>
      </c>
      <c r="AM35" s="20" t="s">
        <v>318</v>
      </c>
      <c r="AN35" s="20" t="s">
        <v>319</v>
      </c>
      <c r="AO35" s="28">
        <v>1524117448</v>
      </c>
      <c r="AP35" s="56" t="s">
        <v>923</v>
      </c>
      <c r="AQ35" s="55">
        <v>4481029775</v>
      </c>
      <c r="AR35" s="23" t="s">
        <v>924</v>
      </c>
      <c r="AS35" s="28" t="s">
        <v>925</v>
      </c>
      <c r="AT35" s="28" t="s">
        <v>325</v>
      </c>
      <c r="AU35" s="55"/>
      <c r="AV35" s="28" t="s">
        <v>398</v>
      </c>
      <c r="AW35" s="55" t="s">
        <v>926</v>
      </c>
      <c r="AX35" s="28">
        <v>60</v>
      </c>
      <c r="AY35" s="28" t="s">
        <v>328</v>
      </c>
      <c r="AZ35" s="28" t="s">
        <v>140</v>
      </c>
      <c r="BA35" s="28" t="s">
        <v>140</v>
      </c>
      <c r="BB35" s="28">
        <v>76209</v>
      </c>
      <c r="BC35" s="25" t="s">
        <v>329</v>
      </c>
      <c r="BD35" s="19"/>
      <c r="BE35" s="25" t="s">
        <v>329</v>
      </c>
      <c r="BF35" s="55"/>
      <c r="BG35" s="55"/>
      <c r="BH35" s="55"/>
      <c r="BI35" s="55"/>
      <c r="BJ35" s="20" t="s">
        <v>53</v>
      </c>
      <c r="BK35" s="53">
        <v>45671</v>
      </c>
      <c r="BL35" s="20" t="s">
        <v>56</v>
      </c>
      <c r="BM35" s="52" t="s">
        <v>927</v>
      </c>
      <c r="BN35" s="19" t="s">
        <v>1444</v>
      </c>
      <c r="BO35" s="19"/>
      <c r="BP35" s="19"/>
      <c r="BQ35" s="44" t="s">
        <v>925</v>
      </c>
      <c r="BR35" s="66" t="s">
        <v>325</v>
      </c>
      <c r="BS35" s="66">
        <v>4426573778</v>
      </c>
      <c r="BT35" s="66" t="s">
        <v>685</v>
      </c>
      <c r="BU35" s="66" t="s">
        <v>334</v>
      </c>
      <c r="BV35" s="66">
        <v>0</v>
      </c>
    </row>
    <row r="36" spans="1:74" x14ac:dyDescent="0.25">
      <c r="A36" s="19">
        <v>769</v>
      </c>
      <c r="B36" s="44" t="s">
        <v>335</v>
      </c>
      <c r="C36" s="20" t="s">
        <v>140</v>
      </c>
      <c r="D36" s="19">
        <v>53906915631</v>
      </c>
      <c r="E36" s="21">
        <v>45618</v>
      </c>
      <c r="F36" s="36">
        <v>45708</v>
      </c>
      <c r="G36" s="37">
        <v>45618</v>
      </c>
      <c r="H36" s="19" t="s">
        <v>291</v>
      </c>
      <c r="I36" s="19" t="s">
        <v>928</v>
      </c>
      <c r="J36" s="19" t="s">
        <v>447</v>
      </c>
      <c r="K36" s="19" t="s">
        <v>929</v>
      </c>
      <c r="L36" s="55" t="s">
        <v>930</v>
      </c>
      <c r="M36" s="19" t="s">
        <v>931</v>
      </c>
      <c r="N36" s="19" t="s">
        <v>932</v>
      </c>
      <c r="O36" s="19" t="s">
        <v>571</v>
      </c>
      <c r="P36" s="24">
        <v>25421</v>
      </c>
      <c r="Q36" s="20">
        <v>6</v>
      </c>
      <c r="R36" s="20">
        <v>8</v>
      </c>
      <c r="S36" s="20">
        <v>69</v>
      </c>
      <c r="T36" s="38">
        <v>55</v>
      </c>
      <c r="U36" s="20" t="s">
        <v>814</v>
      </c>
      <c r="V36" s="20" t="s">
        <v>933</v>
      </c>
      <c r="W36" s="20" t="s">
        <v>693</v>
      </c>
      <c r="X36" s="46" t="s">
        <v>216</v>
      </c>
      <c r="Y36" s="20" t="s">
        <v>238</v>
      </c>
      <c r="Z36" s="20" t="s">
        <v>857</v>
      </c>
      <c r="AA36" s="20" t="s">
        <v>934</v>
      </c>
      <c r="AB36" s="29">
        <v>11157</v>
      </c>
      <c r="AC36" s="29">
        <v>367.00657894736844</v>
      </c>
      <c r="AD36" s="27">
        <v>367</v>
      </c>
      <c r="AE36" s="47">
        <v>385.09309999999994</v>
      </c>
      <c r="AF36" s="20" t="s">
        <v>313</v>
      </c>
      <c r="AG36" s="20" t="s">
        <v>314</v>
      </c>
      <c r="AH36" s="20">
        <v>90</v>
      </c>
      <c r="AI36" s="20" t="s">
        <v>140</v>
      </c>
      <c r="AJ36" s="20" t="s">
        <v>291</v>
      </c>
      <c r="AK36" s="20" t="s">
        <v>555</v>
      </c>
      <c r="AL36" s="20" t="s">
        <v>317</v>
      </c>
      <c r="AM36" s="20" t="s">
        <v>318</v>
      </c>
      <c r="AN36" s="20" t="s">
        <v>319</v>
      </c>
      <c r="AO36" s="20">
        <v>1539613304</v>
      </c>
      <c r="AP36" s="20" t="s">
        <v>935</v>
      </c>
      <c r="AQ36" s="20">
        <v>3511211430</v>
      </c>
      <c r="AR36" s="23" t="s">
        <v>936</v>
      </c>
      <c r="AS36" s="20" t="s">
        <v>937</v>
      </c>
      <c r="AT36" s="20" t="s">
        <v>832</v>
      </c>
      <c r="AU36" s="20"/>
      <c r="AV36" s="20" t="s">
        <v>480</v>
      </c>
      <c r="AW36" s="58" t="s">
        <v>938</v>
      </c>
      <c r="AX36" s="39">
        <v>13</v>
      </c>
      <c r="AY36" s="39"/>
      <c r="AZ36" s="39" t="s">
        <v>898</v>
      </c>
      <c r="BA36" s="39" t="s">
        <v>939</v>
      </c>
      <c r="BB36" s="39">
        <v>59699</v>
      </c>
      <c r="BC36" s="33" t="s">
        <v>357</v>
      </c>
      <c r="BD36" s="19"/>
      <c r="BE36" s="33" t="s">
        <v>357</v>
      </c>
      <c r="BF36" s="58"/>
      <c r="BG36" s="58"/>
      <c r="BH36" s="58"/>
      <c r="BI36" s="58"/>
      <c r="BJ36" s="20" t="s">
        <v>53</v>
      </c>
      <c r="BK36" s="53">
        <v>45722</v>
      </c>
      <c r="BL36" s="20" t="s">
        <v>56</v>
      </c>
      <c r="BM36" s="52" t="s">
        <v>940</v>
      </c>
      <c r="BN36" s="19" t="s">
        <v>1444</v>
      </c>
      <c r="BO36" s="19"/>
      <c r="BP36" s="19"/>
      <c r="BQ36" s="66" t="s">
        <v>937</v>
      </c>
      <c r="BR36" s="66" t="s">
        <v>832</v>
      </c>
      <c r="BS36" s="66">
        <v>351123700</v>
      </c>
      <c r="BT36" s="66" t="s">
        <v>488</v>
      </c>
      <c r="BU36" s="66" t="s">
        <v>327</v>
      </c>
      <c r="BV36" s="66">
        <v>3</v>
      </c>
    </row>
    <row r="37" spans="1:74" x14ac:dyDescent="0.25">
      <c r="A37" s="19">
        <v>770</v>
      </c>
      <c r="B37" s="44" t="s">
        <v>335</v>
      </c>
      <c r="C37" s="19" t="s">
        <v>145</v>
      </c>
      <c r="D37" s="19">
        <v>18179606910</v>
      </c>
      <c r="E37" s="21">
        <v>45618</v>
      </c>
      <c r="F37" s="36">
        <v>45708</v>
      </c>
      <c r="G37" s="37">
        <v>45618</v>
      </c>
      <c r="H37" s="19" t="s">
        <v>291</v>
      </c>
      <c r="I37" s="19" t="s">
        <v>941</v>
      </c>
      <c r="J37" s="19" t="s">
        <v>942</v>
      </c>
      <c r="K37" s="19" t="s">
        <v>943</v>
      </c>
      <c r="L37" s="55" t="s">
        <v>944</v>
      </c>
      <c r="M37" s="19" t="s">
        <v>945</v>
      </c>
      <c r="N37" s="19" t="s">
        <v>946</v>
      </c>
      <c r="O37" s="19" t="s">
        <v>571</v>
      </c>
      <c r="P37" s="24">
        <v>35095</v>
      </c>
      <c r="Q37" s="20">
        <v>31</v>
      </c>
      <c r="R37" s="20">
        <v>1</v>
      </c>
      <c r="S37" s="20">
        <v>96</v>
      </c>
      <c r="T37" s="38">
        <v>28</v>
      </c>
      <c r="U37" s="20" t="s">
        <v>342</v>
      </c>
      <c r="V37" s="20" t="s">
        <v>947</v>
      </c>
      <c r="W37" s="20" t="s">
        <v>530</v>
      </c>
      <c r="X37" s="59" t="s">
        <v>216</v>
      </c>
      <c r="Y37" s="20" t="s">
        <v>230</v>
      </c>
      <c r="Z37" s="20" t="s">
        <v>857</v>
      </c>
      <c r="AA37" s="20" t="s">
        <v>948</v>
      </c>
      <c r="AB37" s="29">
        <v>11157</v>
      </c>
      <c r="AC37" s="29">
        <v>367.00657894736844</v>
      </c>
      <c r="AD37" s="27">
        <v>367</v>
      </c>
      <c r="AE37" s="47">
        <v>385.09309999999994</v>
      </c>
      <c r="AF37" s="20" t="s">
        <v>313</v>
      </c>
      <c r="AG37" s="20" t="s">
        <v>314</v>
      </c>
      <c r="AH37" s="20">
        <v>90</v>
      </c>
      <c r="AI37" s="20" t="s">
        <v>949</v>
      </c>
      <c r="AJ37" s="20" t="s">
        <v>291</v>
      </c>
      <c r="AK37" s="34" t="s">
        <v>950</v>
      </c>
      <c r="AL37" s="20" t="s">
        <v>317</v>
      </c>
      <c r="AM37" s="20" t="s">
        <v>318</v>
      </c>
      <c r="AN37" s="20" t="s">
        <v>319</v>
      </c>
      <c r="AO37" s="28" t="s">
        <v>951</v>
      </c>
      <c r="AP37" s="28" t="s">
        <v>952</v>
      </c>
      <c r="AQ37" s="28">
        <v>4871390491</v>
      </c>
      <c r="AR37" s="23" t="s">
        <v>953</v>
      </c>
      <c r="AS37" s="28" t="s">
        <v>954</v>
      </c>
      <c r="AT37" s="28" t="s">
        <v>776</v>
      </c>
      <c r="AU37" s="55"/>
      <c r="AV37" s="28" t="s">
        <v>480</v>
      </c>
      <c r="AW37" s="28" t="s">
        <v>955</v>
      </c>
      <c r="AX37" s="28">
        <v>106</v>
      </c>
      <c r="AY37" s="28"/>
      <c r="AZ37" s="28" t="s">
        <v>145</v>
      </c>
      <c r="BA37" s="28" t="s">
        <v>483</v>
      </c>
      <c r="BB37" s="28">
        <v>79613</v>
      </c>
      <c r="BC37" s="25" t="s">
        <v>329</v>
      </c>
      <c r="BD37" s="19" t="s">
        <v>956</v>
      </c>
      <c r="BE37" s="25" t="s">
        <v>329</v>
      </c>
      <c r="BF37" s="55"/>
      <c r="BG37" s="55"/>
      <c r="BH37" s="55"/>
      <c r="BI37" s="55"/>
      <c r="BJ37" s="20" t="s">
        <v>53</v>
      </c>
      <c r="BK37" s="53">
        <v>45707</v>
      </c>
      <c r="BL37" s="20" t="s">
        <v>625</v>
      </c>
      <c r="BM37" s="52" t="s">
        <v>957</v>
      </c>
      <c r="BN37" s="19" t="s">
        <v>1444</v>
      </c>
      <c r="BO37" s="19"/>
      <c r="BP37" s="19"/>
      <c r="BQ37" s="66" t="s">
        <v>958</v>
      </c>
      <c r="BR37" s="66" t="s">
        <v>776</v>
      </c>
      <c r="BS37" s="66">
        <v>4871185349</v>
      </c>
      <c r="BT37" s="66" t="s">
        <v>488</v>
      </c>
      <c r="BU37" s="66"/>
      <c r="BV37" s="66">
        <v>2</v>
      </c>
    </row>
    <row r="38" spans="1:74" x14ac:dyDescent="0.25">
      <c r="A38" s="19">
        <v>772</v>
      </c>
      <c r="B38" s="52" t="s">
        <v>564</v>
      </c>
      <c r="C38" s="20" t="s">
        <v>565</v>
      </c>
      <c r="D38" s="19">
        <v>5616990857</v>
      </c>
      <c r="E38" s="21">
        <v>45629</v>
      </c>
      <c r="F38" s="36">
        <v>45719</v>
      </c>
      <c r="G38" s="37">
        <v>45629</v>
      </c>
      <c r="H38" s="19" t="s">
        <v>290</v>
      </c>
      <c r="I38" s="19" t="s">
        <v>959</v>
      </c>
      <c r="J38" s="19" t="s">
        <v>960</v>
      </c>
      <c r="K38" s="19" t="s">
        <v>961</v>
      </c>
      <c r="L38" s="55" t="s">
        <v>962</v>
      </c>
      <c r="M38" s="19" t="s">
        <v>963</v>
      </c>
      <c r="N38" s="19" t="s">
        <v>964</v>
      </c>
      <c r="O38" s="19" t="s">
        <v>571</v>
      </c>
      <c r="P38" s="24">
        <v>36334</v>
      </c>
      <c r="Q38" s="20">
        <v>23</v>
      </c>
      <c r="R38" s="20">
        <v>6</v>
      </c>
      <c r="S38" s="20">
        <v>1999</v>
      </c>
      <c r="T38" s="38">
        <v>25</v>
      </c>
      <c r="U38" s="20" t="s">
        <v>389</v>
      </c>
      <c r="V38" s="20" t="s">
        <v>965</v>
      </c>
      <c r="W38" s="20" t="s">
        <v>530</v>
      </c>
      <c r="X38" s="46" t="s">
        <v>617</v>
      </c>
      <c r="Y38" s="20" t="s">
        <v>260</v>
      </c>
      <c r="Z38" s="20" t="s">
        <v>532</v>
      </c>
      <c r="AA38" s="20" t="s">
        <v>574</v>
      </c>
      <c r="AB38" s="29">
        <v>10640</v>
      </c>
      <c r="AC38" s="29">
        <v>350</v>
      </c>
      <c r="AD38" s="27">
        <v>350</v>
      </c>
      <c r="AE38" s="47">
        <v>367.25499999999994</v>
      </c>
      <c r="AF38" s="20" t="s">
        <v>313</v>
      </c>
      <c r="AG38" s="20" t="s">
        <v>314</v>
      </c>
      <c r="AH38" s="20">
        <v>90</v>
      </c>
      <c r="AI38" s="20" t="s">
        <v>710</v>
      </c>
      <c r="AJ38" s="20" t="s">
        <v>290</v>
      </c>
      <c r="AK38" s="20" t="s">
        <v>575</v>
      </c>
      <c r="AL38" s="20" t="s">
        <v>317</v>
      </c>
      <c r="AM38" s="20" t="s">
        <v>318</v>
      </c>
      <c r="AN38" s="20" t="s">
        <v>319</v>
      </c>
      <c r="AO38" s="28">
        <v>1532560953</v>
      </c>
      <c r="AP38" s="28" t="s">
        <v>966</v>
      </c>
      <c r="AQ38" s="55">
        <v>3326229536</v>
      </c>
      <c r="AR38" s="23" t="s">
        <v>967</v>
      </c>
      <c r="AS38" s="28" t="s">
        <v>968</v>
      </c>
      <c r="AT38" s="28" t="s">
        <v>776</v>
      </c>
      <c r="AU38" s="55"/>
      <c r="AV38" s="28" t="s">
        <v>480</v>
      </c>
      <c r="AW38" s="28" t="s">
        <v>969</v>
      </c>
      <c r="AX38" s="28">
        <v>481</v>
      </c>
      <c r="AY38" s="28"/>
      <c r="AZ38" s="28" t="s">
        <v>624</v>
      </c>
      <c r="BA38" s="28" t="s">
        <v>583</v>
      </c>
      <c r="BB38" s="28">
        <v>45685</v>
      </c>
      <c r="BC38" s="33" t="s">
        <v>357</v>
      </c>
      <c r="BD38" s="19"/>
      <c r="BE38" s="33" t="s">
        <v>357</v>
      </c>
      <c r="BF38" s="55"/>
      <c r="BG38" s="55"/>
      <c r="BH38" s="55"/>
      <c r="BI38" s="55"/>
      <c r="BJ38" s="20" t="s">
        <v>53</v>
      </c>
      <c r="BK38" s="53">
        <v>45719</v>
      </c>
      <c r="BL38" s="20" t="s">
        <v>970</v>
      </c>
      <c r="BM38" s="52" t="s">
        <v>971</v>
      </c>
      <c r="BN38" s="19" t="s">
        <v>1444</v>
      </c>
      <c r="BO38" s="19"/>
      <c r="BP38" s="19"/>
      <c r="BQ38" s="66" t="s">
        <v>968</v>
      </c>
      <c r="BR38" s="66" t="s">
        <v>776</v>
      </c>
      <c r="BS38" s="66">
        <v>3331082783</v>
      </c>
      <c r="BT38" s="66" t="s">
        <v>488</v>
      </c>
      <c r="BU38" s="66" t="s">
        <v>398</v>
      </c>
      <c r="BV38" s="66">
        <v>0</v>
      </c>
    </row>
    <row r="39" spans="1:74" x14ac:dyDescent="0.25">
      <c r="A39" s="19">
        <v>774</v>
      </c>
      <c r="B39" s="52" t="s">
        <v>564</v>
      </c>
      <c r="C39" s="20" t="s">
        <v>565</v>
      </c>
      <c r="D39" s="35" t="s">
        <v>972</v>
      </c>
      <c r="E39" s="21">
        <v>45635</v>
      </c>
      <c r="F39" s="36">
        <v>45725</v>
      </c>
      <c r="G39" s="24">
        <v>45635</v>
      </c>
      <c r="H39" s="19" t="s">
        <v>290</v>
      </c>
      <c r="I39" s="19" t="s">
        <v>973</v>
      </c>
      <c r="J39" s="19" t="s">
        <v>507</v>
      </c>
      <c r="K39" s="19" t="s">
        <v>974</v>
      </c>
      <c r="L39" s="55" t="s">
        <v>975</v>
      </c>
      <c r="M39" s="19" t="s">
        <v>976</v>
      </c>
      <c r="N39" s="19" t="s">
        <v>977</v>
      </c>
      <c r="O39" s="19" t="s">
        <v>571</v>
      </c>
      <c r="P39" s="24">
        <v>38265</v>
      </c>
      <c r="Q39" s="20">
        <v>5</v>
      </c>
      <c r="R39" s="20">
        <v>10</v>
      </c>
      <c r="S39" s="20">
        <v>2004</v>
      </c>
      <c r="T39" s="38">
        <v>20</v>
      </c>
      <c r="U39" s="20" t="s">
        <v>452</v>
      </c>
      <c r="V39" s="20" t="s">
        <v>978</v>
      </c>
      <c r="W39" s="20" t="s">
        <v>530</v>
      </c>
      <c r="X39" s="46" t="s">
        <v>617</v>
      </c>
      <c r="Y39" s="20" t="s">
        <v>260</v>
      </c>
      <c r="Z39" s="20" t="s">
        <v>532</v>
      </c>
      <c r="AA39" s="20" t="s">
        <v>574</v>
      </c>
      <c r="AB39" s="29">
        <v>10640</v>
      </c>
      <c r="AC39" s="29">
        <v>350</v>
      </c>
      <c r="AD39" s="27">
        <v>350</v>
      </c>
      <c r="AE39" s="47">
        <v>367.25499999999994</v>
      </c>
      <c r="AF39" s="20" t="s">
        <v>313</v>
      </c>
      <c r="AG39" s="20" t="s">
        <v>314</v>
      </c>
      <c r="AH39" s="20">
        <v>90</v>
      </c>
      <c r="AI39" s="20" t="s">
        <v>710</v>
      </c>
      <c r="AJ39" s="20" t="s">
        <v>290</v>
      </c>
      <c r="AK39" s="20" t="s">
        <v>575</v>
      </c>
      <c r="AL39" s="20" t="s">
        <v>317</v>
      </c>
      <c r="AM39" s="20" t="s">
        <v>318</v>
      </c>
      <c r="AN39" s="20" t="s">
        <v>319</v>
      </c>
      <c r="AO39" s="28">
        <v>56907868072</v>
      </c>
      <c r="AP39" s="28" t="s">
        <v>979</v>
      </c>
      <c r="AQ39" s="55">
        <v>3141033898</v>
      </c>
      <c r="AR39" s="23" t="s">
        <v>980</v>
      </c>
      <c r="AS39" s="28" t="s">
        <v>981</v>
      </c>
      <c r="AT39" s="28" t="s">
        <v>560</v>
      </c>
      <c r="AU39" s="55"/>
      <c r="AV39" s="28" t="s">
        <v>480</v>
      </c>
      <c r="AW39" s="28" t="s">
        <v>982</v>
      </c>
      <c r="AX39" s="28" t="s">
        <v>983</v>
      </c>
      <c r="AY39" s="28"/>
      <c r="AZ39" s="28" t="s">
        <v>984</v>
      </c>
      <c r="BA39" s="28" t="s">
        <v>985</v>
      </c>
      <c r="BB39" s="28">
        <v>28800</v>
      </c>
      <c r="BC39" s="33" t="s">
        <v>357</v>
      </c>
      <c r="BD39" s="19"/>
      <c r="BE39" s="33" t="s">
        <v>357</v>
      </c>
      <c r="BF39" s="55"/>
      <c r="BG39" s="55"/>
      <c r="BH39" s="55"/>
      <c r="BI39" s="55"/>
      <c r="BJ39" s="20" t="s">
        <v>53</v>
      </c>
      <c r="BK39" s="53">
        <v>45750</v>
      </c>
      <c r="BL39" s="20" t="s">
        <v>56</v>
      </c>
      <c r="BM39" s="52" t="s">
        <v>986</v>
      </c>
      <c r="BN39" s="19" t="s">
        <v>1444</v>
      </c>
      <c r="BO39" s="19"/>
      <c r="BP39" s="19"/>
      <c r="BQ39" s="66" t="s">
        <v>987</v>
      </c>
      <c r="BR39" s="66" t="s">
        <v>560</v>
      </c>
      <c r="BS39" s="66">
        <v>3141627990</v>
      </c>
      <c r="BT39" s="66" t="s">
        <v>444</v>
      </c>
      <c r="BU39" s="66" t="s">
        <v>988</v>
      </c>
      <c r="BV39" s="66">
        <v>1</v>
      </c>
    </row>
    <row r="40" spans="1:74" x14ac:dyDescent="0.25">
      <c r="A40" s="19">
        <v>775</v>
      </c>
      <c r="B40" s="52" t="s">
        <v>335</v>
      </c>
      <c r="C40" s="20" t="s">
        <v>105</v>
      </c>
      <c r="D40" s="19">
        <v>51119218744</v>
      </c>
      <c r="E40" s="21">
        <v>45639</v>
      </c>
      <c r="F40" s="36">
        <v>45729</v>
      </c>
      <c r="G40" s="37">
        <v>45639</v>
      </c>
      <c r="H40" s="19" t="s">
        <v>291</v>
      </c>
      <c r="I40" s="19" t="s">
        <v>989</v>
      </c>
      <c r="J40" s="19" t="s">
        <v>990</v>
      </c>
      <c r="K40" s="19" t="s">
        <v>991</v>
      </c>
      <c r="L40" s="55" t="s">
        <v>992</v>
      </c>
      <c r="M40" s="19" t="s">
        <v>993</v>
      </c>
      <c r="N40" s="19" t="s">
        <v>994</v>
      </c>
      <c r="O40" s="19" t="s">
        <v>633</v>
      </c>
      <c r="P40" s="24">
        <v>33939</v>
      </c>
      <c r="Q40" s="20">
        <v>1</v>
      </c>
      <c r="R40" s="20">
        <v>12</v>
      </c>
      <c r="S40" s="20">
        <v>1992</v>
      </c>
      <c r="T40" s="38">
        <v>32</v>
      </c>
      <c r="U40" s="20" t="s">
        <v>308</v>
      </c>
      <c r="V40" s="20" t="s">
        <v>995</v>
      </c>
      <c r="W40" s="20" t="s">
        <v>996</v>
      </c>
      <c r="X40" s="46" t="s">
        <v>216</v>
      </c>
      <c r="Y40" s="20" t="s">
        <v>223</v>
      </c>
      <c r="Z40" s="20" t="s">
        <v>857</v>
      </c>
      <c r="AA40" s="20" t="s">
        <v>858</v>
      </c>
      <c r="AB40" s="29">
        <v>11156.8</v>
      </c>
      <c r="AC40" s="29">
        <v>367</v>
      </c>
      <c r="AD40" s="27">
        <v>367</v>
      </c>
      <c r="AE40" s="47">
        <v>385.09309999999994</v>
      </c>
      <c r="AF40" s="20" t="s">
        <v>313</v>
      </c>
      <c r="AG40" s="20" t="s">
        <v>314</v>
      </c>
      <c r="AH40" s="20">
        <v>90</v>
      </c>
      <c r="AI40" s="19" t="s">
        <v>859</v>
      </c>
      <c r="AJ40" s="19" t="s">
        <v>291</v>
      </c>
      <c r="AK40" s="20" t="s">
        <v>860</v>
      </c>
      <c r="AL40" s="19" t="s">
        <v>317</v>
      </c>
      <c r="AM40" s="19" t="s">
        <v>318</v>
      </c>
      <c r="AN40" s="19" t="s">
        <v>319</v>
      </c>
      <c r="AO40" s="28">
        <v>2947533845</v>
      </c>
      <c r="AP40" s="28" t="s">
        <v>997</v>
      </c>
      <c r="AQ40" s="28">
        <v>4492011280</v>
      </c>
      <c r="AR40" s="19" t="s">
        <v>998</v>
      </c>
      <c r="AS40" s="41"/>
      <c r="AT40" s="41"/>
      <c r="AU40" s="64"/>
      <c r="AV40" s="28" t="s">
        <v>480</v>
      </c>
      <c r="AW40" s="28" t="s">
        <v>999</v>
      </c>
      <c r="AX40" s="28">
        <v>634</v>
      </c>
      <c r="AY40" s="28" t="s">
        <v>328</v>
      </c>
      <c r="AZ40" s="28" t="s">
        <v>1000</v>
      </c>
      <c r="BA40" s="28" t="s">
        <v>105</v>
      </c>
      <c r="BB40" s="28">
        <v>20126</v>
      </c>
      <c r="BC40" s="25" t="s">
        <v>329</v>
      </c>
      <c r="BD40" s="19"/>
      <c r="BE40" s="25" t="s">
        <v>329</v>
      </c>
      <c r="BF40" s="55"/>
      <c r="BG40" s="55"/>
      <c r="BH40" s="55"/>
      <c r="BI40" s="55"/>
      <c r="BJ40" s="20" t="s">
        <v>53</v>
      </c>
      <c r="BK40" s="53">
        <v>45729</v>
      </c>
      <c r="BL40" s="20" t="s">
        <v>625</v>
      </c>
      <c r="BM40" s="52" t="s">
        <v>1001</v>
      </c>
      <c r="BN40" s="19" t="s">
        <v>1444</v>
      </c>
      <c r="BO40" s="19"/>
      <c r="BP40" s="19"/>
      <c r="BQ40" s="66" t="s">
        <v>1002</v>
      </c>
      <c r="BR40" s="66" t="s">
        <v>1003</v>
      </c>
      <c r="BS40" s="66">
        <v>4491570309</v>
      </c>
      <c r="BT40" s="66" t="s">
        <v>488</v>
      </c>
      <c r="BU40" s="66" t="s">
        <v>398</v>
      </c>
      <c r="BV40" s="66">
        <v>0</v>
      </c>
    </row>
    <row r="41" spans="1:74" x14ac:dyDescent="0.25">
      <c r="A41" s="19">
        <v>776</v>
      </c>
      <c r="B41" s="44" t="s">
        <v>335</v>
      </c>
      <c r="C41" s="20" t="s">
        <v>140</v>
      </c>
      <c r="D41" s="19">
        <v>92927487469</v>
      </c>
      <c r="E41" s="21">
        <v>45639</v>
      </c>
      <c r="F41" s="36">
        <v>45729</v>
      </c>
      <c r="G41" s="37">
        <v>45639</v>
      </c>
      <c r="H41" s="19" t="s">
        <v>290</v>
      </c>
      <c r="I41" s="19" t="s">
        <v>1004</v>
      </c>
      <c r="J41" s="55"/>
      <c r="K41" s="19" t="s">
        <v>1005</v>
      </c>
      <c r="L41" s="55" t="s">
        <v>1006</v>
      </c>
      <c r="M41" s="19" t="s">
        <v>1007</v>
      </c>
      <c r="N41" s="19" t="s">
        <v>1008</v>
      </c>
      <c r="O41" s="19" t="s">
        <v>571</v>
      </c>
      <c r="P41" s="24">
        <v>27314</v>
      </c>
      <c r="Q41" s="20">
        <v>12</v>
      </c>
      <c r="R41" s="20">
        <v>10</v>
      </c>
      <c r="S41" s="20">
        <v>1974</v>
      </c>
      <c r="T41" s="38">
        <v>50</v>
      </c>
      <c r="U41" s="20" t="s">
        <v>342</v>
      </c>
      <c r="V41" s="20" t="s">
        <v>1009</v>
      </c>
      <c r="W41" s="20" t="s">
        <v>454</v>
      </c>
      <c r="X41" s="46" t="s">
        <v>115</v>
      </c>
      <c r="Y41" s="20" t="s">
        <v>921</v>
      </c>
      <c r="Z41" s="20" t="s">
        <v>347</v>
      </c>
      <c r="AA41" s="20" t="s">
        <v>922</v>
      </c>
      <c r="AB41" s="29">
        <v>8964</v>
      </c>
      <c r="AC41" s="29">
        <v>295</v>
      </c>
      <c r="AD41" s="27">
        <v>295</v>
      </c>
      <c r="AE41" s="47">
        <v>309.54349999999999</v>
      </c>
      <c r="AF41" s="20" t="s">
        <v>313</v>
      </c>
      <c r="AG41" s="20" t="s">
        <v>314</v>
      </c>
      <c r="AH41" s="20">
        <v>90</v>
      </c>
      <c r="AI41" s="20" t="s">
        <v>554</v>
      </c>
      <c r="AJ41" s="20" t="s">
        <v>290</v>
      </c>
      <c r="AK41" s="20" t="s">
        <v>555</v>
      </c>
      <c r="AL41" s="20" t="s">
        <v>317</v>
      </c>
      <c r="AM41" s="20" t="s">
        <v>318</v>
      </c>
      <c r="AN41" s="20" t="s">
        <v>319</v>
      </c>
      <c r="AO41" s="28">
        <v>1524126955</v>
      </c>
      <c r="AP41" s="40" t="s">
        <v>1010</v>
      </c>
      <c r="AQ41" s="55">
        <v>4428256586</v>
      </c>
      <c r="AR41" s="23" t="s">
        <v>1011</v>
      </c>
      <c r="AS41" s="28" t="s">
        <v>1012</v>
      </c>
      <c r="AT41" s="28" t="s">
        <v>602</v>
      </c>
      <c r="AU41" s="55"/>
      <c r="AV41" s="28" t="s">
        <v>480</v>
      </c>
      <c r="AW41" s="28" t="s">
        <v>1013</v>
      </c>
      <c r="AX41" s="28">
        <v>14</v>
      </c>
      <c r="AY41" s="28"/>
      <c r="AZ41" s="28" t="s">
        <v>1014</v>
      </c>
      <c r="BA41" s="28" t="s">
        <v>140</v>
      </c>
      <c r="BB41" s="28">
        <v>76900</v>
      </c>
      <c r="BC41" s="25" t="s">
        <v>329</v>
      </c>
      <c r="BD41" s="19"/>
      <c r="BE41" s="25" t="s">
        <v>329</v>
      </c>
      <c r="BF41" s="55"/>
      <c r="BG41" s="55"/>
      <c r="BH41" s="55"/>
      <c r="BI41" s="55"/>
      <c r="BJ41" s="20" t="s">
        <v>53</v>
      </c>
      <c r="BK41" s="53">
        <v>45670</v>
      </c>
      <c r="BL41" s="20" t="s">
        <v>584</v>
      </c>
      <c r="BM41" s="52" t="s">
        <v>1015</v>
      </c>
      <c r="BN41" s="19" t="s">
        <v>1444</v>
      </c>
      <c r="BO41" s="19"/>
      <c r="BP41" s="19"/>
      <c r="BQ41" s="66" t="s">
        <v>1012</v>
      </c>
      <c r="BR41" s="66" t="s">
        <v>602</v>
      </c>
      <c r="BS41" s="66">
        <v>4425775360</v>
      </c>
      <c r="BT41" s="66" t="s">
        <v>333</v>
      </c>
      <c r="BU41" s="66"/>
      <c r="BV41" s="66">
        <v>2</v>
      </c>
    </row>
    <row r="42" spans="1:74" x14ac:dyDescent="0.25">
      <c r="A42" s="19">
        <v>778</v>
      </c>
      <c r="B42" s="52" t="s">
        <v>564</v>
      </c>
      <c r="C42" s="20" t="s">
        <v>565</v>
      </c>
      <c r="D42" s="19">
        <v>56897137339</v>
      </c>
      <c r="E42" s="21">
        <v>45644</v>
      </c>
      <c r="F42" s="36">
        <v>45734</v>
      </c>
      <c r="G42" s="37">
        <v>45644</v>
      </c>
      <c r="H42" s="19" t="s">
        <v>290</v>
      </c>
      <c r="I42" s="19" t="s">
        <v>1016</v>
      </c>
      <c r="J42" s="19" t="s">
        <v>628</v>
      </c>
      <c r="K42" s="19" t="s">
        <v>1017</v>
      </c>
      <c r="L42" s="55" t="s">
        <v>1018</v>
      </c>
      <c r="M42" s="19" t="s">
        <v>1019</v>
      </c>
      <c r="N42" s="19" t="s">
        <v>1020</v>
      </c>
      <c r="O42" s="19" t="s">
        <v>571</v>
      </c>
      <c r="P42" s="24">
        <v>26387</v>
      </c>
      <c r="Q42" s="20">
        <v>29</v>
      </c>
      <c r="R42" s="20">
        <v>3</v>
      </c>
      <c r="S42" s="20">
        <v>1972</v>
      </c>
      <c r="T42" s="38">
        <v>52</v>
      </c>
      <c r="U42" s="20" t="s">
        <v>342</v>
      </c>
      <c r="V42" s="20" t="s">
        <v>1021</v>
      </c>
      <c r="W42" s="20" t="s">
        <v>454</v>
      </c>
      <c r="X42" s="46" t="s">
        <v>617</v>
      </c>
      <c r="Y42" s="20" t="s">
        <v>260</v>
      </c>
      <c r="Z42" s="20" t="s">
        <v>532</v>
      </c>
      <c r="AA42" s="20" t="s">
        <v>574</v>
      </c>
      <c r="AB42" s="29">
        <v>10640</v>
      </c>
      <c r="AC42" s="29">
        <v>350</v>
      </c>
      <c r="AD42" s="27">
        <v>350</v>
      </c>
      <c r="AE42" s="47">
        <v>367.25499999999994</v>
      </c>
      <c r="AF42" s="20" t="s">
        <v>313</v>
      </c>
      <c r="AG42" s="20" t="s">
        <v>314</v>
      </c>
      <c r="AH42" s="20">
        <v>90</v>
      </c>
      <c r="AI42" s="20" t="s">
        <v>710</v>
      </c>
      <c r="AJ42" s="20" t="s">
        <v>290</v>
      </c>
      <c r="AK42" s="20" t="s">
        <v>575</v>
      </c>
      <c r="AL42" s="20" t="s">
        <v>317</v>
      </c>
      <c r="AM42" s="20" t="s">
        <v>318</v>
      </c>
      <c r="AN42" s="20" t="s">
        <v>319</v>
      </c>
      <c r="AO42" s="28">
        <v>1533584886</v>
      </c>
      <c r="AP42" s="40" t="s">
        <v>1022</v>
      </c>
      <c r="AQ42" s="55">
        <v>7201938096</v>
      </c>
      <c r="AR42" s="23" t="s">
        <v>1023</v>
      </c>
      <c r="AS42" s="28" t="s">
        <v>1024</v>
      </c>
      <c r="AT42" s="28" t="s">
        <v>381</v>
      </c>
      <c r="AU42" s="55"/>
      <c r="AV42" s="28" t="s">
        <v>604</v>
      </c>
      <c r="AW42" s="28" t="s">
        <v>1025</v>
      </c>
      <c r="AX42" s="28">
        <v>750</v>
      </c>
      <c r="AY42" s="28"/>
      <c r="AZ42" s="28" t="s">
        <v>116</v>
      </c>
      <c r="BA42" s="28" t="s">
        <v>583</v>
      </c>
      <c r="BB42" s="28">
        <v>44620</v>
      </c>
      <c r="BC42" s="33" t="s">
        <v>357</v>
      </c>
      <c r="BD42" s="19"/>
      <c r="BE42" s="33" t="s">
        <v>357</v>
      </c>
      <c r="BF42" s="55"/>
      <c r="BG42" s="55"/>
      <c r="BH42" s="55"/>
      <c r="BI42" s="55"/>
      <c r="BJ42" s="20" t="s">
        <v>53</v>
      </c>
      <c r="BK42" s="53">
        <v>45698</v>
      </c>
      <c r="BL42" s="20" t="s">
        <v>584</v>
      </c>
      <c r="BM42" s="52" t="s">
        <v>1026</v>
      </c>
      <c r="BN42" s="19" t="s">
        <v>1444</v>
      </c>
      <c r="BO42" s="19"/>
      <c r="BP42" s="19"/>
      <c r="BQ42" s="66" t="s">
        <v>1027</v>
      </c>
      <c r="BR42" s="66" t="s">
        <v>1028</v>
      </c>
      <c r="BS42" s="66">
        <v>3312974246</v>
      </c>
      <c r="BT42" s="66" t="s">
        <v>488</v>
      </c>
      <c r="BU42" s="66" t="s">
        <v>398</v>
      </c>
      <c r="BV42" s="66">
        <v>2</v>
      </c>
    </row>
    <row r="43" spans="1:74" x14ac:dyDescent="0.25">
      <c r="A43" s="19">
        <v>780</v>
      </c>
      <c r="B43" s="52" t="s">
        <v>335</v>
      </c>
      <c r="C43" s="20" t="s">
        <v>116</v>
      </c>
      <c r="D43" s="19">
        <v>42987920909</v>
      </c>
      <c r="E43" s="21">
        <v>45649</v>
      </c>
      <c r="F43" s="36">
        <v>45739</v>
      </c>
      <c r="G43" s="37">
        <v>45649</v>
      </c>
      <c r="H43" s="19" t="s">
        <v>290</v>
      </c>
      <c r="I43" s="19" t="s">
        <v>851</v>
      </c>
      <c r="J43" s="19" t="s">
        <v>1029</v>
      </c>
      <c r="K43" s="19" t="s">
        <v>1030</v>
      </c>
      <c r="L43" s="55" t="s">
        <v>1031</v>
      </c>
      <c r="M43" s="19" t="s">
        <v>1032</v>
      </c>
      <c r="N43" s="19" t="s">
        <v>1033</v>
      </c>
      <c r="O43" s="19" t="s">
        <v>571</v>
      </c>
      <c r="P43" s="24">
        <v>28938</v>
      </c>
      <c r="Q43" s="20">
        <v>24</v>
      </c>
      <c r="R43" s="20">
        <v>3</v>
      </c>
      <c r="S43" s="20">
        <v>1979</v>
      </c>
      <c r="T43" s="38">
        <v>45</v>
      </c>
      <c r="U43" s="20" t="s">
        <v>452</v>
      </c>
      <c r="V43" s="20" t="s">
        <v>1034</v>
      </c>
      <c r="W43" s="20" t="s">
        <v>454</v>
      </c>
      <c r="X43" s="46" t="s">
        <v>115</v>
      </c>
      <c r="Y43" s="19" t="s">
        <v>346</v>
      </c>
      <c r="Z43" s="19" t="s">
        <v>347</v>
      </c>
      <c r="AA43" s="19" t="s">
        <v>348</v>
      </c>
      <c r="AB43" s="29">
        <v>8964</v>
      </c>
      <c r="AC43" s="29">
        <v>294.86842105263162</v>
      </c>
      <c r="AD43" s="27">
        <v>295</v>
      </c>
      <c r="AE43" s="47">
        <v>309.54349999999999</v>
      </c>
      <c r="AF43" s="55" t="s">
        <v>313</v>
      </c>
      <c r="AG43" s="20" t="s">
        <v>314</v>
      </c>
      <c r="AH43" s="20">
        <v>90</v>
      </c>
      <c r="AI43" s="20" t="s">
        <v>350</v>
      </c>
      <c r="AJ43" s="20" t="s">
        <v>290</v>
      </c>
      <c r="AK43" s="20" t="s">
        <v>351</v>
      </c>
      <c r="AL43" s="20" t="s">
        <v>317</v>
      </c>
      <c r="AM43" s="20" t="s">
        <v>318</v>
      </c>
      <c r="AN43" s="20" t="s">
        <v>1035</v>
      </c>
      <c r="AO43" s="28">
        <v>1566189479</v>
      </c>
      <c r="AP43" s="40" t="s">
        <v>1036</v>
      </c>
      <c r="AQ43" s="55">
        <v>3841040869</v>
      </c>
      <c r="AR43" s="23" t="s">
        <v>1037</v>
      </c>
      <c r="AS43" s="28" t="s">
        <v>1038</v>
      </c>
      <c r="AT43" s="28" t="s">
        <v>602</v>
      </c>
      <c r="AU43" s="55"/>
      <c r="AV43" s="28" t="s">
        <v>480</v>
      </c>
      <c r="AW43" s="28" t="s">
        <v>1039</v>
      </c>
      <c r="AX43" s="28" t="s">
        <v>1040</v>
      </c>
      <c r="AY43" s="28" t="s">
        <v>1041</v>
      </c>
      <c r="AZ43" s="28" t="s">
        <v>133</v>
      </c>
      <c r="BA43" s="28" t="s">
        <v>912</v>
      </c>
      <c r="BB43" s="28">
        <v>64000</v>
      </c>
      <c r="BC43" s="25" t="s">
        <v>329</v>
      </c>
      <c r="BD43" s="19"/>
      <c r="BE43" s="25" t="s">
        <v>329</v>
      </c>
      <c r="BF43" s="55"/>
      <c r="BG43" s="55"/>
      <c r="BH43" s="55"/>
      <c r="BI43" s="55"/>
      <c r="BJ43" s="20" t="s">
        <v>53</v>
      </c>
      <c r="BK43" s="53">
        <v>45689</v>
      </c>
      <c r="BL43" s="20" t="s">
        <v>584</v>
      </c>
      <c r="BM43" s="52" t="s">
        <v>1042</v>
      </c>
      <c r="BN43" s="19" t="s">
        <v>1444</v>
      </c>
      <c r="BO43" s="19"/>
      <c r="BP43" s="19"/>
      <c r="BQ43" s="44" t="s">
        <v>1043</v>
      </c>
      <c r="BR43" s="66" t="s">
        <v>602</v>
      </c>
      <c r="BS43" s="66">
        <v>3310635261</v>
      </c>
      <c r="BT43" s="66" t="s">
        <v>333</v>
      </c>
      <c r="BU43" s="66" t="s">
        <v>398</v>
      </c>
      <c r="BV43" s="44">
        <v>2</v>
      </c>
    </row>
    <row r="44" spans="1:74" x14ac:dyDescent="0.25">
      <c r="A44" s="19">
        <v>781</v>
      </c>
      <c r="B44" s="44" t="s">
        <v>335</v>
      </c>
      <c r="C44" s="20" t="s">
        <v>86</v>
      </c>
      <c r="D44" s="19">
        <v>17159844814</v>
      </c>
      <c r="E44" s="21">
        <v>45653</v>
      </c>
      <c r="F44" s="36">
        <v>45743</v>
      </c>
      <c r="G44" s="37">
        <v>45653</v>
      </c>
      <c r="H44" s="19" t="s">
        <v>290</v>
      </c>
      <c r="I44" s="19" t="s">
        <v>1044</v>
      </c>
      <c r="J44" s="19" t="s">
        <v>1045</v>
      </c>
      <c r="K44" s="19" t="s">
        <v>1046</v>
      </c>
      <c r="L44" s="55" t="s">
        <v>1047</v>
      </c>
      <c r="M44" s="19" t="s">
        <v>1048</v>
      </c>
      <c r="N44" s="19" t="s">
        <v>1049</v>
      </c>
      <c r="O44" s="19" t="s">
        <v>571</v>
      </c>
      <c r="P44" s="24">
        <v>35969</v>
      </c>
      <c r="Q44" s="20">
        <v>23</v>
      </c>
      <c r="R44" s="20">
        <v>6</v>
      </c>
      <c r="S44" s="20">
        <v>1998</v>
      </c>
      <c r="T44" s="38">
        <v>26</v>
      </c>
      <c r="U44" s="20" t="s">
        <v>342</v>
      </c>
      <c r="V44" s="20" t="s">
        <v>1050</v>
      </c>
      <c r="W44" s="20" t="s">
        <v>530</v>
      </c>
      <c r="X44" s="46" t="s">
        <v>115</v>
      </c>
      <c r="Y44" s="20" t="s">
        <v>153</v>
      </c>
      <c r="Z44" s="20" t="s">
        <v>347</v>
      </c>
      <c r="AA44" s="20" t="s">
        <v>842</v>
      </c>
      <c r="AB44" s="29">
        <v>8203</v>
      </c>
      <c r="AC44" s="29">
        <v>269.83552631578948</v>
      </c>
      <c r="AD44" s="27">
        <v>270</v>
      </c>
      <c r="AE44" s="47">
        <v>283.31099999999998</v>
      </c>
      <c r="AF44" s="20" t="s">
        <v>313</v>
      </c>
      <c r="AG44" s="20" t="s">
        <v>314</v>
      </c>
      <c r="AH44" s="20">
        <v>90</v>
      </c>
      <c r="AI44" s="20" t="s">
        <v>315</v>
      </c>
      <c r="AJ44" s="20" t="s">
        <v>290</v>
      </c>
      <c r="AK44" s="20" t="s">
        <v>843</v>
      </c>
      <c r="AL44" s="20" t="s">
        <v>317</v>
      </c>
      <c r="AM44" s="20" t="s">
        <v>318</v>
      </c>
      <c r="AN44" s="20" t="s">
        <v>319</v>
      </c>
      <c r="AO44" s="28">
        <v>1533741744</v>
      </c>
      <c r="AP44" s="40" t="s">
        <v>1051</v>
      </c>
      <c r="AQ44" s="55"/>
      <c r="AR44" s="23" t="s">
        <v>1052</v>
      </c>
      <c r="AS44" s="28" t="s">
        <v>1053</v>
      </c>
      <c r="AT44" s="28" t="s">
        <v>381</v>
      </c>
      <c r="AU44" s="55"/>
      <c r="AV44" s="28" t="s">
        <v>480</v>
      </c>
      <c r="AW44" s="28" t="s">
        <v>1054</v>
      </c>
      <c r="AX44" s="28">
        <v>109</v>
      </c>
      <c r="AY44" s="28"/>
      <c r="AZ44" s="28" t="s">
        <v>482</v>
      </c>
      <c r="BA44" s="28" t="s">
        <v>483</v>
      </c>
      <c r="BB44" s="28">
        <v>78430</v>
      </c>
      <c r="BC44" s="25" t="s">
        <v>329</v>
      </c>
      <c r="BD44" s="19"/>
      <c r="BE44" s="25" t="s">
        <v>329</v>
      </c>
      <c r="BF44" s="55"/>
      <c r="BG44" s="55"/>
      <c r="BH44" s="55"/>
      <c r="BI44" s="55"/>
      <c r="BJ44" s="20" t="s">
        <v>53</v>
      </c>
      <c r="BK44" s="53">
        <v>45736</v>
      </c>
      <c r="BL44" s="20" t="s">
        <v>56</v>
      </c>
      <c r="BM44" s="52" t="s">
        <v>1055</v>
      </c>
      <c r="BN44" s="19" t="s">
        <v>1444</v>
      </c>
      <c r="BO44" s="19"/>
      <c r="BP44" s="19"/>
      <c r="BQ44" s="66" t="s">
        <v>1053</v>
      </c>
      <c r="BR44" s="66" t="s">
        <v>381</v>
      </c>
      <c r="BS44" s="66">
        <v>4442151900</v>
      </c>
      <c r="BT44" s="66" t="s">
        <v>333</v>
      </c>
      <c r="BU44" s="66" t="s">
        <v>398</v>
      </c>
      <c r="BV44" s="66">
        <v>1</v>
      </c>
    </row>
    <row r="45" spans="1:74" x14ac:dyDescent="0.25">
      <c r="A45" s="19">
        <v>782</v>
      </c>
      <c r="B45" s="44" t="s">
        <v>363</v>
      </c>
      <c r="C45" s="20" t="s">
        <v>364</v>
      </c>
      <c r="D45" s="19">
        <v>41897228320</v>
      </c>
      <c r="E45" s="21">
        <v>45656</v>
      </c>
      <c r="F45" s="36">
        <v>45746</v>
      </c>
      <c r="G45" s="37">
        <v>45656</v>
      </c>
      <c r="H45" s="19" t="s">
        <v>290</v>
      </c>
      <c r="I45" s="19" t="s">
        <v>1056</v>
      </c>
      <c r="J45" s="19" t="s">
        <v>704</v>
      </c>
      <c r="K45" s="19" t="s">
        <v>338</v>
      </c>
      <c r="L45" s="55" t="s">
        <v>1057</v>
      </c>
      <c r="M45" s="19" t="s">
        <v>1058</v>
      </c>
      <c r="N45" s="19" t="s">
        <v>1059</v>
      </c>
      <c r="O45" s="19" t="s">
        <v>571</v>
      </c>
      <c r="P45" s="24">
        <v>26442</v>
      </c>
      <c r="Q45" s="20">
        <v>23</v>
      </c>
      <c r="R45" s="20">
        <v>5</v>
      </c>
      <c r="S45" s="20">
        <v>1972</v>
      </c>
      <c r="T45" s="38">
        <v>52</v>
      </c>
      <c r="U45" s="20" t="s">
        <v>342</v>
      </c>
      <c r="V45" s="55" t="s">
        <v>1060</v>
      </c>
      <c r="W45" s="20" t="s">
        <v>454</v>
      </c>
      <c r="X45" s="46" t="s">
        <v>391</v>
      </c>
      <c r="Y45" s="20" t="s">
        <v>88</v>
      </c>
      <c r="Z45" s="20" t="s">
        <v>392</v>
      </c>
      <c r="AA45" s="20" t="s">
        <v>374</v>
      </c>
      <c r="AB45" s="29">
        <v>8700.18</v>
      </c>
      <c r="AC45" s="29">
        <v>286.19013157894739</v>
      </c>
      <c r="AD45" s="27">
        <v>286.19</v>
      </c>
      <c r="AE45" s="47">
        <v>300.29916699999995</v>
      </c>
      <c r="AF45" s="20" t="s">
        <v>313</v>
      </c>
      <c r="AG45" s="20" t="s">
        <v>314</v>
      </c>
      <c r="AH45" s="20">
        <v>90</v>
      </c>
      <c r="AI45" s="20" t="s">
        <v>375</v>
      </c>
      <c r="AJ45" s="20" t="s">
        <v>290</v>
      </c>
      <c r="AK45" s="20" t="s">
        <v>473</v>
      </c>
      <c r="AL45" s="20" t="s">
        <v>317</v>
      </c>
      <c r="AM45" s="20" t="s">
        <v>318</v>
      </c>
      <c r="AN45" s="20" t="s">
        <v>319</v>
      </c>
      <c r="AO45" s="28">
        <v>1533931619</v>
      </c>
      <c r="AP45" s="40" t="s">
        <v>1061</v>
      </c>
      <c r="AQ45" s="55">
        <v>7204561010</v>
      </c>
      <c r="AR45" s="23" t="s">
        <v>1062</v>
      </c>
      <c r="AS45" s="28" t="s">
        <v>1063</v>
      </c>
      <c r="AT45" s="28" t="s">
        <v>381</v>
      </c>
      <c r="AU45" s="55"/>
      <c r="AV45" s="41" t="s">
        <v>604</v>
      </c>
      <c r="AW45" s="28" t="s">
        <v>1064</v>
      </c>
      <c r="AX45" s="28">
        <v>4500</v>
      </c>
      <c r="AY45" s="28"/>
      <c r="AZ45" s="28" t="s">
        <v>1065</v>
      </c>
      <c r="BA45" s="28" t="s">
        <v>1066</v>
      </c>
      <c r="BB45" s="28">
        <v>54010</v>
      </c>
      <c r="BC45" s="25" t="s">
        <v>329</v>
      </c>
      <c r="BD45" s="19"/>
      <c r="BE45" s="25" t="s">
        <v>329</v>
      </c>
      <c r="BF45" s="55"/>
      <c r="BG45" s="55"/>
      <c r="BH45" s="55"/>
      <c r="BI45" s="55"/>
      <c r="BJ45" s="20" t="s">
        <v>53</v>
      </c>
      <c r="BK45" s="53">
        <v>45741</v>
      </c>
      <c r="BL45" s="20" t="s">
        <v>56</v>
      </c>
      <c r="BM45" s="52" t="s">
        <v>1067</v>
      </c>
      <c r="BN45" s="19" t="s">
        <v>1444</v>
      </c>
      <c r="BO45" s="19"/>
      <c r="BP45" s="19"/>
      <c r="BQ45" s="66" t="s">
        <v>1068</v>
      </c>
      <c r="BR45" s="66" t="s">
        <v>381</v>
      </c>
      <c r="BS45" s="66">
        <v>4442394027</v>
      </c>
      <c r="BT45" s="66" t="s">
        <v>333</v>
      </c>
      <c r="BU45" s="66" t="s">
        <v>398</v>
      </c>
      <c r="BV45" s="66">
        <v>1</v>
      </c>
    </row>
    <row r="46" spans="1:74" x14ac:dyDescent="0.25">
      <c r="A46" s="19">
        <v>783</v>
      </c>
      <c r="B46" s="44" t="s">
        <v>335</v>
      </c>
      <c r="C46" s="20" t="s">
        <v>86</v>
      </c>
      <c r="D46" s="35" t="s">
        <v>1069</v>
      </c>
      <c r="E46" s="21">
        <v>45664</v>
      </c>
      <c r="F46" s="36">
        <v>45754</v>
      </c>
      <c r="G46" s="37">
        <v>45664</v>
      </c>
      <c r="H46" s="19" t="s">
        <v>290</v>
      </c>
      <c r="I46" s="19" t="s">
        <v>1070</v>
      </c>
      <c r="J46" s="19" t="s">
        <v>1071</v>
      </c>
      <c r="K46" s="19" t="s">
        <v>688</v>
      </c>
      <c r="L46" s="55" t="s">
        <v>1072</v>
      </c>
      <c r="M46" s="19" t="s">
        <v>1073</v>
      </c>
      <c r="N46" s="19" t="s">
        <v>1074</v>
      </c>
      <c r="O46" s="19" t="s">
        <v>571</v>
      </c>
      <c r="P46" s="24">
        <v>35791</v>
      </c>
      <c r="Q46" s="20">
        <v>27</v>
      </c>
      <c r="R46" s="20">
        <v>12</v>
      </c>
      <c r="S46" s="20">
        <v>1997</v>
      </c>
      <c r="T46" s="38">
        <v>28</v>
      </c>
      <c r="U46" s="20" t="s">
        <v>452</v>
      </c>
      <c r="V46" s="20" t="s">
        <v>1075</v>
      </c>
      <c r="W46" s="20" t="s">
        <v>454</v>
      </c>
      <c r="X46" s="46" t="s">
        <v>115</v>
      </c>
      <c r="Y46" s="20" t="s">
        <v>153</v>
      </c>
      <c r="Z46" s="20" t="s">
        <v>347</v>
      </c>
      <c r="AA46" s="20" t="s">
        <v>842</v>
      </c>
      <c r="AB46" s="29">
        <v>8475.52</v>
      </c>
      <c r="AC46" s="29">
        <v>278.8</v>
      </c>
      <c r="AD46" s="27">
        <v>278.8</v>
      </c>
      <c r="AE46" s="47">
        <v>292.54483999999997</v>
      </c>
      <c r="AF46" s="20" t="s">
        <v>313</v>
      </c>
      <c r="AG46" s="20" t="s">
        <v>314</v>
      </c>
      <c r="AH46" s="20">
        <v>90</v>
      </c>
      <c r="AI46" s="20" t="s">
        <v>315</v>
      </c>
      <c r="AJ46" s="20" t="s">
        <v>290</v>
      </c>
      <c r="AK46" s="20" t="s">
        <v>843</v>
      </c>
      <c r="AL46" s="20" t="s">
        <v>317</v>
      </c>
      <c r="AM46" s="20" t="s">
        <v>318</v>
      </c>
      <c r="AN46" s="20" t="s">
        <v>319</v>
      </c>
      <c r="AO46" s="28">
        <v>1524410439</v>
      </c>
      <c r="AP46" s="42"/>
      <c r="AQ46" s="55">
        <v>4861101290</v>
      </c>
      <c r="AR46" s="43"/>
      <c r="AS46" s="28" t="s">
        <v>1076</v>
      </c>
      <c r="AT46" s="28" t="s">
        <v>560</v>
      </c>
      <c r="AU46" s="55"/>
      <c r="AV46" s="28" t="s">
        <v>480</v>
      </c>
      <c r="AW46" s="28" t="s">
        <v>1077</v>
      </c>
      <c r="AX46" s="28">
        <v>28</v>
      </c>
      <c r="AY46" s="28"/>
      <c r="AZ46" s="28" t="s">
        <v>482</v>
      </c>
      <c r="BA46" s="28" t="s">
        <v>483</v>
      </c>
      <c r="BB46" s="28">
        <v>78430</v>
      </c>
      <c r="BC46" s="25" t="s">
        <v>329</v>
      </c>
      <c r="BD46" s="19"/>
      <c r="BE46" s="25" t="s">
        <v>329</v>
      </c>
      <c r="BF46" s="55"/>
      <c r="BG46" s="55"/>
      <c r="BH46" s="55"/>
      <c r="BI46" s="55"/>
      <c r="BJ46" s="20" t="s">
        <v>53</v>
      </c>
      <c r="BK46" s="53">
        <v>45754</v>
      </c>
      <c r="BL46" s="20" t="s">
        <v>584</v>
      </c>
      <c r="BM46" s="52" t="s">
        <v>1078</v>
      </c>
      <c r="BN46" s="19" t="s">
        <v>1444</v>
      </c>
      <c r="BO46" s="19"/>
      <c r="BP46" s="19"/>
      <c r="BQ46" s="66" t="s">
        <v>1076</v>
      </c>
      <c r="BR46" s="66" t="s">
        <v>560</v>
      </c>
      <c r="BS46" s="66">
        <v>4447267152</v>
      </c>
      <c r="BT46" s="66" t="s">
        <v>333</v>
      </c>
      <c r="BU46" s="66" t="s">
        <v>398</v>
      </c>
      <c r="BV46" s="66">
        <v>1</v>
      </c>
    </row>
    <row r="47" spans="1:74" x14ac:dyDescent="0.25">
      <c r="A47" s="19">
        <v>784</v>
      </c>
      <c r="B47" s="44" t="s">
        <v>335</v>
      </c>
      <c r="C47" s="20" t="s">
        <v>140</v>
      </c>
      <c r="D47" s="19">
        <v>19149857468</v>
      </c>
      <c r="E47" s="21">
        <v>45663</v>
      </c>
      <c r="F47" s="36">
        <v>45753</v>
      </c>
      <c r="G47" s="37">
        <v>45663</v>
      </c>
      <c r="H47" s="19" t="s">
        <v>290</v>
      </c>
      <c r="I47" s="19" t="s">
        <v>1079</v>
      </c>
      <c r="J47" s="19" t="s">
        <v>1080</v>
      </c>
      <c r="K47" s="19" t="s">
        <v>1081</v>
      </c>
      <c r="L47" s="55" t="s">
        <v>1082</v>
      </c>
      <c r="M47" s="19" t="s">
        <v>1083</v>
      </c>
      <c r="N47" s="19" t="s">
        <v>1084</v>
      </c>
      <c r="O47" s="19" t="s">
        <v>571</v>
      </c>
      <c r="P47" s="24">
        <v>35936</v>
      </c>
      <c r="Q47" s="20">
        <v>21</v>
      </c>
      <c r="R47" s="20">
        <v>5</v>
      </c>
      <c r="S47" s="20">
        <v>1998</v>
      </c>
      <c r="T47" s="38">
        <v>26</v>
      </c>
      <c r="U47" s="20" t="s">
        <v>389</v>
      </c>
      <c r="V47" s="20" t="s">
        <v>1085</v>
      </c>
      <c r="W47" s="20" t="s">
        <v>454</v>
      </c>
      <c r="X47" s="46" t="s">
        <v>115</v>
      </c>
      <c r="Y47" s="20" t="s">
        <v>921</v>
      </c>
      <c r="Z47" s="20" t="s">
        <v>347</v>
      </c>
      <c r="AA47" s="20" t="s">
        <v>922</v>
      </c>
      <c r="AB47" s="29">
        <v>8964</v>
      </c>
      <c r="AC47" s="29">
        <v>295</v>
      </c>
      <c r="AD47" s="27">
        <v>295</v>
      </c>
      <c r="AE47" s="47">
        <v>309.54349999999999</v>
      </c>
      <c r="AF47" s="20" t="s">
        <v>313</v>
      </c>
      <c r="AG47" s="20" t="s">
        <v>314</v>
      </c>
      <c r="AH47" s="20">
        <v>90</v>
      </c>
      <c r="AI47" s="20" t="s">
        <v>554</v>
      </c>
      <c r="AJ47" s="20" t="s">
        <v>290</v>
      </c>
      <c r="AK47" s="20" t="s">
        <v>555</v>
      </c>
      <c r="AL47" s="20" t="s">
        <v>317</v>
      </c>
      <c r="AM47" s="20" t="s">
        <v>318</v>
      </c>
      <c r="AN47" s="20" t="s">
        <v>319</v>
      </c>
      <c r="AO47" s="28">
        <v>1534664827</v>
      </c>
      <c r="AP47" s="40" t="s">
        <v>1086</v>
      </c>
      <c r="AQ47" s="55">
        <v>4426391556</v>
      </c>
      <c r="AR47" s="23" t="s">
        <v>1087</v>
      </c>
      <c r="AS47" s="28" t="s">
        <v>1088</v>
      </c>
      <c r="AT47" s="28" t="s">
        <v>776</v>
      </c>
      <c r="AU47" s="55"/>
      <c r="AV47" s="28" t="s">
        <v>480</v>
      </c>
      <c r="AW47" s="28" t="s">
        <v>1089</v>
      </c>
      <c r="AX47" s="28">
        <v>77</v>
      </c>
      <c r="AY47" s="28"/>
      <c r="AZ47" s="28" t="s">
        <v>1090</v>
      </c>
      <c r="BA47" s="28" t="s">
        <v>140</v>
      </c>
      <c r="BB47" s="28">
        <v>76245</v>
      </c>
      <c r="BC47" s="25" t="s">
        <v>329</v>
      </c>
      <c r="BD47" s="19"/>
      <c r="BE47" s="25" t="s">
        <v>329</v>
      </c>
      <c r="BF47" s="55"/>
      <c r="BG47" s="55"/>
      <c r="BH47" s="55"/>
      <c r="BI47" s="55"/>
      <c r="BJ47" s="20" t="s">
        <v>53</v>
      </c>
      <c r="BK47" s="53">
        <v>45705</v>
      </c>
      <c r="BL47" s="20" t="s">
        <v>584</v>
      </c>
      <c r="BM47" s="52" t="s">
        <v>1091</v>
      </c>
      <c r="BN47" s="19" t="s">
        <v>1444</v>
      </c>
      <c r="BO47" s="19"/>
      <c r="BP47" s="19"/>
      <c r="BQ47" s="66" t="s">
        <v>1092</v>
      </c>
      <c r="BR47" s="66" t="s">
        <v>401</v>
      </c>
      <c r="BS47" s="66">
        <v>4461240073</v>
      </c>
      <c r="BT47" s="66" t="s">
        <v>1093</v>
      </c>
      <c r="BU47" s="66" t="s">
        <v>398</v>
      </c>
      <c r="BV47" s="66">
        <v>0</v>
      </c>
    </row>
    <row r="48" spans="1:74" x14ac:dyDescent="0.25">
      <c r="A48" s="19">
        <v>786</v>
      </c>
      <c r="B48" s="52" t="s">
        <v>564</v>
      </c>
      <c r="C48" s="20" t="s">
        <v>565</v>
      </c>
      <c r="D48" s="19">
        <v>85149583925</v>
      </c>
      <c r="E48" s="21">
        <v>45664</v>
      </c>
      <c r="F48" s="36">
        <v>45754</v>
      </c>
      <c r="G48" s="37">
        <v>45664</v>
      </c>
      <c r="H48" s="19" t="s">
        <v>290</v>
      </c>
      <c r="I48" s="19" t="s">
        <v>1094</v>
      </c>
      <c r="J48" s="19" t="s">
        <v>735</v>
      </c>
      <c r="K48" s="19" t="s">
        <v>1095</v>
      </c>
      <c r="L48" s="55" t="s">
        <v>1096</v>
      </c>
      <c r="M48" s="55" t="s">
        <v>1097</v>
      </c>
      <c r="N48" s="19" t="s">
        <v>1098</v>
      </c>
      <c r="O48" s="19" t="s">
        <v>571</v>
      </c>
      <c r="P48" s="24">
        <v>34781</v>
      </c>
      <c r="Q48" s="20">
        <v>23</v>
      </c>
      <c r="R48" s="20">
        <v>3</v>
      </c>
      <c r="S48" s="20">
        <v>1995</v>
      </c>
      <c r="T48" s="38">
        <v>29</v>
      </c>
      <c r="U48" s="20" t="s">
        <v>452</v>
      </c>
      <c r="V48" s="20" t="s">
        <v>1099</v>
      </c>
      <c r="W48" s="20" t="s">
        <v>530</v>
      </c>
      <c r="X48" s="46" t="s">
        <v>617</v>
      </c>
      <c r="Y48" s="20" t="s">
        <v>260</v>
      </c>
      <c r="Z48" s="20" t="s">
        <v>532</v>
      </c>
      <c r="AA48" s="20" t="s">
        <v>574</v>
      </c>
      <c r="AB48" s="29">
        <v>10640</v>
      </c>
      <c r="AC48" s="29">
        <v>350</v>
      </c>
      <c r="AD48" s="27">
        <v>350</v>
      </c>
      <c r="AE48" s="47">
        <v>367.25499999999994</v>
      </c>
      <c r="AF48" s="20" t="s">
        <v>313</v>
      </c>
      <c r="AG48" s="20" t="s">
        <v>314</v>
      </c>
      <c r="AH48" s="20">
        <v>90</v>
      </c>
      <c r="AI48" s="20" t="s">
        <v>710</v>
      </c>
      <c r="AJ48" s="20" t="s">
        <v>290</v>
      </c>
      <c r="AK48" s="20" t="s">
        <v>575</v>
      </c>
      <c r="AL48" s="20" t="s">
        <v>317</v>
      </c>
      <c r="AM48" s="20" t="s">
        <v>318</v>
      </c>
      <c r="AN48" s="20" t="s">
        <v>319</v>
      </c>
      <c r="AO48" s="28">
        <v>2993608654</v>
      </c>
      <c r="AP48" s="40" t="s">
        <v>1100</v>
      </c>
      <c r="AQ48" s="55">
        <v>2243319004</v>
      </c>
      <c r="AR48" s="23" t="s">
        <v>1101</v>
      </c>
      <c r="AS48" s="28" t="s">
        <v>1102</v>
      </c>
      <c r="AT48" s="28" t="s">
        <v>381</v>
      </c>
      <c r="AU48" s="55"/>
      <c r="AV48" s="28" t="s">
        <v>604</v>
      </c>
      <c r="AW48" s="28" t="s">
        <v>1103</v>
      </c>
      <c r="AX48" s="28" t="s">
        <v>983</v>
      </c>
      <c r="AY48" s="28"/>
      <c r="AZ48" s="28" t="s">
        <v>1104</v>
      </c>
      <c r="BA48" s="28" t="s">
        <v>1105</v>
      </c>
      <c r="BB48" s="28">
        <v>93900</v>
      </c>
      <c r="BC48" s="25" t="s">
        <v>329</v>
      </c>
      <c r="BD48" s="19"/>
      <c r="BE48" s="25" t="s">
        <v>329</v>
      </c>
      <c r="BF48" s="55"/>
      <c r="BG48" s="55"/>
      <c r="BH48" s="55"/>
      <c r="BI48" s="55"/>
      <c r="BJ48" s="20" t="s">
        <v>53</v>
      </c>
      <c r="BK48" s="53">
        <v>45708</v>
      </c>
      <c r="BL48" s="20" t="s">
        <v>56</v>
      </c>
      <c r="BM48" s="52" t="s">
        <v>1106</v>
      </c>
      <c r="BN48" s="19" t="s">
        <v>1444</v>
      </c>
      <c r="BO48" s="19"/>
      <c r="BP48" s="19"/>
      <c r="BQ48" s="66" t="s">
        <v>1102</v>
      </c>
      <c r="BR48" s="66" t="s">
        <v>381</v>
      </c>
      <c r="BS48" s="66">
        <v>3317211490</v>
      </c>
      <c r="BT48" s="66" t="s">
        <v>333</v>
      </c>
      <c r="BU48" s="66" t="s">
        <v>398</v>
      </c>
      <c r="BV48" s="66">
        <v>4</v>
      </c>
    </row>
    <row r="49" spans="1:74" x14ac:dyDescent="0.25">
      <c r="A49" s="19">
        <v>792</v>
      </c>
      <c r="B49" s="52" t="s">
        <v>564</v>
      </c>
      <c r="C49" s="20" t="s">
        <v>565</v>
      </c>
      <c r="D49" s="19">
        <v>64159755160</v>
      </c>
      <c r="E49" s="21">
        <v>45677</v>
      </c>
      <c r="F49" s="36">
        <v>45767</v>
      </c>
      <c r="G49" s="37">
        <v>45677</v>
      </c>
      <c r="H49" s="19" t="s">
        <v>290</v>
      </c>
      <c r="I49" s="19" t="s">
        <v>447</v>
      </c>
      <c r="J49" s="19" t="s">
        <v>1107</v>
      </c>
      <c r="K49" s="19" t="s">
        <v>1108</v>
      </c>
      <c r="L49" s="55" t="s">
        <v>1109</v>
      </c>
      <c r="M49" s="19" t="s">
        <v>1110</v>
      </c>
      <c r="N49" s="19" t="s">
        <v>1111</v>
      </c>
      <c r="O49" s="19" t="s">
        <v>571</v>
      </c>
      <c r="P49" s="24">
        <v>35712</v>
      </c>
      <c r="Q49" s="20">
        <v>9</v>
      </c>
      <c r="R49" s="20">
        <v>10</v>
      </c>
      <c r="S49" s="20">
        <v>1997</v>
      </c>
      <c r="T49" s="38">
        <v>27</v>
      </c>
      <c r="U49" s="20" t="s">
        <v>342</v>
      </c>
      <c r="V49" s="20" t="s">
        <v>1112</v>
      </c>
      <c r="W49" s="20" t="s">
        <v>530</v>
      </c>
      <c r="X49" s="46" t="s">
        <v>552</v>
      </c>
      <c r="Y49" s="19" t="s">
        <v>260</v>
      </c>
      <c r="Z49" s="19" t="s">
        <v>532</v>
      </c>
      <c r="AA49" s="19" t="s">
        <v>574</v>
      </c>
      <c r="AB49" s="29">
        <v>14448</v>
      </c>
      <c r="AC49" s="29">
        <v>475.26315789473688</v>
      </c>
      <c r="AD49" s="27">
        <v>475.27</v>
      </c>
      <c r="AE49" s="47">
        <v>498.70081099999993</v>
      </c>
      <c r="AF49" s="19" t="s">
        <v>313</v>
      </c>
      <c r="AG49" s="19" t="s">
        <v>314</v>
      </c>
      <c r="AH49" s="19">
        <v>90</v>
      </c>
      <c r="AI49" s="19" t="s">
        <v>350</v>
      </c>
      <c r="AJ49" s="19" t="s">
        <v>290</v>
      </c>
      <c r="AK49" s="19" t="s">
        <v>575</v>
      </c>
      <c r="AL49" s="19" t="s">
        <v>317</v>
      </c>
      <c r="AM49" s="19" t="s">
        <v>318</v>
      </c>
      <c r="AN49" s="19" t="s">
        <v>319</v>
      </c>
      <c r="AO49" s="28">
        <v>1521899340</v>
      </c>
      <c r="AP49" s="40" t="s">
        <v>1113</v>
      </c>
      <c r="AQ49" s="55">
        <v>3342912709</v>
      </c>
      <c r="AR49" s="23" t="s">
        <v>1114</v>
      </c>
      <c r="AS49" s="28" t="s">
        <v>1115</v>
      </c>
      <c r="AT49" s="28" t="s">
        <v>381</v>
      </c>
      <c r="AU49" s="55"/>
      <c r="AV49" s="28" t="s">
        <v>604</v>
      </c>
      <c r="AW49" s="28" t="s">
        <v>1116</v>
      </c>
      <c r="AX49" s="28">
        <v>236</v>
      </c>
      <c r="AY49" s="28"/>
      <c r="AZ49" s="28" t="s">
        <v>624</v>
      </c>
      <c r="BA49" s="28" t="s">
        <v>583</v>
      </c>
      <c r="BB49" s="28">
        <v>45680</v>
      </c>
      <c r="BC49" s="25" t="s">
        <v>329</v>
      </c>
      <c r="BD49" s="19"/>
      <c r="BE49" s="25" t="s">
        <v>329</v>
      </c>
      <c r="BF49" s="55"/>
      <c r="BG49" s="55"/>
      <c r="BH49" s="55"/>
      <c r="BI49" s="55"/>
      <c r="BJ49" s="20" t="s">
        <v>53</v>
      </c>
      <c r="BK49" s="53">
        <v>45706</v>
      </c>
      <c r="BL49" s="20" t="s">
        <v>56</v>
      </c>
      <c r="BM49" s="52" t="s">
        <v>1117</v>
      </c>
      <c r="BN49" s="19" t="s">
        <v>1444</v>
      </c>
      <c r="BO49" s="55"/>
      <c r="BP49" s="55"/>
      <c r="BQ49" s="66" t="s">
        <v>1118</v>
      </c>
      <c r="BR49" s="66" t="s">
        <v>381</v>
      </c>
      <c r="BS49" s="66">
        <v>3326489504</v>
      </c>
      <c r="BT49" s="66" t="s">
        <v>488</v>
      </c>
      <c r="BU49" s="66" t="s">
        <v>334</v>
      </c>
      <c r="BV49" s="66">
        <v>3</v>
      </c>
    </row>
    <row r="50" spans="1:74" x14ac:dyDescent="0.25">
      <c r="A50" s="19">
        <v>795</v>
      </c>
      <c r="B50" s="52" t="s">
        <v>335</v>
      </c>
      <c r="C50" s="20" t="s">
        <v>116</v>
      </c>
      <c r="D50" s="35" t="s">
        <v>1119</v>
      </c>
      <c r="E50" s="21">
        <v>45684</v>
      </c>
      <c r="F50" s="36">
        <v>45774</v>
      </c>
      <c r="G50" s="37">
        <v>45684</v>
      </c>
      <c r="H50" s="19" t="s">
        <v>291</v>
      </c>
      <c r="I50" s="19" t="s">
        <v>1120</v>
      </c>
      <c r="J50" s="19" t="s">
        <v>1121</v>
      </c>
      <c r="K50" s="19" t="s">
        <v>1122</v>
      </c>
      <c r="L50" s="55" t="s">
        <v>1123</v>
      </c>
      <c r="M50" s="19" t="s">
        <v>1124</v>
      </c>
      <c r="N50" s="19" t="s">
        <v>1125</v>
      </c>
      <c r="O50" s="19" t="s">
        <v>571</v>
      </c>
      <c r="P50" s="24">
        <v>31544</v>
      </c>
      <c r="Q50" s="20">
        <v>12</v>
      </c>
      <c r="R50" s="20">
        <v>5</v>
      </c>
      <c r="S50" s="20">
        <v>1986</v>
      </c>
      <c r="T50" s="38">
        <v>38</v>
      </c>
      <c r="U50" s="20" t="s">
        <v>342</v>
      </c>
      <c r="V50" s="55" t="s">
        <v>1126</v>
      </c>
      <c r="W50" s="20" t="s">
        <v>693</v>
      </c>
      <c r="X50" s="46" t="s">
        <v>216</v>
      </c>
      <c r="Y50" s="19" t="s">
        <v>214</v>
      </c>
      <c r="Z50" s="19" t="s">
        <v>857</v>
      </c>
      <c r="AA50" s="19" t="s">
        <v>533</v>
      </c>
      <c r="AB50" s="29">
        <v>11156.8</v>
      </c>
      <c r="AC50" s="29">
        <v>367</v>
      </c>
      <c r="AD50" s="27">
        <v>367</v>
      </c>
      <c r="AE50" s="47">
        <v>385.09309999999994</v>
      </c>
      <c r="AF50" s="19" t="s">
        <v>313</v>
      </c>
      <c r="AG50" s="19" t="s">
        <v>314</v>
      </c>
      <c r="AH50" s="19">
        <v>90</v>
      </c>
      <c r="AI50" s="19" t="s">
        <v>350</v>
      </c>
      <c r="AJ50" s="19" t="s">
        <v>291</v>
      </c>
      <c r="AK50" s="19" t="s">
        <v>351</v>
      </c>
      <c r="AL50" s="19" t="s">
        <v>317</v>
      </c>
      <c r="AM50" s="19" t="s">
        <v>318</v>
      </c>
      <c r="AN50" s="19" t="s">
        <v>319</v>
      </c>
      <c r="AO50" s="40" t="s">
        <v>1127</v>
      </c>
      <c r="AP50" s="40" t="s">
        <v>1128</v>
      </c>
      <c r="AQ50" s="28">
        <v>3318376122</v>
      </c>
      <c r="AR50" s="23" t="s">
        <v>1129</v>
      </c>
      <c r="AS50" s="28" t="s">
        <v>1130</v>
      </c>
      <c r="AT50" s="28" t="s">
        <v>381</v>
      </c>
      <c r="AU50" s="55"/>
      <c r="AV50" s="28" t="s">
        <v>480</v>
      </c>
      <c r="AW50" s="28" t="s">
        <v>1131</v>
      </c>
      <c r="AX50" s="28">
        <v>480</v>
      </c>
      <c r="AY50" s="28"/>
      <c r="AZ50" s="28" t="s">
        <v>1132</v>
      </c>
      <c r="BA50" s="28" t="s">
        <v>583</v>
      </c>
      <c r="BB50" s="28">
        <v>45134</v>
      </c>
      <c r="BC50" s="25" t="s">
        <v>329</v>
      </c>
      <c r="BD50" s="19"/>
      <c r="BE50" s="25" t="s">
        <v>329</v>
      </c>
      <c r="BF50" s="55"/>
      <c r="BG50" s="55"/>
      <c r="BH50" s="55"/>
      <c r="BI50" s="55"/>
      <c r="BJ50" s="20" t="s">
        <v>53</v>
      </c>
      <c r="BK50" s="53">
        <v>45774</v>
      </c>
      <c r="BL50" s="20" t="s">
        <v>625</v>
      </c>
      <c r="BM50" s="52" t="s">
        <v>1133</v>
      </c>
      <c r="BN50" s="19" t="s">
        <v>1444</v>
      </c>
      <c r="BO50" s="19"/>
      <c r="BP50" s="19"/>
      <c r="BQ50" s="66" t="s">
        <v>1130</v>
      </c>
      <c r="BR50" s="66" t="s">
        <v>381</v>
      </c>
      <c r="BS50" s="66">
        <v>3314596016</v>
      </c>
      <c r="BT50" s="66" t="s">
        <v>444</v>
      </c>
      <c r="BU50" s="66" t="s">
        <v>398</v>
      </c>
      <c r="BV50" s="66">
        <v>0</v>
      </c>
    </row>
    <row r="51" spans="1:74" x14ac:dyDescent="0.25">
      <c r="A51" s="19">
        <v>799</v>
      </c>
      <c r="B51" s="52" t="s">
        <v>564</v>
      </c>
      <c r="C51" s="20" t="s">
        <v>565</v>
      </c>
      <c r="D51" s="19">
        <v>54169833388</v>
      </c>
      <c r="E51" s="21">
        <v>45686</v>
      </c>
      <c r="F51" s="36">
        <v>45776</v>
      </c>
      <c r="G51" s="37">
        <v>45686</v>
      </c>
      <c r="H51" s="19" t="s">
        <v>290</v>
      </c>
      <c r="I51" s="19" t="s">
        <v>611</v>
      </c>
      <c r="J51" s="19" t="s">
        <v>1134</v>
      </c>
      <c r="K51" s="19" t="s">
        <v>1135</v>
      </c>
      <c r="L51" s="55" t="s">
        <v>1136</v>
      </c>
      <c r="M51" s="19" t="s">
        <v>1137</v>
      </c>
      <c r="N51" s="19" t="s">
        <v>1138</v>
      </c>
      <c r="O51" s="19" t="s">
        <v>571</v>
      </c>
      <c r="P51" s="24">
        <v>36120</v>
      </c>
      <c r="Q51" s="20">
        <v>21</v>
      </c>
      <c r="R51" s="20">
        <v>11</v>
      </c>
      <c r="S51" s="20">
        <v>1998</v>
      </c>
      <c r="T51" s="38">
        <v>26</v>
      </c>
      <c r="U51" s="20" t="s">
        <v>389</v>
      </c>
      <c r="V51" s="20" t="s">
        <v>1139</v>
      </c>
      <c r="W51" s="20" t="s">
        <v>472</v>
      </c>
      <c r="X51" s="46" t="s">
        <v>617</v>
      </c>
      <c r="Y51" s="20" t="s">
        <v>260</v>
      </c>
      <c r="Z51" s="20" t="s">
        <v>532</v>
      </c>
      <c r="AA51" s="20" t="s">
        <v>574</v>
      </c>
      <c r="AB51" s="29">
        <v>10640</v>
      </c>
      <c r="AC51" s="29">
        <v>350</v>
      </c>
      <c r="AD51" s="27">
        <v>350</v>
      </c>
      <c r="AE51" s="47">
        <v>367.25499999999994</v>
      </c>
      <c r="AF51" s="20" t="s">
        <v>313</v>
      </c>
      <c r="AG51" s="20" t="s">
        <v>314</v>
      </c>
      <c r="AH51" s="20">
        <v>90</v>
      </c>
      <c r="AI51" s="20" t="s">
        <v>710</v>
      </c>
      <c r="AJ51" s="20" t="s">
        <v>290</v>
      </c>
      <c r="AK51" s="20" t="s">
        <v>575</v>
      </c>
      <c r="AL51" s="20" t="s">
        <v>317</v>
      </c>
      <c r="AM51" s="20" t="s">
        <v>318</v>
      </c>
      <c r="AN51" s="20" t="s">
        <v>319</v>
      </c>
      <c r="AO51" s="28">
        <v>1502275981</v>
      </c>
      <c r="AP51" s="40" t="s">
        <v>1140</v>
      </c>
      <c r="AQ51" s="28">
        <v>3329462459</v>
      </c>
      <c r="AR51" s="23" t="s">
        <v>1141</v>
      </c>
      <c r="AS51" s="28" t="s">
        <v>1142</v>
      </c>
      <c r="AT51" s="28" t="s">
        <v>1003</v>
      </c>
      <c r="AU51" s="55"/>
      <c r="AV51" s="28" t="s">
        <v>480</v>
      </c>
      <c r="AW51" s="28" t="s">
        <v>1143</v>
      </c>
      <c r="AX51" s="28">
        <v>60</v>
      </c>
      <c r="AY51" s="28"/>
      <c r="AZ51" s="28" t="s">
        <v>624</v>
      </c>
      <c r="BA51" s="28" t="s">
        <v>583</v>
      </c>
      <c r="BB51" s="28">
        <v>45694</v>
      </c>
      <c r="BC51" s="25" t="s">
        <v>329</v>
      </c>
      <c r="BD51" s="19"/>
      <c r="BE51" s="25" t="s">
        <v>329</v>
      </c>
      <c r="BF51" s="55"/>
      <c r="BG51" s="55"/>
      <c r="BH51" s="55"/>
      <c r="BI51" s="55"/>
      <c r="BJ51" s="20" t="s">
        <v>53</v>
      </c>
      <c r="BK51" s="53">
        <v>45705</v>
      </c>
      <c r="BL51" s="20" t="s">
        <v>584</v>
      </c>
      <c r="BM51" s="52" t="s">
        <v>1144</v>
      </c>
      <c r="BN51" s="19" t="s">
        <v>1444</v>
      </c>
      <c r="BO51" s="19"/>
      <c r="BP51" s="19"/>
      <c r="BQ51" s="66" t="s">
        <v>1145</v>
      </c>
      <c r="BR51" s="66" t="s">
        <v>439</v>
      </c>
      <c r="BS51" s="66">
        <v>3315878349</v>
      </c>
      <c r="BT51" s="66" t="s">
        <v>488</v>
      </c>
      <c r="BU51" s="66" t="s">
        <v>398</v>
      </c>
      <c r="BV51" s="66">
        <v>0</v>
      </c>
    </row>
    <row r="52" spans="1:74" x14ac:dyDescent="0.25">
      <c r="A52" s="19">
        <v>800</v>
      </c>
      <c r="B52" s="52" t="s">
        <v>564</v>
      </c>
      <c r="C52" s="20" t="s">
        <v>565</v>
      </c>
      <c r="D52" s="19">
        <v>75079059947</v>
      </c>
      <c r="E52" s="21">
        <v>45687</v>
      </c>
      <c r="F52" s="36">
        <v>45777</v>
      </c>
      <c r="G52" s="37">
        <v>45687</v>
      </c>
      <c r="H52" s="19" t="s">
        <v>290</v>
      </c>
      <c r="I52" s="19" t="s">
        <v>1146</v>
      </c>
      <c r="J52" s="19" t="s">
        <v>1147</v>
      </c>
      <c r="K52" s="19" t="s">
        <v>1148</v>
      </c>
      <c r="L52" s="55" t="s">
        <v>1149</v>
      </c>
      <c r="M52" s="19" t="s">
        <v>1150</v>
      </c>
      <c r="N52" s="19" t="s">
        <v>1151</v>
      </c>
      <c r="O52" s="19" t="s">
        <v>571</v>
      </c>
      <c r="P52" s="24">
        <v>32947</v>
      </c>
      <c r="Q52" s="20">
        <v>15</v>
      </c>
      <c r="R52" s="20">
        <v>3</v>
      </c>
      <c r="S52" s="20">
        <v>1990</v>
      </c>
      <c r="T52" s="38">
        <v>34</v>
      </c>
      <c r="U52" s="20" t="s">
        <v>452</v>
      </c>
      <c r="V52" s="20" t="s">
        <v>1152</v>
      </c>
      <c r="W52" s="20" t="s">
        <v>530</v>
      </c>
      <c r="X52" s="46" t="s">
        <v>552</v>
      </c>
      <c r="Y52" s="19" t="s">
        <v>260</v>
      </c>
      <c r="Z52" s="19" t="s">
        <v>532</v>
      </c>
      <c r="AA52" s="19" t="s">
        <v>574</v>
      </c>
      <c r="AB52" s="29">
        <v>14448</v>
      </c>
      <c r="AC52" s="29">
        <v>475.26315789473688</v>
      </c>
      <c r="AD52" s="27">
        <v>475.27</v>
      </c>
      <c r="AE52" s="47">
        <v>498.70081099999993</v>
      </c>
      <c r="AF52" s="19" t="s">
        <v>313</v>
      </c>
      <c r="AG52" s="19" t="s">
        <v>314</v>
      </c>
      <c r="AH52" s="19">
        <v>90</v>
      </c>
      <c r="AI52" s="19" t="s">
        <v>350</v>
      </c>
      <c r="AJ52" s="19" t="s">
        <v>290</v>
      </c>
      <c r="AK52" s="19" t="s">
        <v>575</v>
      </c>
      <c r="AL52" s="19" t="s">
        <v>317</v>
      </c>
      <c r="AM52" s="19" t="s">
        <v>318</v>
      </c>
      <c r="AN52" s="19" t="s">
        <v>1153</v>
      </c>
      <c r="AO52" s="28">
        <v>6554535398</v>
      </c>
      <c r="AP52" s="40" t="s">
        <v>1154</v>
      </c>
      <c r="AQ52" s="28">
        <v>3325997281</v>
      </c>
      <c r="AR52" s="23" t="s">
        <v>1155</v>
      </c>
      <c r="AS52" s="28" t="s">
        <v>1156</v>
      </c>
      <c r="AT52" s="28" t="s">
        <v>560</v>
      </c>
      <c r="AU52" s="55"/>
      <c r="AV52" s="28" t="s">
        <v>327</v>
      </c>
      <c r="AW52" s="28" t="s">
        <v>1157</v>
      </c>
      <c r="AX52" s="28">
        <v>1235</v>
      </c>
      <c r="AY52" s="28"/>
      <c r="AZ52" s="28" t="s">
        <v>133</v>
      </c>
      <c r="BA52" s="28" t="s">
        <v>912</v>
      </c>
      <c r="BB52" s="28">
        <v>64480</v>
      </c>
      <c r="BC52" s="25" t="s">
        <v>329</v>
      </c>
      <c r="BD52" s="19"/>
      <c r="BE52" s="25" t="s">
        <v>329</v>
      </c>
      <c r="BF52" s="55"/>
      <c r="BG52" s="55"/>
      <c r="BH52" s="55"/>
      <c r="BI52" s="55"/>
      <c r="BJ52" s="20" t="s">
        <v>53</v>
      </c>
      <c r="BK52" s="53">
        <v>45694</v>
      </c>
      <c r="BL52" s="20" t="s">
        <v>1158</v>
      </c>
      <c r="BM52" s="52" t="s">
        <v>1159</v>
      </c>
      <c r="BN52" s="19" t="s">
        <v>1444</v>
      </c>
      <c r="BO52" s="19"/>
      <c r="BP52" s="19"/>
      <c r="BQ52" s="66" t="s">
        <v>1156</v>
      </c>
      <c r="BR52" s="66" t="s">
        <v>560</v>
      </c>
      <c r="BS52" s="66">
        <v>3313642490</v>
      </c>
      <c r="BT52" s="66" t="s">
        <v>333</v>
      </c>
      <c r="BU52" s="66" t="s">
        <v>398</v>
      </c>
      <c r="BV52" s="66">
        <v>1</v>
      </c>
    </row>
    <row r="53" spans="1:74" x14ac:dyDescent="0.25">
      <c r="A53" s="19">
        <v>805</v>
      </c>
      <c r="B53" s="44" t="s">
        <v>335</v>
      </c>
      <c r="C53" s="19" t="s">
        <v>140</v>
      </c>
      <c r="D53" s="19">
        <v>56190197832</v>
      </c>
      <c r="E53" s="21">
        <v>45692</v>
      </c>
      <c r="F53" s="36">
        <v>45782</v>
      </c>
      <c r="G53" s="37">
        <v>45692</v>
      </c>
      <c r="H53" s="19" t="s">
        <v>290</v>
      </c>
      <c r="I53" s="19" t="s">
        <v>1160</v>
      </c>
      <c r="J53" s="19" t="s">
        <v>366</v>
      </c>
      <c r="K53" s="19" t="s">
        <v>1161</v>
      </c>
      <c r="L53" s="55" t="s">
        <v>1162</v>
      </c>
      <c r="M53" s="19" t="s">
        <v>1163</v>
      </c>
      <c r="N53" s="19" t="s">
        <v>1164</v>
      </c>
      <c r="O53" s="19" t="s">
        <v>571</v>
      </c>
      <c r="P53" s="24">
        <v>37150</v>
      </c>
      <c r="Q53" s="20">
        <v>16</v>
      </c>
      <c r="R53" s="20">
        <v>9</v>
      </c>
      <c r="S53" s="20">
        <v>2001</v>
      </c>
      <c r="T53" s="38">
        <v>23</v>
      </c>
      <c r="U53" s="20" t="s">
        <v>389</v>
      </c>
      <c r="V53" s="20" t="s">
        <v>1165</v>
      </c>
      <c r="W53" s="20" t="s">
        <v>472</v>
      </c>
      <c r="X53" s="46" t="s">
        <v>115</v>
      </c>
      <c r="Y53" s="19" t="s">
        <v>921</v>
      </c>
      <c r="Z53" s="19" t="s">
        <v>347</v>
      </c>
      <c r="AA53" s="19" t="s">
        <v>1166</v>
      </c>
      <c r="AB53" s="29">
        <v>8964</v>
      </c>
      <c r="AC53" s="29">
        <v>295</v>
      </c>
      <c r="AD53" s="27">
        <v>295</v>
      </c>
      <c r="AE53" s="47">
        <v>309.54349999999999</v>
      </c>
      <c r="AF53" s="19" t="s">
        <v>313</v>
      </c>
      <c r="AG53" s="19" t="s">
        <v>314</v>
      </c>
      <c r="AH53" s="19">
        <v>90</v>
      </c>
      <c r="AI53" s="19" t="s">
        <v>554</v>
      </c>
      <c r="AJ53" s="19" t="s">
        <v>290</v>
      </c>
      <c r="AK53" s="19" t="s">
        <v>555</v>
      </c>
      <c r="AL53" s="19" t="s">
        <v>317</v>
      </c>
      <c r="AM53" s="19" t="s">
        <v>318</v>
      </c>
      <c r="AN53" s="19" t="s">
        <v>319</v>
      </c>
      <c r="AO53" s="28">
        <v>1537046056</v>
      </c>
      <c r="AP53" s="40" t="s">
        <v>1167</v>
      </c>
      <c r="AQ53" s="28">
        <v>4426361519</v>
      </c>
      <c r="AR53" s="23" t="s">
        <v>1168</v>
      </c>
      <c r="AS53" s="28" t="s">
        <v>1169</v>
      </c>
      <c r="AT53" s="28" t="s">
        <v>776</v>
      </c>
      <c r="AU53" s="55"/>
      <c r="AV53" s="28" t="s">
        <v>398</v>
      </c>
      <c r="AW53" s="28" t="s">
        <v>1170</v>
      </c>
      <c r="AX53" s="28">
        <v>62</v>
      </c>
      <c r="AY53" s="28"/>
      <c r="AZ53" s="28" t="s">
        <v>1090</v>
      </c>
      <c r="BA53" s="28" t="s">
        <v>545</v>
      </c>
      <c r="BB53" s="28">
        <v>76240</v>
      </c>
      <c r="BC53" s="25" t="s">
        <v>329</v>
      </c>
      <c r="BD53" s="19"/>
      <c r="BE53" s="25" t="s">
        <v>329</v>
      </c>
      <c r="BF53" s="55"/>
      <c r="BG53" s="55"/>
      <c r="BH53" s="55"/>
      <c r="BI53" s="55"/>
      <c r="BJ53" s="20" t="s">
        <v>53</v>
      </c>
      <c r="BK53" s="53">
        <v>45719</v>
      </c>
      <c r="BL53" s="20" t="s">
        <v>584</v>
      </c>
      <c r="BM53" s="52" t="s">
        <v>1171</v>
      </c>
      <c r="BN53" s="19" t="s">
        <v>1444</v>
      </c>
      <c r="BO53" s="19"/>
      <c r="BP53" s="19"/>
      <c r="BQ53" s="66" t="s">
        <v>1169</v>
      </c>
      <c r="BR53" s="66" t="s">
        <v>776</v>
      </c>
      <c r="BS53" s="66">
        <v>4421527528</v>
      </c>
      <c r="BT53" s="66" t="s">
        <v>488</v>
      </c>
      <c r="BU53" s="66" t="s">
        <v>398</v>
      </c>
      <c r="BV53" s="66">
        <v>0</v>
      </c>
    </row>
    <row r="54" spans="1:74" x14ac:dyDescent="0.25">
      <c r="A54" s="19">
        <v>810</v>
      </c>
      <c r="B54" s="52" t="s">
        <v>564</v>
      </c>
      <c r="C54" s="20" t="s">
        <v>565</v>
      </c>
      <c r="D54" s="35" t="s">
        <v>1172</v>
      </c>
      <c r="E54" s="21">
        <v>45700</v>
      </c>
      <c r="F54" s="36">
        <v>45790</v>
      </c>
      <c r="G54" s="37">
        <v>45700</v>
      </c>
      <c r="H54" s="19" t="s">
        <v>290</v>
      </c>
      <c r="I54" s="19" t="s">
        <v>1173</v>
      </c>
      <c r="J54" s="19" t="s">
        <v>836</v>
      </c>
      <c r="K54" s="19" t="s">
        <v>1174</v>
      </c>
      <c r="L54" s="55" t="s">
        <v>1175</v>
      </c>
      <c r="M54" s="19" t="s">
        <v>1176</v>
      </c>
      <c r="N54" s="19" t="s">
        <v>1177</v>
      </c>
      <c r="O54" s="19" t="s">
        <v>571</v>
      </c>
      <c r="P54" s="24">
        <v>34169</v>
      </c>
      <c r="Q54" s="20">
        <v>19</v>
      </c>
      <c r="R54" s="20">
        <v>7</v>
      </c>
      <c r="S54" s="20">
        <v>1993</v>
      </c>
      <c r="T54" s="38">
        <v>31</v>
      </c>
      <c r="U54" s="20" t="s">
        <v>342</v>
      </c>
      <c r="V54" s="20" t="s">
        <v>1178</v>
      </c>
      <c r="W54" s="20" t="s">
        <v>472</v>
      </c>
      <c r="X54" s="46" t="s">
        <v>617</v>
      </c>
      <c r="Y54" s="20" t="s">
        <v>260</v>
      </c>
      <c r="Z54" s="20" t="s">
        <v>532</v>
      </c>
      <c r="AA54" s="20" t="s">
        <v>574</v>
      </c>
      <c r="AB54" s="29">
        <v>10640</v>
      </c>
      <c r="AC54" s="29">
        <v>350</v>
      </c>
      <c r="AD54" s="27">
        <v>350</v>
      </c>
      <c r="AE54" s="47">
        <v>367.25499999999994</v>
      </c>
      <c r="AF54" s="20" t="s">
        <v>313</v>
      </c>
      <c r="AG54" s="20" t="s">
        <v>314</v>
      </c>
      <c r="AH54" s="20">
        <v>90</v>
      </c>
      <c r="AI54" s="20" t="s">
        <v>710</v>
      </c>
      <c r="AJ54" s="20" t="s">
        <v>290</v>
      </c>
      <c r="AK54" s="20" t="s">
        <v>575</v>
      </c>
      <c r="AL54" s="20" t="s">
        <v>317</v>
      </c>
      <c r="AM54" s="20" t="s">
        <v>318</v>
      </c>
      <c r="AN54" s="20" t="s">
        <v>319</v>
      </c>
      <c r="AO54" s="28">
        <v>1569870928</v>
      </c>
      <c r="AP54" s="40" t="s">
        <v>1179</v>
      </c>
      <c r="AQ54" s="28">
        <v>3521630384</v>
      </c>
      <c r="AR54" s="23" t="s">
        <v>1180</v>
      </c>
      <c r="AS54" s="28" t="s">
        <v>1181</v>
      </c>
      <c r="AT54" s="28" t="s">
        <v>381</v>
      </c>
      <c r="AU54" s="55"/>
      <c r="AV54" s="28" t="s">
        <v>480</v>
      </c>
      <c r="AW54" s="28" t="s">
        <v>1182</v>
      </c>
      <c r="AX54" s="28" t="s">
        <v>880</v>
      </c>
      <c r="AY54" s="28"/>
      <c r="AZ54" s="28" t="s">
        <v>1183</v>
      </c>
      <c r="BA54" s="28" t="s">
        <v>1184</v>
      </c>
      <c r="BB54" s="28">
        <v>36933</v>
      </c>
      <c r="BC54" s="25" t="s">
        <v>329</v>
      </c>
      <c r="BD54" s="19"/>
      <c r="BE54" s="25" t="s">
        <v>329</v>
      </c>
      <c r="BF54" s="55"/>
      <c r="BG54" s="55"/>
      <c r="BH54" s="55"/>
      <c r="BI54" s="55"/>
      <c r="BJ54" s="20" t="s">
        <v>53</v>
      </c>
      <c r="BK54" s="53">
        <v>45754</v>
      </c>
      <c r="BL54" s="20" t="s">
        <v>56</v>
      </c>
      <c r="BM54" s="52" t="s">
        <v>1185</v>
      </c>
      <c r="BN54" s="19" t="s">
        <v>1444</v>
      </c>
      <c r="BO54" s="19"/>
      <c r="BP54" s="19"/>
      <c r="BQ54" s="66" t="s">
        <v>1181</v>
      </c>
      <c r="BR54" s="66" t="s">
        <v>381</v>
      </c>
      <c r="BS54" s="66">
        <v>3313831064</v>
      </c>
      <c r="BT54" s="66" t="s">
        <v>444</v>
      </c>
      <c r="BU54" s="66" t="s">
        <v>398</v>
      </c>
      <c r="BV54" s="66">
        <v>3</v>
      </c>
    </row>
    <row r="55" spans="1:74" x14ac:dyDescent="0.25">
      <c r="A55" s="19">
        <v>812</v>
      </c>
      <c r="B55" s="52" t="s">
        <v>564</v>
      </c>
      <c r="C55" s="20" t="s">
        <v>565</v>
      </c>
      <c r="D55" s="35" t="s">
        <v>1186</v>
      </c>
      <c r="E55" s="21">
        <v>45707</v>
      </c>
      <c r="F55" s="36">
        <v>45797</v>
      </c>
      <c r="G55" s="37">
        <v>45707</v>
      </c>
      <c r="H55" s="19" t="s">
        <v>290</v>
      </c>
      <c r="I55" s="19" t="s">
        <v>1187</v>
      </c>
      <c r="J55" s="19" t="s">
        <v>1188</v>
      </c>
      <c r="K55" s="19" t="s">
        <v>929</v>
      </c>
      <c r="L55" s="55" t="s">
        <v>1189</v>
      </c>
      <c r="M55" s="19" t="s">
        <v>1190</v>
      </c>
      <c r="N55" s="19" t="s">
        <v>1191</v>
      </c>
      <c r="O55" s="19" t="s">
        <v>571</v>
      </c>
      <c r="P55" s="24">
        <v>30649</v>
      </c>
      <c r="Q55" s="20">
        <v>29</v>
      </c>
      <c r="R55" s="20">
        <v>11</v>
      </c>
      <c r="S55" s="20">
        <v>1983</v>
      </c>
      <c r="T55" s="38">
        <v>40</v>
      </c>
      <c r="U55" s="20" t="s">
        <v>454</v>
      </c>
      <c r="V55" s="20" t="s">
        <v>1192</v>
      </c>
      <c r="W55" s="20" t="s">
        <v>454</v>
      </c>
      <c r="X55" s="46" t="s">
        <v>617</v>
      </c>
      <c r="Y55" s="20" t="s">
        <v>260</v>
      </c>
      <c r="Z55" s="20" t="s">
        <v>532</v>
      </c>
      <c r="AA55" s="20" t="s">
        <v>574</v>
      </c>
      <c r="AB55" s="29">
        <v>10640</v>
      </c>
      <c r="AC55" s="29">
        <v>350</v>
      </c>
      <c r="AD55" s="27">
        <v>350</v>
      </c>
      <c r="AE55" s="47">
        <v>367.25499999999994</v>
      </c>
      <c r="AF55" s="20" t="s">
        <v>313</v>
      </c>
      <c r="AG55" s="20" t="s">
        <v>314</v>
      </c>
      <c r="AH55" s="20">
        <v>90</v>
      </c>
      <c r="AI55" s="20" t="s">
        <v>710</v>
      </c>
      <c r="AJ55" s="20" t="s">
        <v>290</v>
      </c>
      <c r="AK55" s="20" t="s">
        <v>575</v>
      </c>
      <c r="AL55" s="20" t="s">
        <v>317</v>
      </c>
      <c r="AM55" s="20" t="s">
        <v>318</v>
      </c>
      <c r="AN55" s="20" t="s">
        <v>319</v>
      </c>
      <c r="AO55" s="28">
        <v>1553973983</v>
      </c>
      <c r="AP55" s="40" t="s">
        <v>1193</v>
      </c>
      <c r="AQ55" s="28">
        <v>3311705568</v>
      </c>
      <c r="AR55" s="23" t="s">
        <v>1194</v>
      </c>
      <c r="AS55" s="28" t="s">
        <v>1195</v>
      </c>
      <c r="AT55" s="28" t="s">
        <v>602</v>
      </c>
      <c r="AU55" s="55"/>
      <c r="AV55" s="28" t="s">
        <v>327</v>
      </c>
      <c r="AW55" s="28" t="s">
        <v>1196</v>
      </c>
      <c r="AX55" s="28">
        <v>2853</v>
      </c>
      <c r="AY55" s="28"/>
      <c r="AZ55" s="28" t="s">
        <v>624</v>
      </c>
      <c r="BA55" s="28" t="s">
        <v>583</v>
      </c>
      <c r="BB55" s="28">
        <v>45693</v>
      </c>
      <c r="BC55" s="25" t="s">
        <v>329</v>
      </c>
      <c r="BD55" s="19"/>
      <c r="BE55" s="25" t="s">
        <v>329</v>
      </c>
      <c r="BF55" s="55"/>
      <c r="BG55" s="55"/>
      <c r="BH55" s="55"/>
      <c r="BI55" s="55"/>
      <c r="BJ55" s="20" t="s">
        <v>53</v>
      </c>
      <c r="BK55" s="53">
        <v>45743</v>
      </c>
      <c r="BL55" s="20" t="s">
        <v>56</v>
      </c>
      <c r="BM55" s="52" t="s">
        <v>1197</v>
      </c>
      <c r="BN55" s="19" t="s">
        <v>1444</v>
      </c>
      <c r="BO55" s="19"/>
      <c r="BP55" s="19"/>
      <c r="BQ55" s="66" t="s">
        <v>1195</v>
      </c>
      <c r="BR55" s="66" t="s">
        <v>602</v>
      </c>
      <c r="BS55" s="66">
        <v>3344265362</v>
      </c>
      <c r="BT55" s="66" t="s">
        <v>488</v>
      </c>
      <c r="BU55" s="66" t="s">
        <v>398</v>
      </c>
      <c r="BV55" s="66">
        <v>0</v>
      </c>
    </row>
    <row r="56" spans="1:74" x14ac:dyDescent="0.25">
      <c r="A56" s="19">
        <v>814</v>
      </c>
      <c r="B56" s="52" t="s">
        <v>564</v>
      </c>
      <c r="C56" s="20" t="s">
        <v>565</v>
      </c>
      <c r="D56" s="19">
        <v>52169912707</v>
      </c>
      <c r="E56" s="21">
        <v>45708</v>
      </c>
      <c r="F56" s="36">
        <v>45798</v>
      </c>
      <c r="G56" s="37">
        <v>45708</v>
      </c>
      <c r="H56" s="19" t="s">
        <v>290</v>
      </c>
      <c r="I56" s="19" t="s">
        <v>1198</v>
      </c>
      <c r="J56" s="19" t="s">
        <v>1056</v>
      </c>
      <c r="K56" s="19" t="s">
        <v>1199</v>
      </c>
      <c r="L56" s="55" t="s">
        <v>1200</v>
      </c>
      <c r="M56" s="19" t="s">
        <v>1201</v>
      </c>
      <c r="N56" s="19" t="s">
        <v>1202</v>
      </c>
      <c r="O56" s="19" t="s">
        <v>571</v>
      </c>
      <c r="P56" s="24">
        <v>36357</v>
      </c>
      <c r="Q56" s="20">
        <v>16</v>
      </c>
      <c r="R56" s="20">
        <v>7</v>
      </c>
      <c r="S56" s="20">
        <v>1999</v>
      </c>
      <c r="T56" s="38">
        <v>25</v>
      </c>
      <c r="U56" s="20" t="s">
        <v>389</v>
      </c>
      <c r="V56" s="20" t="s">
        <v>1203</v>
      </c>
      <c r="W56" s="20" t="s">
        <v>454</v>
      </c>
      <c r="X56" s="46" t="s">
        <v>617</v>
      </c>
      <c r="Y56" s="20" t="s">
        <v>260</v>
      </c>
      <c r="Z56" s="20" t="s">
        <v>532</v>
      </c>
      <c r="AA56" s="20" t="s">
        <v>574</v>
      </c>
      <c r="AB56" s="29">
        <v>10640</v>
      </c>
      <c r="AC56" s="29">
        <v>350</v>
      </c>
      <c r="AD56" s="27">
        <v>350</v>
      </c>
      <c r="AE56" s="47">
        <v>367.25499999999994</v>
      </c>
      <c r="AF56" s="20" t="s">
        <v>313</v>
      </c>
      <c r="AG56" s="20" t="s">
        <v>314</v>
      </c>
      <c r="AH56" s="20">
        <v>90</v>
      </c>
      <c r="AI56" s="20" t="s">
        <v>710</v>
      </c>
      <c r="AJ56" s="20" t="s">
        <v>290</v>
      </c>
      <c r="AK56" s="20" t="s">
        <v>575</v>
      </c>
      <c r="AL56" s="20" t="s">
        <v>317</v>
      </c>
      <c r="AM56" s="20" t="s">
        <v>318</v>
      </c>
      <c r="AN56" s="20" t="s">
        <v>319</v>
      </c>
      <c r="AO56" s="28">
        <v>1501245150</v>
      </c>
      <c r="AP56" s="40" t="s">
        <v>1204</v>
      </c>
      <c r="AQ56" s="28">
        <v>3327961126</v>
      </c>
      <c r="AR56" s="23" t="s">
        <v>1205</v>
      </c>
      <c r="AS56" s="28" t="s">
        <v>1206</v>
      </c>
      <c r="AT56" s="28" t="s">
        <v>776</v>
      </c>
      <c r="AU56" s="55"/>
      <c r="AV56" s="28" t="s">
        <v>398</v>
      </c>
      <c r="AW56" s="28" t="s">
        <v>1207</v>
      </c>
      <c r="AX56" s="28" t="s">
        <v>1208</v>
      </c>
      <c r="AY56" s="28">
        <v>427</v>
      </c>
      <c r="AZ56" s="28" t="s">
        <v>582</v>
      </c>
      <c r="BA56" s="28" t="s">
        <v>583</v>
      </c>
      <c r="BB56" s="28">
        <v>45653</v>
      </c>
      <c r="BC56" s="25" t="s">
        <v>329</v>
      </c>
      <c r="BD56" s="19"/>
      <c r="BE56" s="25" t="s">
        <v>329</v>
      </c>
      <c r="BF56" s="55"/>
      <c r="BG56" s="55"/>
      <c r="BH56" s="55"/>
      <c r="BI56" s="55"/>
      <c r="BJ56" s="20" t="s">
        <v>53</v>
      </c>
      <c r="BK56" s="53">
        <v>45726</v>
      </c>
      <c r="BL56" s="20" t="s">
        <v>584</v>
      </c>
      <c r="BM56" s="52" t="s">
        <v>1209</v>
      </c>
      <c r="BN56" s="19" t="s">
        <v>1444</v>
      </c>
      <c r="BO56" s="19"/>
      <c r="BP56" s="19"/>
      <c r="BQ56" s="66" t="s">
        <v>1210</v>
      </c>
      <c r="BR56" s="66" t="s">
        <v>1211</v>
      </c>
      <c r="BS56" s="66">
        <v>3326599451</v>
      </c>
      <c r="BT56" s="66" t="s">
        <v>333</v>
      </c>
      <c r="BU56" s="66" t="s">
        <v>398</v>
      </c>
      <c r="BV56" s="66">
        <v>0</v>
      </c>
    </row>
    <row r="57" spans="1:74" x14ac:dyDescent="0.25">
      <c r="A57" s="19">
        <v>815</v>
      </c>
      <c r="B57" s="44" t="s">
        <v>335</v>
      </c>
      <c r="C57" s="19" t="s">
        <v>140</v>
      </c>
      <c r="D57" s="19">
        <v>54169932123</v>
      </c>
      <c r="E57" s="21">
        <v>45708</v>
      </c>
      <c r="F57" s="36">
        <v>45798</v>
      </c>
      <c r="G57" s="37">
        <v>45708</v>
      </c>
      <c r="H57" s="19" t="s">
        <v>290</v>
      </c>
      <c r="I57" s="19" t="s">
        <v>1212</v>
      </c>
      <c r="J57" s="19" t="s">
        <v>1213</v>
      </c>
      <c r="K57" s="19" t="s">
        <v>1214</v>
      </c>
      <c r="L57" s="55" t="s">
        <v>1215</v>
      </c>
      <c r="M57" s="19" t="s">
        <v>1216</v>
      </c>
      <c r="N57" s="19" t="s">
        <v>1217</v>
      </c>
      <c r="O57" s="19" t="s">
        <v>571</v>
      </c>
      <c r="P57" s="24">
        <v>36401</v>
      </c>
      <c r="Q57" s="20">
        <v>29</v>
      </c>
      <c r="R57" s="20">
        <v>8</v>
      </c>
      <c r="S57" s="20">
        <v>1999</v>
      </c>
      <c r="T57" s="38">
        <v>25</v>
      </c>
      <c r="U57" s="20" t="s">
        <v>389</v>
      </c>
      <c r="V57" s="20" t="s">
        <v>1218</v>
      </c>
      <c r="W57" s="20" t="s">
        <v>454</v>
      </c>
      <c r="X57" s="46" t="s">
        <v>115</v>
      </c>
      <c r="Y57" s="19" t="s">
        <v>921</v>
      </c>
      <c r="Z57" s="19" t="s">
        <v>347</v>
      </c>
      <c r="AA57" s="19" t="s">
        <v>1166</v>
      </c>
      <c r="AB57" s="29">
        <v>8964</v>
      </c>
      <c r="AC57" s="29">
        <v>295</v>
      </c>
      <c r="AD57" s="27">
        <v>295</v>
      </c>
      <c r="AE57" s="47">
        <v>309.54349999999999</v>
      </c>
      <c r="AF57" s="19" t="s">
        <v>313</v>
      </c>
      <c r="AG57" s="19" t="s">
        <v>314</v>
      </c>
      <c r="AH57" s="19">
        <v>90</v>
      </c>
      <c r="AI57" s="19" t="s">
        <v>554</v>
      </c>
      <c r="AJ57" s="19" t="s">
        <v>290</v>
      </c>
      <c r="AK57" s="19" t="s">
        <v>555</v>
      </c>
      <c r="AL57" s="19" t="s">
        <v>317</v>
      </c>
      <c r="AM57" s="19" t="s">
        <v>318</v>
      </c>
      <c r="AN57" s="19" t="s">
        <v>319</v>
      </c>
      <c r="AO57" s="28">
        <v>1556799429</v>
      </c>
      <c r="AP57" s="40" t="s">
        <v>1219</v>
      </c>
      <c r="AQ57" s="28">
        <v>4428512367</v>
      </c>
      <c r="AR57" s="23" t="s">
        <v>1220</v>
      </c>
      <c r="AS57" s="28" t="s">
        <v>1221</v>
      </c>
      <c r="AT57" s="28" t="s">
        <v>325</v>
      </c>
      <c r="AU57" s="55"/>
      <c r="AV57" s="28" t="s">
        <v>398</v>
      </c>
      <c r="AW57" s="28" t="s">
        <v>1222</v>
      </c>
      <c r="AX57" s="28" t="s">
        <v>1222</v>
      </c>
      <c r="AY57" s="28"/>
      <c r="AZ57" s="28" t="s">
        <v>1223</v>
      </c>
      <c r="BA57" s="28" t="s">
        <v>1224</v>
      </c>
      <c r="BB57" s="28">
        <v>88275</v>
      </c>
      <c r="BC57" s="25" t="s">
        <v>329</v>
      </c>
      <c r="BD57" s="19"/>
      <c r="BE57" s="25" t="s">
        <v>329</v>
      </c>
      <c r="BF57" s="55"/>
      <c r="BG57" s="55"/>
      <c r="BH57" s="55"/>
      <c r="BI57" s="55"/>
      <c r="BJ57" s="20" t="s">
        <v>53</v>
      </c>
      <c r="BK57" s="53">
        <v>45726</v>
      </c>
      <c r="BL57" s="20" t="s">
        <v>584</v>
      </c>
      <c r="BM57" s="52" t="s">
        <v>1225</v>
      </c>
      <c r="BN57" s="19" t="s">
        <v>1444</v>
      </c>
      <c r="BO57" s="19"/>
      <c r="BP57" s="19"/>
      <c r="BQ57" s="66" t="s">
        <v>1226</v>
      </c>
      <c r="BR57" s="66" t="s">
        <v>325</v>
      </c>
      <c r="BS57" s="66"/>
      <c r="BT57" s="66" t="s">
        <v>333</v>
      </c>
      <c r="BU57" s="66" t="s">
        <v>398</v>
      </c>
      <c r="BV57" s="66">
        <v>1</v>
      </c>
    </row>
    <row r="58" spans="1:74" x14ac:dyDescent="0.25">
      <c r="A58" s="19">
        <v>822</v>
      </c>
      <c r="B58" s="52" t="s">
        <v>564</v>
      </c>
      <c r="C58" s="20" t="s">
        <v>565</v>
      </c>
      <c r="D58" s="35">
        <v>26159396808</v>
      </c>
      <c r="E58" s="21">
        <v>45715</v>
      </c>
      <c r="F58" s="36">
        <v>45805</v>
      </c>
      <c r="G58" s="37">
        <v>45715</v>
      </c>
      <c r="H58" s="19" t="s">
        <v>290</v>
      </c>
      <c r="I58" s="19" t="s">
        <v>366</v>
      </c>
      <c r="J58" s="19" t="s">
        <v>1227</v>
      </c>
      <c r="K58" s="19" t="s">
        <v>1228</v>
      </c>
      <c r="L58" s="55" t="s">
        <v>1229</v>
      </c>
      <c r="M58" s="19" t="s">
        <v>1230</v>
      </c>
      <c r="N58" s="19" t="s">
        <v>1231</v>
      </c>
      <c r="O58" s="19" t="s">
        <v>571</v>
      </c>
      <c r="P58" s="24">
        <v>30583</v>
      </c>
      <c r="Q58" s="20">
        <v>24</v>
      </c>
      <c r="R58" s="20">
        <v>9</v>
      </c>
      <c r="S58" s="20">
        <v>1983</v>
      </c>
      <c r="T58" s="38">
        <v>31</v>
      </c>
      <c r="U58" s="55" t="s">
        <v>389</v>
      </c>
      <c r="V58" s="20" t="s">
        <v>1232</v>
      </c>
      <c r="W58" s="20" t="s">
        <v>530</v>
      </c>
      <c r="X58" s="46" t="s">
        <v>617</v>
      </c>
      <c r="Y58" s="20" t="s">
        <v>260</v>
      </c>
      <c r="Z58" s="20" t="s">
        <v>532</v>
      </c>
      <c r="AA58" s="20" t="s">
        <v>574</v>
      </c>
      <c r="AB58" s="29">
        <v>10640</v>
      </c>
      <c r="AC58" s="29">
        <v>350</v>
      </c>
      <c r="AD58" s="27">
        <v>350</v>
      </c>
      <c r="AE58" s="47">
        <v>367.26</v>
      </c>
      <c r="AF58" s="20" t="s">
        <v>313</v>
      </c>
      <c r="AG58" s="20" t="s">
        <v>314</v>
      </c>
      <c r="AH58" s="20">
        <v>90</v>
      </c>
      <c r="AI58" s="20" t="s">
        <v>710</v>
      </c>
      <c r="AJ58" s="20" t="s">
        <v>290</v>
      </c>
      <c r="AK58" s="20" t="s">
        <v>575</v>
      </c>
      <c r="AL58" s="20" t="s">
        <v>317</v>
      </c>
      <c r="AM58" s="20" t="s">
        <v>318</v>
      </c>
      <c r="AN58" s="20" t="s">
        <v>319</v>
      </c>
      <c r="AO58" s="28">
        <v>1535984233</v>
      </c>
      <c r="AP58" s="40">
        <v>1.23200153598423E+16</v>
      </c>
      <c r="AQ58" s="28">
        <v>3347639999</v>
      </c>
      <c r="AR58" s="23" t="s">
        <v>1233</v>
      </c>
      <c r="AS58" s="28" t="s">
        <v>1234</v>
      </c>
      <c r="AT58" s="28" t="s">
        <v>439</v>
      </c>
      <c r="AU58" s="55"/>
      <c r="AV58" s="28" t="s">
        <v>398</v>
      </c>
      <c r="AW58" s="28" t="s">
        <v>880</v>
      </c>
      <c r="AX58" s="28" t="s">
        <v>880</v>
      </c>
      <c r="AY58" s="28"/>
      <c r="AZ58" s="28" t="s">
        <v>1235</v>
      </c>
      <c r="BA58" s="28" t="s">
        <v>1236</v>
      </c>
      <c r="BB58" s="28">
        <v>40200</v>
      </c>
      <c r="BC58" s="25" t="s">
        <v>329</v>
      </c>
      <c r="BD58" s="19"/>
      <c r="BE58" s="25" t="s">
        <v>329</v>
      </c>
      <c r="BF58" s="55"/>
      <c r="BG58" s="55"/>
      <c r="BH58" s="55"/>
      <c r="BI58" s="55"/>
      <c r="BJ58" s="20" t="s">
        <v>53</v>
      </c>
      <c r="BK58" s="53">
        <v>45763</v>
      </c>
      <c r="BL58" s="20" t="s">
        <v>584</v>
      </c>
      <c r="BM58" s="52" t="s">
        <v>1237</v>
      </c>
      <c r="BN58" s="19" t="s">
        <v>1444</v>
      </c>
      <c r="BO58" s="19"/>
      <c r="BP58" s="19"/>
      <c r="BQ58" s="66" t="s">
        <v>1238</v>
      </c>
      <c r="BR58" s="66" t="s">
        <v>439</v>
      </c>
      <c r="BS58" s="66">
        <v>3310117377</v>
      </c>
      <c r="BT58" s="66" t="s">
        <v>333</v>
      </c>
      <c r="BU58" s="66" t="s">
        <v>398</v>
      </c>
      <c r="BV58" s="66">
        <v>1</v>
      </c>
    </row>
    <row r="59" spans="1:74" x14ac:dyDescent="0.25">
      <c r="A59" s="19">
        <v>826</v>
      </c>
      <c r="B59" s="62" t="s">
        <v>335</v>
      </c>
      <c r="C59" s="60" t="s">
        <v>140</v>
      </c>
      <c r="D59" s="19">
        <v>14129447562</v>
      </c>
      <c r="E59" s="21">
        <v>45720</v>
      </c>
      <c r="F59" s="36">
        <v>45810</v>
      </c>
      <c r="G59" s="37">
        <v>45720</v>
      </c>
      <c r="H59" s="19" t="s">
        <v>290</v>
      </c>
      <c r="I59" s="19" t="s">
        <v>1239</v>
      </c>
      <c r="J59" s="19" t="s">
        <v>590</v>
      </c>
      <c r="K59" s="19" t="s">
        <v>1240</v>
      </c>
      <c r="L59" s="55" t="s">
        <v>1241</v>
      </c>
      <c r="M59" s="19" t="s">
        <v>1242</v>
      </c>
      <c r="N59" s="19" t="s">
        <v>1243</v>
      </c>
      <c r="O59" s="19" t="s">
        <v>571</v>
      </c>
      <c r="P59" s="24">
        <v>34488</v>
      </c>
      <c r="Q59" s="28">
        <v>3</v>
      </c>
      <c r="R59" s="28">
        <v>6</v>
      </c>
      <c r="S59" s="20">
        <v>1994</v>
      </c>
      <c r="T59" s="38">
        <v>30</v>
      </c>
      <c r="U59" s="55" t="s">
        <v>389</v>
      </c>
      <c r="V59" s="20" t="s">
        <v>1244</v>
      </c>
      <c r="W59" s="20" t="s">
        <v>454</v>
      </c>
      <c r="X59" s="46" t="s">
        <v>115</v>
      </c>
      <c r="Y59" s="19" t="s">
        <v>921</v>
      </c>
      <c r="Z59" s="19" t="s">
        <v>347</v>
      </c>
      <c r="AA59" s="19" t="s">
        <v>1166</v>
      </c>
      <c r="AB59" s="29">
        <v>8964</v>
      </c>
      <c r="AC59" s="29">
        <v>295</v>
      </c>
      <c r="AD59" s="27">
        <v>295</v>
      </c>
      <c r="AE59" s="47">
        <v>309.54349999999999</v>
      </c>
      <c r="AF59" s="19" t="s">
        <v>313</v>
      </c>
      <c r="AG59" s="19" t="s">
        <v>314</v>
      </c>
      <c r="AH59" s="19">
        <v>90</v>
      </c>
      <c r="AI59" s="19" t="s">
        <v>554</v>
      </c>
      <c r="AJ59" s="19" t="s">
        <v>290</v>
      </c>
      <c r="AK59" s="19" t="s">
        <v>555</v>
      </c>
      <c r="AL59" s="19" t="s">
        <v>317</v>
      </c>
      <c r="AM59" s="19" t="s">
        <v>318</v>
      </c>
      <c r="AN59" s="19" t="s">
        <v>319</v>
      </c>
      <c r="AO59" s="28">
        <v>1539402278</v>
      </c>
      <c r="AP59" s="40" t="s">
        <v>1245</v>
      </c>
      <c r="AQ59" s="28">
        <v>4423855107</v>
      </c>
      <c r="AR59" s="23" t="s">
        <v>1246</v>
      </c>
      <c r="AS59" s="28" t="s">
        <v>1247</v>
      </c>
      <c r="AT59" s="28" t="s">
        <v>439</v>
      </c>
      <c r="AU59" s="55"/>
      <c r="AV59" s="28" t="s">
        <v>398</v>
      </c>
      <c r="AW59" s="28" t="s">
        <v>1248</v>
      </c>
      <c r="AX59" s="28">
        <v>16</v>
      </c>
      <c r="AY59" s="28"/>
      <c r="AZ59" s="28" t="s">
        <v>140</v>
      </c>
      <c r="BA59" s="28" t="s">
        <v>140</v>
      </c>
      <c r="BB59" s="28">
        <v>76148</v>
      </c>
      <c r="BC59" s="25" t="s">
        <v>329</v>
      </c>
      <c r="BD59" s="19"/>
      <c r="BE59" s="25" t="s">
        <v>329</v>
      </c>
      <c r="BF59" s="55"/>
      <c r="BG59" s="55"/>
      <c r="BH59" s="55"/>
      <c r="BI59" s="55"/>
      <c r="BJ59" s="20" t="s">
        <v>53</v>
      </c>
      <c r="BK59" s="53">
        <v>45757</v>
      </c>
      <c r="BL59" s="20" t="s">
        <v>584</v>
      </c>
      <c r="BM59" s="52" t="s">
        <v>1249</v>
      </c>
      <c r="BN59" s="19" t="s">
        <v>1444</v>
      </c>
      <c r="BO59" s="19"/>
      <c r="BP59" s="19"/>
      <c r="BQ59" s="66" t="s">
        <v>1247</v>
      </c>
      <c r="BR59" s="66" t="s">
        <v>439</v>
      </c>
      <c r="BS59" s="66">
        <v>7205993368</v>
      </c>
      <c r="BT59" s="66" t="s">
        <v>685</v>
      </c>
      <c r="BU59" s="66" t="s">
        <v>398</v>
      </c>
      <c r="BV59" s="66">
        <v>2</v>
      </c>
    </row>
    <row r="60" spans="1:74" x14ac:dyDescent="0.25">
      <c r="A60" s="19">
        <v>827</v>
      </c>
      <c r="B60" s="62" t="s">
        <v>335</v>
      </c>
      <c r="C60" s="60" t="s">
        <v>140</v>
      </c>
      <c r="D60" s="19">
        <v>14139623400</v>
      </c>
      <c r="E60" s="21">
        <v>45722</v>
      </c>
      <c r="F60" s="36">
        <v>45812</v>
      </c>
      <c r="G60" s="37">
        <v>45722</v>
      </c>
      <c r="H60" s="19" t="s">
        <v>290</v>
      </c>
      <c r="I60" s="19" t="s">
        <v>882</v>
      </c>
      <c r="J60" s="19" t="s">
        <v>704</v>
      </c>
      <c r="K60" s="19" t="s">
        <v>768</v>
      </c>
      <c r="L60" s="55" t="s">
        <v>1250</v>
      </c>
      <c r="M60" s="19" t="s">
        <v>1251</v>
      </c>
      <c r="N60" s="19" t="s">
        <v>1252</v>
      </c>
      <c r="O60" s="19" t="s">
        <v>571</v>
      </c>
      <c r="P60" s="24">
        <v>35344</v>
      </c>
      <c r="Q60" s="28">
        <v>6</v>
      </c>
      <c r="R60" s="28">
        <v>10</v>
      </c>
      <c r="S60" s="20">
        <v>1996</v>
      </c>
      <c r="T60" s="38">
        <v>28</v>
      </c>
      <c r="U60" s="55" t="s">
        <v>389</v>
      </c>
      <c r="V60" s="57" t="s">
        <v>1253</v>
      </c>
      <c r="W60" s="20" t="s">
        <v>454</v>
      </c>
      <c r="X60" s="46" t="s">
        <v>115</v>
      </c>
      <c r="Y60" s="19" t="s">
        <v>921</v>
      </c>
      <c r="Z60" s="19" t="s">
        <v>347</v>
      </c>
      <c r="AA60" s="19" t="s">
        <v>1166</v>
      </c>
      <c r="AB60" s="29">
        <v>8964</v>
      </c>
      <c r="AC60" s="29">
        <v>295</v>
      </c>
      <c r="AD60" s="27">
        <v>295</v>
      </c>
      <c r="AE60" s="47">
        <v>309.54349999999999</v>
      </c>
      <c r="AF60" s="19" t="s">
        <v>313</v>
      </c>
      <c r="AG60" s="19" t="s">
        <v>314</v>
      </c>
      <c r="AH60" s="19">
        <v>90</v>
      </c>
      <c r="AI60" s="19" t="s">
        <v>554</v>
      </c>
      <c r="AJ60" s="19" t="s">
        <v>290</v>
      </c>
      <c r="AK60" s="19" t="s">
        <v>555</v>
      </c>
      <c r="AL60" s="19" t="s">
        <v>317</v>
      </c>
      <c r="AM60" s="19" t="s">
        <v>318</v>
      </c>
      <c r="AN60" s="43"/>
      <c r="AO60" s="41"/>
      <c r="AP60" s="41"/>
      <c r="AQ60" s="28">
        <v>4428758305</v>
      </c>
      <c r="AR60" s="43"/>
      <c r="AS60" s="28" t="s">
        <v>1254</v>
      </c>
      <c r="AT60" s="28" t="s">
        <v>325</v>
      </c>
      <c r="AU60" s="55"/>
      <c r="AV60" s="28" t="s">
        <v>398</v>
      </c>
      <c r="AW60" s="28" t="s">
        <v>1255</v>
      </c>
      <c r="AX60" s="28">
        <v>459</v>
      </c>
      <c r="AY60" s="28"/>
      <c r="AZ60" s="28" t="s">
        <v>140</v>
      </c>
      <c r="BA60" s="28" t="s">
        <v>140</v>
      </c>
      <c r="BB60" s="28">
        <v>76170</v>
      </c>
      <c r="BC60" s="25" t="s">
        <v>329</v>
      </c>
      <c r="BD60" s="19"/>
      <c r="BE60" s="25" t="s">
        <v>329</v>
      </c>
      <c r="BF60" s="55"/>
      <c r="BG60" s="55"/>
      <c r="BH60" s="55"/>
      <c r="BI60" s="55"/>
      <c r="BJ60" s="20" t="s">
        <v>53</v>
      </c>
      <c r="BK60" s="53">
        <v>45726</v>
      </c>
      <c r="BL60" s="20" t="s">
        <v>56</v>
      </c>
      <c r="BM60" s="52" t="s">
        <v>1256</v>
      </c>
      <c r="BN60" s="19" t="s">
        <v>1444</v>
      </c>
      <c r="BO60" s="19"/>
      <c r="BP60" s="19"/>
      <c r="BQ60" s="66" t="s">
        <v>1254</v>
      </c>
      <c r="BR60" s="66" t="s">
        <v>325</v>
      </c>
      <c r="BS60" s="66">
        <v>4423566111</v>
      </c>
      <c r="BT60" s="66" t="s">
        <v>333</v>
      </c>
      <c r="BU60" s="66" t="s">
        <v>398</v>
      </c>
      <c r="BV60" s="66">
        <v>0</v>
      </c>
    </row>
    <row r="61" spans="1:74" x14ac:dyDescent="0.25">
      <c r="A61" s="19">
        <v>830</v>
      </c>
      <c r="B61" s="52" t="s">
        <v>564</v>
      </c>
      <c r="C61" s="20" t="s">
        <v>565</v>
      </c>
      <c r="D61" s="35" t="s">
        <v>1257</v>
      </c>
      <c r="E61" s="21">
        <v>45726</v>
      </c>
      <c r="F61" s="36">
        <v>45816</v>
      </c>
      <c r="G61" s="37">
        <v>45726</v>
      </c>
      <c r="H61" s="19" t="s">
        <v>290</v>
      </c>
      <c r="I61" s="19" t="s">
        <v>1258</v>
      </c>
      <c r="J61" s="19" t="s">
        <v>1259</v>
      </c>
      <c r="K61" s="19" t="s">
        <v>1260</v>
      </c>
      <c r="L61" s="55" t="s">
        <v>82</v>
      </c>
      <c r="M61" s="19" t="s">
        <v>1261</v>
      </c>
      <c r="N61" s="19" t="s">
        <v>1262</v>
      </c>
      <c r="O61" s="19" t="s">
        <v>571</v>
      </c>
      <c r="P61" s="24">
        <v>36355</v>
      </c>
      <c r="Q61" s="28">
        <v>14</v>
      </c>
      <c r="R61" s="28">
        <v>7</v>
      </c>
      <c r="S61" s="20">
        <v>1999</v>
      </c>
      <c r="T61" s="38">
        <v>25</v>
      </c>
      <c r="U61" s="55" t="s">
        <v>452</v>
      </c>
      <c r="V61" s="20" t="s">
        <v>1263</v>
      </c>
      <c r="W61" s="20" t="s">
        <v>454</v>
      </c>
      <c r="X61" s="46" t="s">
        <v>617</v>
      </c>
      <c r="Y61" s="20" t="s">
        <v>260</v>
      </c>
      <c r="Z61" s="20" t="s">
        <v>532</v>
      </c>
      <c r="AA61" s="20" t="s">
        <v>574</v>
      </c>
      <c r="AB61" s="29">
        <v>10640</v>
      </c>
      <c r="AC61" s="29">
        <v>350</v>
      </c>
      <c r="AD61" s="27">
        <v>350</v>
      </c>
      <c r="AE61" s="47">
        <v>367.26</v>
      </c>
      <c r="AF61" s="20" t="s">
        <v>313</v>
      </c>
      <c r="AG61" s="20" t="s">
        <v>314</v>
      </c>
      <c r="AH61" s="20">
        <v>90</v>
      </c>
      <c r="AI61" s="20" t="s">
        <v>710</v>
      </c>
      <c r="AJ61" s="20" t="s">
        <v>290</v>
      </c>
      <c r="AK61" s="20" t="s">
        <v>575</v>
      </c>
      <c r="AL61" s="20" t="s">
        <v>317</v>
      </c>
      <c r="AM61" s="20" t="s">
        <v>318</v>
      </c>
      <c r="AN61" s="20" t="s">
        <v>319</v>
      </c>
      <c r="AO61" s="28">
        <v>1539245676</v>
      </c>
      <c r="AP61" s="40" t="s">
        <v>1264</v>
      </c>
      <c r="AQ61" s="28">
        <v>3313399419</v>
      </c>
      <c r="AR61" s="23" t="s">
        <v>1265</v>
      </c>
      <c r="AS61" s="28" t="s">
        <v>1266</v>
      </c>
      <c r="AT61" s="28" t="s">
        <v>560</v>
      </c>
      <c r="AU61" s="55"/>
      <c r="AV61" s="28" t="s">
        <v>398</v>
      </c>
      <c r="AW61" s="28" t="s">
        <v>1267</v>
      </c>
      <c r="AX61" s="28">
        <v>610</v>
      </c>
      <c r="AY61" s="28"/>
      <c r="AZ61" s="28" t="s">
        <v>624</v>
      </c>
      <c r="BA61" s="28" t="s">
        <v>583</v>
      </c>
      <c r="BB61" s="28">
        <v>45685</v>
      </c>
      <c r="BC61" s="25" t="s">
        <v>329</v>
      </c>
      <c r="BD61" s="19"/>
      <c r="BE61" s="25" t="s">
        <v>329</v>
      </c>
      <c r="BF61" s="55"/>
      <c r="BG61" s="55"/>
      <c r="BH61" s="55"/>
      <c r="BI61" s="55"/>
      <c r="BJ61" s="20" t="s">
        <v>53</v>
      </c>
      <c r="BK61" s="53">
        <v>45754</v>
      </c>
      <c r="BL61" s="20" t="s">
        <v>56</v>
      </c>
      <c r="BM61" s="75" t="s">
        <v>1268</v>
      </c>
      <c r="BN61" s="19" t="s">
        <v>1444</v>
      </c>
      <c r="BO61" s="19"/>
      <c r="BP61" s="19"/>
      <c r="BQ61" s="66" t="s">
        <v>1266</v>
      </c>
      <c r="BR61" s="66" t="s">
        <v>560</v>
      </c>
      <c r="BS61" s="66">
        <v>3330137519</v>
      </c>
      <c r="BT61" s="66" t="s">
        <v>333</v>
      </c>
      <c r="BU61" s="66" t="s">
        <v>398</v>
      </c>
      <c r="BV61" s="66">
        <v>0</v>
      </c>
    </row>
    <row r="62" spans="1:74" x14ac:dyDescent="0.25">
      <c r="A62" s="19">
        <v>831</v>
      </c>
      <c r="B62" s="52" t="s">
        <v>564</v>
      </c>
      <c r="C62" s="20" t="s">
        <v>565</v>
      </c>
      <c r="D62" s="19">
        <v>18169588011</v>
      </c>
      <c r="E62" s="21">
        <v>45726</v>
      </c>
      <c r="F62" s="36">
        <v>45816</v>
      </c>
      <c r="G62" s="37">
        <v>45726</v>
      </c>
      <c r="H62" s="19" t="s">
        <v>290</v>
      </c>
      <c r="I62" s="19" t="s">
        <v>704</v>
      </c>
      <c r="J62" s="19" t="s">
        <v>1269</v>
      </c>
      <c r="K62" s="19" t="s">
        <v>1270</v>
      </c>
      <c r="L62" s="55" t="s">
        <v>1271</v>
      </c>
      <c r="M62" s="19" t="s">
        <v>1272</v>
      </c>
      <c r="N62" s="19" t="s">
        <v>1273</v>
      </c>
      <c r="O62" s="19" t="s">
        <v>571</v>
      </c>
      <c r="P62" s="24">
        <v>45976</v>
      </c>
      <c r="Q62" s="28">
        <v>15</v>
      </c>
      <c r="R62" s="28">
        <v>11</v>
      </c>
      <c r="S62" s="20">
        <v>2025</v>
      </c>
      <c r="T62" s="38">
        <v>29</v>
      </c>
      <c r="U62" s="55" t="s">
        <v>452</v>
      </c>
      <c r="V62" s="20" t="s">
        <v>1274</v>
      </c>
      <c r="W62" s="20" t="s">
        <v>472</v>
      </c>
      <c r="X62" s="46" t="s">
        <v>617</v>
      </c>
      <c r="Y62" s="20" t="s">
        <v>260</v>
      </c>
      <c r="Z62" s="20" t="s">
        <v>532</v>
      </c>
      <c r="AA62" s="20" t="s">
        <v>574</v>
      </c>
      <c r="AB62" s="29">
        <v>10640</v>
      </c>
      <c r="AC62" s="29">
        <v>350</v>
      </c>
      <c r="AD62" s="27">
        <v>350</v>
      </c>
      <c r="AE62" s="47">
        <v>367.26</v>
      </c>
      <c r="AF62" s="20" t="s">
        <v>313</v>
      </c>
      <c r="AG62" s="20" t="s">
        <v>314</v>
      </c>
      <c r="AH62" s="20">
        <v>90</v>
      </c>
      <c r="AI62" s="20" t="s">
        <v>710</v>
      </c>
      <c r="AJ62" s="20" t="s">
        <v>290</v>
      </c>
      <c r="AK62" s="20" t="s">
        <v>575</v>
      </c>
      <c r="AL62" s="20" t="s">
        <v>317</v>
      </c>
      <c r="AM62" s="20" t="s">
        <v>318</v>
      </c>
      <c r="AN62" s="20" t="s">
        <v>319</v>
      </c>
      <c r="AO62" s="28">
        <v>1594278636</v>
      </c>
      <c r="AP62" s="40" t="s">
        <v>1275</v>
      </c>
      <c r="AQ62" s="28">
        <v>3325254506</v>
      </c>
      <c r="AR62" s="23" t="s">
        <v>1276</v>
      </c>
      <c r="AS62" s="28" t="s">
        <v>1277</v>
      </c>
      <c r="AT62" s="28" t="s">
        <v>602</v>
      </c>
      <c r="AU62" s="55"/>
      <c r="AV62" s="28" t="s">
        <v>398</v>
      </c>
      <c r="AW62" s="28" t="s">
        <v>1278</v>
      </c>
      <c r="AX62" s="28">
        <v>1114</v>
      </c>
      <c r="AY62" s="28"/>
      <c r="AZ62" s="28" t="s">
        <v>116</v>
      </c>
      <c r="BA62" s="28" t="s">
        <v>583</v>
      </c>
      <c r="BB62" s="28">
        <v>44400</v>
      </c>
      <c r="BC62" s="25" t="s">
        <v>329</v>
      </c>
      <c r="BD62" s="19"/>
      <c r="BE62" s="25" t="s">
        <v>329</v>
      </c>
      <c r="BF62" s="55"/>
      <c r="BG62" s="55"/>
      <c r="BH62" s="55"/>
      <c r="BI62" s="55"/>
      <c r="BJ62" s="20" t="s">
        <v>53</v>
      </c>
      <c r="BK62" s="53">
        <v>45763</v>
      </c>
      <c r="BL62" s="20" t="s">
        <v>584</v>
      </c>
      <c r="BM62" s="52" t="s">
        <v>1237</v>
      </c>
      <c r="BN62" s="19" t="s">
        <v>1444</v>
      </c>
      <c r="BO62" s="19"/>
      <c r="BP62" s="19"/>
      <c r="BQ62" s="66" t="s">
        <v>1277</v>
      </c>
      <c r="BR62" s="66" t="s">
        <v>602</v>
      </c>
      <c r="BS62" s="66">
        <v>3324322409</v>
      </c>
      <c r="BT62" s="66" t="s">
        <v>444</v>
      </c>
      <c r="BU62" s="66" t="s">
        <v>398</v>
      </c>
      <c r="BV62" s="66">
        <v>3</v>
      </c>
    </row>
    <row r="63" spans="1:74" x14ac:dyDescent="0.25">
      <c r="A63" s="19">
        <v>837</v>
      </c>
      <c r="B63" s="52" t="s">
        <v>564</v>
      </c>
      <c r="C63" s="20" t="s">
        <v>565</v>
      </c>
      <c r="D63" s="19">
        <v>14130014146</v>
      </c>
      <c r="E63" s="21">
        <v>45741</v>
      </c>
      <c r="F63" s="36">
        <v>45831</v>
      </c>
      <c r="G63" s="37">
        <v>45741</v>
      </c>
      <c r="H63" s="19" t="s">
        <v>1279</v>
      </c>
      <c r="I63" s="19" t="s">
        <v>1280</v>
      </c>
      <c r="J63" s="19" t="s">
        <v>1281</v>
      </c>
      <c r="K63" s="19" t="s">
        <v>1282</v>
      </c>
      <c r="L63" s="55" t="s">
        <v>1283</v>
      </c>
      <c r="M63" s="19" t="s">
        <v>1284</v>
      </c>
      <c r="N63" s="19" t="s">
        <v>1285</v>
      </c>
      <c r="O63" s="19" t="s">
        <v>571</v>
      </c>
      <c r="P63" s="24">
        <v>36765</v>
      </c>
      <c r="Q63" s="28">
        <v>27</v>
      </c>
      <c r="R63" s="28">
        <v>8</v>
      </c>
      <c r="S63" s="20">
        <v>2000</v>
      </c>
      <c r="T63" s="38">
        <v>24</v>
      </c>
      <c r="U63" s="55" t="s">
        <v>1286</v>
      </c>
      <c r="V63" s="20" t="s">
        <v>1287</v>
      </c>
      <c r="W63" s="20" t="s">
        <v>454</v>
      </c>
      <c r="X63" s="46" t="s">
        <v>617</v>
      </c>
      <c r="Y63" s="20" t="s">
        <v>260</v>
      </c>
      <c r="Z63" s="20" t="s">
        <v>532</v>
      </c>
      <c r="AA63" s="20" t="s">
        <v>574</v>
      </c>
      <c r="AB63" s="29">
        <v>10640</v>
      </c>
      <c r="AC63" s="29">
        <v>350</v>
      </c>
      <c r="AD63" s="27">
        <v>350</v>
      </c>
      <c r="AE63" s="47">
        <v>367.26</v>
      </c>
      <c r="AF63" s="20" t="s">
        <v>313</v>
      </c>
      <c r="AG63" s="20" t="s">
        <v>314</v>
      </c>
      <c r="AH63" s="20">
        <v>90</v>
      </c>
      <c r="AI63" s="20" t="s">
        <v>710</v>
      </c>
      <c r="AJ63" s="20" t="s">
        <v>290</v>
      </c>
      <c r="AK63" s="20" t="s">
        <v>575</v>
      </c>
      <c r="AL63" s="20" t="s">
        <v>317</v>
      </c>
      <c r="AM63" s="20" t="s">
        <v>318</v>
      </c>
      <c r="AN63" s="20" t="s">
        <v>319</v>
      </c>
      <c r="AO63" s="28">
        <v>1512205290</v>
      </c>
      <c r="AP63" s="40" t="s">
        <v>1288</v>
      </c>
      <c r="AQ63" s="28">
        <v>3322002202</v>
      </c>
      <c r="AR63" s="23" t="s">
        <v>1289</v>
      </c>
      <c r="AS63" s="28" t="s">
        <v>1290</v>
      </c>
      <c r="AT63" s="28" t="s">
        <v>439</v>
      </c>
      <c r="AU63" s="55"/>
      <c r="AV63" s="28" t="s">
        <v>398</v>
      </c>
      <c r="AW63" s="28" t="s">
        <v>1291</v>
      </c>
      <c r="AX63" s="28">
        <v>617</v>
      </c>
      <c r="AY63" s="28"/>
      <c r="AZ63" s="28" t="s">
        <v>1292</v>
      </c>
      <c r="BA63" s="28" t="s">
        <v>583</v>
      </c>
      <c r="BB63" s="28">
        <v>45680</v>
      </c>
      <c r="BC63" s="25" t="s">
        <v>329</v>
      </c>
      <c r="BD63" s="19"/>
      <c r="BE63" s="25" t="s">
        <v>329</v>
      </c>
      <c r="BF63" s="55"/>
      <c r="BG63" s="55"/>
      <c r="BH63" s="55"/>
      <c r="BI63" s="55"/>
      <c r="BJ63" s="20" t="s">
        <v>53</v>
      </c>
      <c r="BK63" s="53">
        <v>45763</v>
      </c>
      <c r="BL63" s="20" t="s">
        <v>584</v>
      </c>
      <c r="BM63" s="52" t="s">
        <v>1237</v>
      </c>
      <c r="BN63" s="19" t="s">
        <v>1444</v>
      </c>
      <c r="BO63" s="19"/>
      <c r="BP63" s="19"/>
      <c r="BQ63" s="66" t="s">
        <v>1293</v>
      </c>
      <c r="BR63" s="66" t="s">
        <v>776</v>
      </c>
      <c r="BS63" s="66">
        <v>3324154810</v>
      </c>
      <c r="BT63" s="66" t="s">
        <v>333</v>
      </c>
      <c r="BU63" s="66" t="s">
        <v>398</v>
      </c>
      <c r="BV63" s="66">
        <v>2</v>
      </c>
    </row>
    <row r="64" spans="1:74" x14ac:dyDescent="0.25">
      <c r="A64" s="19">
        <v>838</v>
      </c>
      <c r="B64" s="52" t="s">
        <v>564</v>
      </c>
      <c r="C64" s="20" t="s">
        <v>565</v>
      </c>
      <c r="D64" s="35" t="s">
        <v>1294</v>
      </c>
      <c r="E64" s="21">
        <v>45741</v>
      </c>
      <c r="F64" s="36">
        <v>45831</v>
      </c>
      <c r="G64" s="37">
        <v>45741</v>
      </c>
      <c r="H64" s="19" t="s">
        <v>290</v>
      </c>
      <c r="I64" s="19" t="s">
        <v>1295</v>
      </c>
      <c r="J64" s="19" t="s">
        <v>1296</v>
      </c>
      <c r="K64" s="19" t="s">
        <v>338</v>
      </c>
      <c r="L64" s="55" t="s">
        <v>1297</v>
      </c>
      <c r="M64" s="19" t="s">
        <v>1298</v>
      </c>
      <c r="N64" s="19" t="s">
        <v>1299</v>
      </c>
      <c r="O64" s="19" t="s">
        <v>571</v>
      </c>
      <c r="P64" s="24">
        <v>35252</v>
      </c>
      <c r="Q64" s="28">
        <v>6</v>
      </c>
      <c r="R64" s="28">
        <v>7</v>
      </c>
      <c r="S64" s="20">
        <v>1996</v>
      </c>
      <c r="T64" s="38">
        <v>28</v>
      </c>
      <c r="U64" s="55" t="s">
        <v>452</v>
      </c>
      <c r="V64" s="20" t="s">
        <v>1300</v>
      </c>
      <c r="W64" s="20" t="s">
        <v>454</v>
      </c>
      <c r="X64" s="46" t="s">
        <v>552</v>
      </c>
      <c r="Y64" s="19" t="s">
        <v>260</v>
      </c>
      <c r="Z64" s="19" t="s">
        <v>532</v>
      </c>
      <c r="AA64" s="19" t="s">
        <v>574</v>
      </c>
      <c r="AB64" s="29">
        <v>14448</v>
      </c>
      <c r="AC64" s="29">
        <v>475.26315789473688</v>
      </c>
      <c r="AD64" s="27">
        <v>475.27</v>
      </c>
      <c r="AE64" s="47">
        <v>498.70081099999993</v>
      </c>
      <c r="AF64" s="19" t="s">
        <v>313</v>
      </c>
      <c r="AG64" s="19" t="s">
        <v>314</v>
      </c>
      <c r="AH64" s="19">
        <v>90</v>
      </c>
      <c r="AI64" s="19" t="s">
        <v>350</v>
      </c>
      <c r="AJ64" s="19" t="s">
        <v>290</v>
      </c>
      <c r="AK64" s="19" t="s">
        <v>575</v>
      </c>
      <c r="AL64" s="19" t="s">
        <v>317</v>
      </c>
      <c r="AM64" s="19" t="s">
        <v>318</v>
      </c>
      <c r="AN64" s="19" t="s">
        <v>1035</v>
      </c>
      <c r="AO64" s="28">
        <v>1528463891</v>
      </c>
      <c r="AP64" s="40" t="s">
        <v>1301</v>
      </c>
      <c r="AQ64" s="28">
        <v>3344431648</v>
      </c>
      <c r="AR64" s="23" t="s">
        <v>1302</v>
      </c>
      <c r="AS64" s="28" t="s">
        <v>1303</v>
      </c>
      <c r="AT64" s="28" t="s">
        <v>602</v>
      </c>
      <c r="AU64" s="55"/>
      <c r="AV64" s="28" t="s">
        <v>398</v>
      </c>
      <c r="AW64" s="28" t="s">
        <v>1304</v>
      </c>
      <c r="AX64" s="28">
        <v>5</v>
      </c>
      <c r="AY64" s="28"/>
      <c r="AZ64" s="28" t="s">
        <v>624</v>
      </c>
      <c r="BA64" s="28" t="s">
        <v>583</v>
      </c>
      <c r="BB64" s="28">
        <v>45680</v>
      </c>
      <c r="BC64" s="25" t="s">
        <v>329</v>
      </c>
      <c r="BD64" s="19"/>
      <c r="BE64" s="25" t="s">
        <v>329</v>
      </c>
      <c r="BF64" s="55"/>
      <c r="BG64" s="55"/>
      <c r="BH64" s="55"/>
      <c r="BI64" s="55"/>
      <c r="BJ64" s="20" t="s">
        <v>53</v>
      </c>
      <c r="BK64" s="53">
        <v>45763</v>
      </c>
      <c r="BL64" s="20" t="s">
        <v>584</v>
      </c>
      <c r="BM64" s="52" t="s">
        <v>1237</v>
      </c>
      <c r="BN64" s="19" t="s">
        <v>1444</v>
      </c>
      <c r="BO64" s="19"/>
      <c r="BP64" s="19"/>
      <c r="BQ64" s="66" t="s">
        <v>1305</v>
      </c>
      <c r="BR64" s="66" t="s">
        <v>439</v>
      </c>
      <c r="BS64" s="66">
        <v>3312750107</v>
      </c>
      <c r="BT64" s="66" t="s">
        <v>333</v>
      </c>
      <c r="BU64" s="66" t="s">
        <v>398</v>
      </c>
      <c r="BV64" s="66">
        <v>1</v>
      </c>
    </row>
    <row r="65" spans="1:74" x14ac:dyDescent="0.25">
      <c r="A65" s="19">
        <v>839</v>
      </c>
      <c r="B65" s="52" t="s">
        <v>564</v>
      </c>
      <c r="C65" s="20" t="s">
        <v>565</v>
      </c>
      <c r="D65" s="35" t="s">
        <v>1306</v>
      </c>
      <c r="E65" s="21">
        <v>45761</v>
      </c>
      <c r="F65" s="36">
        <v>45851</v>
      </c>
      <c r="G65" s="37">
        <v>45761</v>
      </c>
      <c r="H65" s="19" t="s">
        <v>290</v>
      </c>
      <c r="I65" s="19" t="s">
        <v>1307</v>
      </c>
      <c r="J65" s="19" t="s">
        <v>1308</v>
      </c>
      <c r="K65" s="19" t="s">
        <v>1309</v>
      </c>
      <c r="L65" s="55" t="s">
        <v>1310</v>
      </c>
      <c r="M65" s="19" t="s">
        <v>1311</v>
      </c>
      <c r="N65" s="19" t="s">
        <v>1312</v>
      </c>
      <c r="O65" s="19" t="s">
        <v>571</v>
      </c>
      <c r="P65" s="24">
        <v>31730</v>
      </c>
      <c r="Q65" s="28">
        <v>14</v>
      </c>
      <c r="R65" s="28">
        <v>11</v>
      </c>
      <c r="S65" s="20">
        <v>1986</v>
      </c>
      <c r="T65" s="38">
        <v>38</v>
      </c>
      <c r="U65" s="55" t="s">
        <v>342</v>
      </c>
      <c r="V65" s="20" t="s">
        <v>1313</v>
      </c>
      <c r="W65" s="55"/>
      <c r="X65" s="46" t="s">
        <v>552</v>
      </c>
      <c r="Y65" s="19" t="s">
        <v>260</v>
      </c>
      <c r="Z65" s="19" t="s">
        <v>532</v>
      </c>
      <c r="AA65" s="19" t="s">
        <v>574</v>
      </c>
      <c r="AB65" s="29">
        <v>14448</v>
      </c>
      <c r="AC65" s="29">
        <v>475.26315789473688</v>
      </c>
      <c r="AD65" s="27">
        <v>475.27</v>
      </c>
      <c r="AE65" s="47">
        <v>498.70081099999993</v>
      </c>
      <c r="AF65" s="19" t="s">
        <v>313</v>
      </c>
      <c r="AG65" s="19" t="s">
        <v>314</v>
      </c>
      <c r="AH65" s="19">
        <v>90</v>
      </c>
      <c r="AI65" s="19" t="s">
        <v>350</v>
      </c>
      <c r="AJ65" s="19" t="s">
        <v>290</v>
      </c>
      <c r="AK65" s="19" t="s">
        <v>575</v>
      </c>
      <c r="AL65" s="19" t="s">
        <v>317</v>
      </c>
      <c r="AM65" s="19" t="s">
        <v>318</v>
      </c>
      <c r="AN65" s="19" t="s">
        <v>1035</v>
      </c>
      <c r="AO65" s="28">
        <v>1542158631</v>
      </c>
      <c r="AP65" s="40" t="s">
        <v>1314</v>
      </c>
      <c r="AQ65" s="28">
        <v>3317914435</v>
      </c>
      <c r="AR65" s="23" t="s">
        <v>1315</v>
      </c>
      <c r="AS65" s="28" t="s">
        <v>1316</v>
      </c>
      <c r="AT65" s="28" t="s">
        <v>381</v>
      </c>
      <c r="AU65" s="55"/>
      <c r="AV65" s="28" t="s">
        <v>327</v>
      </c>
      <c r="AW65" s="28" t="s">
        <v>1317</v>
      </c>
      <c r="AX65" s="28">
        <v>1285</v>
      </c>
      <c r="AY65" s="28"/>
      <c r="AZ65" s="28" t="s">
        <v>116</v>
      </c>
      <c r="BA65" s="28" t="s">
        <v>583</v>
      </c>
      <c r="BB65" s="28">
        <v>44700</v>
      </c>
      <c r="BC65" s="25" t="s">
        <v>329</v>
      </c>
      <c r="BD65" s="19"/>
      <c r="BE65" s="25" t="s">
        <v>329</v>
      </c>
      <c r="BF65" s="55"/>
      <c r="BG65" s="55"/>
      <c r="BH65" s="55"/>
      <c r="BI65" s="55"/>
      <c r="BJ65" s="20" t="s">
        <v>53</v>
      </c>
      <c r="BK65" s="53">
        <v>45761</v>
      </c>
      <c r="BL65" s="20" t="s">
        <v>56</v>
      </c>
      <c r="BM65" s="52" t="s">
        <v>1318</v>
      </c>
      <c r="BN65" s="19" t="s">
        <v>1444</v>
      </c>
      <c r="BO65" s="19"/>
      <c r="BP65" s="19"/>
      <c r="BQ65" s="66" t="s">
        <v>1319</v>
      </c>
      <c r="BR65" s="66" t="s">
        <v>401</v>
      </c>
      <c r="BS65" s="66">
        <v>3329445957</v>
      </c>
      <c r="BT65" s="66"/>
      <c r="BU65" s="66" t="s">
        <v>1320</v>
      </c>
      <c r="BV65" s="66">
        <v>3</v>
      </c>
    </row>
    <row r="66" spans="1:74" x14ac:dyDescent="0.25">
      <c r="A66" s="19">
        <v>937</v>
      </c>
      <c r="B66" s="52" t="s">
        <v>299</v>
      </c>
      <c r="C66" s="20" t="s">
        <v>300</v>
      </c>
      <c r="D66" s="35">
        <v>41098704483</v>
      </c>
      <c r="E66" s="21">
        <v>45496</v>
      </c>
      <c r="F66" s="36">
        <v>45586</v>
      </c>
      <c r="G66" s="37">
        <v>45496</v>
      </c>
      <c r="H66" s="19" t="s">
        <v>291</v>
      </c>
      <c r="I66" s="19" t="s">
        <v>1321</v>
      </c>
      <c r="J66" s="19" t="s">
        <v>507</v>
      </c>
      <c r="K66" s="19" t="s">
        <v>1322</v>
      </c>
      <c r="L66" s="55" t="s">
        <v>1323</v>
      </c>
      <c r="M66" s="19" t="s">
        <v>1324</v>
      </c>
      <c r="N66" s="19" t="s">
        <v>1325</v>
      </c>
      <c r="O66" s="19" t="s">
        <v>571</v>
      </c>
      <c r="P66" s="22">
        <v>31951</v>
      </c>
      <c r="Q66" s="20">
        <v>23</v>
      </c>
      <c r="R66" s="20">
        <v>6</v>
      </c>
      <c r="S66" s="20">
        <v>87</v>
      </c>
      <c r="T66" s="26">
        <v>37</v>
      </c>
      <c r="U66" s="20" t="s">
        <v>342</v>
      </c>
      <c r="V66" s="19" t="s">
        <v>1326</v>
      </c>
      <c r="W66" s="20" t="s">
        <v>1327</v>
      </c>
      <c r="X66" s="46" t="s">
        <v>1328</v>
      </c>
      <c r="Y66" s="20" t="s">
        <v>183</v>
      </c>
      <c r="Z66" s="20" t="s">
        <v>311</v>
      </c>
      <c r="AA66" s="20" t="s">
        <v>312</v>
      </c>
      <c r="AB66" s="29">
        <v>24000</v>
      </c>
      <c r="AC66" s="29">
        <v>789.47368421052636</v>
      </c>
      <c r="AD66" s="27">
        <v>312</v>
      </c>
      <c r="AE66" s="47">
        <v>327.38159999999999</v>
      </c>
      <c r="AF66" s="20" t="s">
        <v>313</v>
      </c>
      <c r="AG66" s="20" t="s">
        <v>314</v>
      </c>
      <c r="AH66" s="20">
        <v>90</v>
      </c>
      <c r="AI66" s="20" t="s">
        <v>315</v>
      </c>
      <c r="AJ66" s="20" t="s">
        <v>291</v>
      </c>
      <c r="AK66" s="20" t="s">
        <v>1329</v>
      </c>
      <c r="AL66" s="20" t="s">
        <v>317</v>
      </c>
      <c r="AM66" s="20" t="s">
        <v>318</v>
      </c>
      <c r="AN66" s="20" t="s">
        <v>319</v>
      </c>
      <c r="AO66" s="19">
        <v>1520807719</v>
      </c>
      <c r="AP66" s="20" t="s">
        <v>1330</v>
      </c>
      <c r="AQ66" s="20" t="s">
        <v>1331</v>
      </c>
      <c r="AR66" s="23" t="s">
        <v>1332</v>
      </c>
      <c r="AS66" s="20" t="s">
        <v>1333</v>
      </c>
      <c r="AT66" s="20" t="s">
        <v>381</v>
      </c>
      <c r="AU66" s="55"/>
      <c r="AV66" s="20" t="s">
        <v>480</v>
      </c>
      <c r="AW66" s="20" t="s">
        <v>1334</v>
      </c>
      <c r="AX66" s="20">
        <v>10</v>
      </c>
      <c r="AY66" s="20" t="s">
        <v>328</v>
      </c>
      <c r="AZ66" s="20" t="s">
        <v>1335</v>
      </c>
      <c r="BA66" s="20" t="s">
        <v>681</v>
      </c>
      <c r="BB66" s="31" t="s">
        <v>1336</v>
      </c>
      <c r="BC66" s="25" t="s">
        <v>329</v>
      </c>
      <c r="BD66" s="19"/>
      <c r="BE66" s="25" t="s">
        <v>329</v>
      </c>
      <c r="BF66" s="55"/>
      <c r="BG66" s="55"/>
      <c r="BH66" s="55"/>
      <c r="BI66" s="55"/>
      <c r="BJ66" s="20" t="s">
        <v>53</v>
      </c>
      <c r="BK66" s="53">
        <v>45730</v>
      </c>
      <c r="BL66" s="20" t="s">
        <v>56</v>
      </c>
      <c r="BM66" s="52" t="s">
        <v>331</v>
      </c>
      <c r="BN66" s="19" t="s">
        <v>1444</v>
      </c>
      <c r="BO66" s="19"/>
      <c r="BP66" s="19"/>
      <c r="BQ66" s="44" t="s">
        <v>1333</v>
      </c>
      <c r="BR66" s="44" t="s">
        <v>381</v>
      </c>
      <c r="BS66" s="44" t="s">
        <v>1337</v>
      </c>
      <c r="BT66" s="44" t="s">
        <v>444</v>
      </c>
      <c r="BU66" s="44" t="s">
        <v>334</v>
      </c>
      <c r="BV66" s="44">
        <v>2</v>
      </c>
    </row>
    <row r="67" spans="1:74" x14ac:dyDescent="0.25">
      <c r="A67" s="19">
        <v>995</v>
      </c>
      <c r="B67" s="52" t="s">
        <v>299</v>
      </c>
      <c r="C67" s="20" t="s">
        <v>300</v>
      </c>
      <c r="D67" s="35">
        <v>4100831650</v>
      </c>
      <c r="E67" s="21">
        <v>45607</v>
      </c>
      <c r="F67" s="36">
        <v>45697</v>
      </c>
      <c r="G67" s="37">
        <v>45607</v>
      </c>
      <c r="H67" s="19" t="s">
        <v>290</v>
      </c>
      <c r="I67" s="19" t="s">
        <v>383</v>
      </c>
      <c r="J67" s="19" t="s">
        <v>447</v>
      </c>
      <c r="K67" s="19" t="s">
        <v>1338</v>
      </c>
      <c r="L67" s="55" t="s">
        <v>1339</v>
      </c>
      <c r="M67" s="19" t="s">
        <v>1340</v>
      </c>
      <c r="N67" s="19" t="s">
        <v>1341</v>
      </c>
      <c r="O67" s="19" t="s">
        <v>571</v>
      </c>
      <c r="P67" s="24">
        <v>30697</v>
      </c>
      <c r="Q67" s="20">
        <v>16</v>
      </c>
      <c r="R67" s="20">
        <v>1</v>
      </c>
      <c r="S67" s="20">
        <v>84</v>
      </c>
      <c r="T67" s="38">
        <v>40</v>
      </c>
      <c r="U67" s="20" t="s">
        <v>452</v>
      </c>
      <c r="V67" s="20" t="s">
        <v>1342</v>
      </c>
      <c r="W67" s="20" t="s">
        <v>1343</v>
      </c>
      <c r="X67" s="46" t="s">
        <v>514</v>
      </c>
      <c r="Y67" s="20" t="s">
        <v>1344</v>
      </c>
      <c r="Z67" s="20" t="s">
        <v>311</v>
      </c>
      <c r="AA67" s="20" t="s">
        <v>497</v>
      </c>
      <c r="AB67" s="29">
        <v>18755</v>
      </c>
      <c r="AC67" s="29">
        <v>616.94078947368428</v>
      </c>
      <c r="AD67" s="27">
        <v>616.94000000000005</v>
      </c>
      <c r="AE67" s="47">
        <v>644.82568800000001</v>
      </c>
      <c r="AF67" s="29" t="s">
        <v>313</v>
      </c>
      <c r="AG67" s="20" t="s">
        <v>314</v>
      </c>
      <c r="AH67" s="20">
        <v>90</v>
      </c>
      <c r="AI67" s="20" t="s">
        <v>315</v>
      </c>
      <c r="AJ67" s="20" t="s">
        <v>291</v>
      </c>
      <c r="AK67" s="20" t="s">
        <v>316</v>
      </c>
      <c r="AL67" s="20" t="s">
        <v>317</v>
      </c>
      <c r="AM67" s="19" t="s">
        <v>318</v>
      </c>
      <c r="AN67" s="19" t="s">
        <v>673</v>
      </c>
      <c r="AO67" s="28">
        <v>56900343719</v>
      </c>
      <c r="AP67" s="40" t="s">
        <v>1345</v>
      </c>
      <c r="AQ67" s="55"/>
      <c r="AR67" s="23" t="s">
        <v>1346</v>
      </c>
      <c r="AS67" s="28" t="s">
        <v>1347</v>
      </c>
      <c r="AT67" s="28" t="s">
        <v>461</v>
      </c>
      <c r="AU67" s="55"/>
      <c r="AV67" s="28"/>
      <c r="AW67" s="55" t="s">
        <v>1348</v>
      </c>
      <c r="AX67" s="28">
        <v>448</v>
      </c>
      <c r="AY67" s="28"/>
      <c r="AZ67" s="28" t="s">
        <v>482</v>
      </c>
      <c r="BA67" s="28" t="s">
        <v>483</v>
      </c>
      <c r="BB67" s="28">
        <v>78434</v>
      </c>
      <c r="BC67" s="25" t="s">
        <v>329</v>
      </c>
      <c r="BD67" s="19"/>
      <c r="BE67" s="25" t="s">
        <v>329</v>
      </c>
      <c r="BF67" s="55"/>
      <c r="BG67" s="55"/>
      <c r="BH67" s="55"/>
      <c r="BI67" s="55"/>
      <c r="BJ67" s="20" t="s">
        <v>53</v>
      </c>
      <c r="BK67" s="53">
        <v>45712</v>
      </c>
      <c r="BL67" s="20" t="s">
        <v>441</v>
      </c>
      <c r="BM67" s="52" t="s">
        <v>442</v>
      </c>
      <c r="BN67" s="19" t="s">
        <v>1444</v>
      </c>
      <c r="BO67" s="19"/>
      <c r="BP67" s="19"/>
      <c r="BQ67" s="66" t="s">
        <v>1347</v>
      </c>
      <c r="BR67" s="66" t="s">
        <v>461</v>
      </c>
      <c r="BS67" s="66">
        <v>4441353985</v>
      </c>
      <c r="BT67" s="66" t="s">
        <v>1349</v>
      </c>
      <c r="BU67" s="66" t="s">
        <v>398</v>
      </c>
      <c r="BV67" s="66">
        <v>3</v>
      </c>
    </row>
    <row r="68" spans="1:74" x14ac:dyDescent="0.25">
      <c r="A68" s="19">
        <v>1016</v>
      </c>
      <c r="B68" s="52" t="s">
        <v>299</v>
      </c>
      <c r="C68" s="20" t="s">
        <v>300</v>
      </c>
      <c r="D68" s="35">
        <v>27170048287</v>
      </c>
      <c r="E68" s="21">
        <v>45670</v>
      </c>
      <c r="F68" s="36">
        <v>45760</v>
      </c>
      <c r="G68" s="37">
        <v>45670</v>
      </c>
      <c r="H68" s="19" t="s">
        <v>290</v>
      </c>
      <c r="I68" s="19" t="s">
        <v>383</v>
      </c>
      <c r="J68" s="19" t="s">
        <v>1350</v>
      </c>
      <c r="K68" s="19" t="s">
        <v>1351</v>
      </c>
      <c r="L68" s="55" t="s">
        <v>1352</v>
      </c>
      <c r="M68" s="19" t="s">
        <v>1353</v>
      </c>
      <c r="N68" s="19" t="s">
        <v>1354</v>
      </c>
      <c r="O68" s="19" t="s">
        <v>571</v>
      </c>
      <c r="P68" s="24">
        <v>36638</v>
      </c>
      <c r="Q68" s="20">
        <v>22</v>
      </c>
      <c r="R68" s="20">
        <v>4</v>
      </c>
      <c r="S68" s="20">
        <v>2000</v>
      </c>
      <c r="T68" s="38">
        <v>24</v>
      </c>
      <c r="U68" s="20" t="s">
        <v>452</v>
      </c>
      <c r="V68" s="20" t="s">
        <v>1355</v>
      </c>
      <c r="W68" s="20" t="s">
        <v>693</v>
      </c>
      <c r="X68" s="46" t="s">
        <v>77</v>
      </c>
      <c r="Y68" s="20" t="s">
        <v>183</v>
      </c>
      <c r="Z68" s="20" t="s">
        <v>311</v>
      </c>
      <c r="AA68" s="20" t="s">
        <v>312</v>
      </c>
      <c r="AB68" s="29">
        <v>15909.23</v>
      </c>
      <c r="AC68" s="29">
        <v>523.32993421052629</v>
      </c>
      <c r="AD68" s="27">
        <v>523.33000000000004</v>
      </c>
      <c r="AE68" s="47">
        <v>549.13016900000002</v>
      </c>
      <c r="AF68" s="29" t="s">
        <v>313</v>
      </c>
      <c r="AG68" s="20" t="s">
        <v>314</v>
      </c>
      <c r="AH68" s="20">
        <v>90</v>
      </c>
      <c r="AI68" s="20" t="s">
        <v>315</v>
      </c>
      <c r="AJ68" s="20" t="s">
        <v>290</v>
      </c>
      <c r="AK68" s="20" t="s">
        <v>1329</v>
      </c>
      <c r="AL68" s="20" t="s">
        <v>317</v>
      </c>
      <c r="AM68" s="20" t="s">
        <v>318</v>
      </c>
      <c r="AN68" s="20" t="s">
        <v>319</v>
      </c>
      <c r="AO68" s="28">
        <v>1534957841</v>
      </c>
      <c r="AP68" s="40" t="s">
        <v>1356</v>
      </c>
      <c r="AQ68" s="55">
        <v>4441752195</v>
      </c>
      <c r="AR68" s="23" t="s">
        <v>1357</v>
      </c>
      <c r="AS68" s="28" t="s">
        <v>1358</v>
      </c>
      <c r="AT68" s="28" t="s">
        <v>776</v>
      </c>
      <c r="AU68" s="55"/>
      <c r="AV68" s="28" t="s">
        <v>480</v>
      </c>
      <c r="AW68" s="28" t="s">
        <v>1359</v>
      </c>
      <c r="AX68" s="28">
        <v>0</v>
      </c>
      <c r="AY68" s="28"/>
      <c r="AZ68" s="28" t="s">
        <v>483</v>
      </c>
      <c r="BA68" s="28" t="s">
        <v>483</v>
      </c>
      <c r="BB68" s="28">
        <v>78110</v>
      </c>
      <c r="BC68" s="25" t="s">
        <v>329</v>
      </c>
      <c r="BD68" s="19"/>
      <c r="BE68" s="25" t="s">
        <v>329</v>
      </c>
      <c r="BF68" s="55"/>
      <c r="BG68" s="55"/>
      <c r="BH68" s="55"/>
      <c r="BI68" s="55"/>
      <c r="BJ68" s="20" t="s">
        <v>53</v>
      </c>
      <c r="BK68" s="53">
        <v>45730</v>
      </c>
      <c r="BL68" s="20" t="s">
        <v>625</v>
      </c>
      <c r="BM68" s="52" t="s">
        <v>1360</v>
      </c>
      <c r="BN68" s="19" t="s">
        <v>1444</v>
      </c>
      <c r="BO68" s="19"/>
      <c r="BP68" s="19"/>
      <c r="BQ68" s="66" t="s">
        <v>1358</v>
      </c>
      <c r="BR68" s="66" t="s">
        <v>776</v>
      </c>
      <c r="BS68" s="66">
        <v>4441694811</v>
      </c>
      <c r="BT68" s="66" t="s">
        <v>685</v>
      </c>
      <c r="BU68" s="66" t="s">
        <v>988</v>
      </c>
      <c r="BV68" s="66">
        <v>1</v>
      </c>
    </row>
    <row r="69" spans="1:74" x14ac:dyDescent="0.25">
      <c r="A69" s="19">
        <v>739</v>
      </c>
      <c r="B69" s="52" t="s">
        <v>299</v>
      </c>
      <c r="C69" s="20" t="s">
        <v>300</v>
      </c>
      <c r="D69" s="35">
        <v>65109016660</v>
      </c>
      <c r="E69" s="21">
        <v>45098</v>
      </c>
      <c r="F69" s="36">
        <v>45188</v>
      </c>
      <c r="G69" s="37">
        <v>45098</v>
      </c>
      <c r="H69" s="19" t="s">
        <v>291</v>
      </c>
      <c r="I69" s="20" t="s">
        <v>366</v>
      </c>
      <c r="J69" s="20" t="s">
        <v>704</v>
      </c>
      <c r="K69" s="20" t="s">
        <v>1361</v>
      </c>
      <c r="L69" s="55" t="s">
        <v>1362</v>
      </c>
      <c r="M69" s="20" t="s">
        <v>1363</v>
      </c>
      <c r="N69" s="20" t="s">
        <v>1364</v>
      </c>
      <c r="O69" s="19" t="s">
        <v>571</v>
      </c>
      <c r="P69" s="22">
        <v>33103</v>
      </c>
      <c r="Q69" s="20">
        <v>18</v>
      </c>
      <c r="R69" s="20">
        <v>8</v>
      </c>
      <c r="S69" s="20">
        <v>90</v>
      </c>
      <c r="T69" s="38">
        <v>32</v>
      </c>
      <c r="U69" s="20" t="s">
        <v>452</v>
      </c>
      <c r="V69" s="55" t="s">
        <v>1365</v>
      </c>
      <c r="W69" s="20" t="s">
        <v>1366</v>
      </c>
      <c r="X69" s="46" t="s">
        <v>1367</v>
      </c>
      <c r="Y69" s="20" t="s">
        <v>183</v>
      </c>
      <c r="Z69" s="20" t="s">
        <v>311</v>
      </c>
      <c r="AA69" s="20" t="s">
        <v>1368</v>
      </c>
      <c r="AB69" s="29">
        <v>35000</v>
      </c>
      <c r="AC69" s="29">
        <v>1151.3157894736842</v>
      </c>
      <c r="AD69" s="27">
        <v>346</v>
      </c>
      <c r="AE69" s="47">
        <v>363.05779999999999</v>
      </c>
      <c r="AF69" s="29" t="s">
        <v>313</v>
      </c>
      <c r="AG69" s="20" t="s">
        <v>314</v>
      </c>
      <c r="AH69" s="20">
        <v>90</v>
      </c>
      <c r="AI69" s="20" t="s">
        <v>315</v>
      </c>
      <c r="AJ69" s="20" t="s">
        <v>291</v>
      </c>
      <c r="AK69" s="20" t="s">
        <v>316</v>
      </c>
      <c r="AL69" s="20" t="s">
        <v>317</v>
      </c>
      <c r="AM69" s="20" t="s">
        <v>318</v>
      </c>
      <c r="AN69" s="19" t="s">
        <v>319</v>
      </c>
      <c r="AO69" s="20">
        <v>1571003674</v>
      </c>
      <c r="AP69" s="69" t="s">
        <v>1369</v>
      </c>
      <c r="AQ69" s="20" t="s">
        <v>1370</v>
      </c>
      <c r="AR69" s="23" t="s">
        <v>1371</v>
      </c>
      <c r="AS69" s="20" t="s">
        <v>1372</v>
      </c>
      <c r="AT69" s="20" t="s">
        <v>461</v>
      </c>
      <c r="AU69" s="55" t="s">
        <v>1373</v>
      </c>
      <c r="AV69" s="28">
        <v>2422024167</v>
      </c>
      <c r="AW69" s="53" t="s">
        <v>1374</v>
      </c>
      <c r="AX69" s="20">
        <v>78</v>
      </c>
      <c r="AY69" s="20" t="s">
        <v>328</v>
      </c>
      <c r="AZ69" s="20" t="s">
        <v>1375</v>
      </c>
      <c r="BA69" s="20" t="s">
        <v>681</v>
      </c>
      <c r="BB69" s="19" t="s">
        <v>1376</v>
      </c>
      <c r="BC69" s="19" t="s">
        <v>357</v>
      </c>
      <c r="BD69" s="19" t="s">
        <v>357</v>
      </c>
      <c r="BE69" s="19" t="s">
        <v>1377</v>
      </c>
      <c r="BF69" s="55"/>
      <c r="BG69" s="55"/>
      <c r="BH69" s="55"/>
      <c r="BI69" s="55"/>
      <c r="BJ69" s="19" t="s">
        <v>53</v>
      </c>
      <c r="BK69" s="24">
        <v>45778</v>
      </c>
      <c r="BL69" s="48" t="s">
        <v>358</v>
      </c>
      <c r="BM69" s="44" t="s">
        <v>442</v>
      </c>
      <c r="BN69" s="19" t="s">
        <v>1444</v>
      </c>
      <c r="BO69" s="19"/>
      <c r="BP69" s="19"/>
      <c r="BQ69" s="20" t="s">
        <v>1372</v>
      </c>
      <c r="BR69" s="20" t="s">
        <v>461</v>
      </c>
      <c r="BS69" s="20" t="s">
        <v>1378</v>
      </c>
      <c r="BT69" s="20" t="s">
        <v>333</v>
      </c>
      <c r="BU69" s="20" t="s">
        <v>334</v>
      </c>
      <c r="BV69" s="66">
        <v>0</v>
      </c>
    </row>
    <row r="70" spans="1:74" x14ac:dyDescent="0.25">
      <c r="A70" s="19">
        <v>816</v>
      </c>
      <c r="B70" s="52" t="s">
        <v>335</v>
      </c>
      <c r="C70" s="20" t="s">
        <v>140</v>
      </c>
      <c r="D70" s="35">
        <v>14119303551</v>
      </c>
      <c r="E70" s="21">
        <v>45708</v>
      </c>
      <c r="F70" s="36">
        <v>45798</v>
      </c>
      <c r="G70" s="37">
        <v>45708</v>
      </c>
      <c r="H70" s="19" t="s">
        <v>290</v>
      </c>
      <c r="I70" s="19" t="s">
        <v>1379</v>
      </c>
      <c r="J70" s="19" t="s">
        <v>302</v>
      </c>
      <c r="K70" s="19" t="s">
        <v>1380</v>
      </c>
      <c r="L70" s="55" t="s">
        <v>1381</v>
      </c>
      <c r="M70" s="19" t="s">
        <v>1382</v>
      </c>
      <c r="N70" s="19" t="s">
        <v>1383</v>
      </c>
      <c r="O70" s="19" t="s">
        <v>571</v>
      </c>
      <c r="P70" s="24">
        <v>33988</v>
      </c>
      <c r="Q70" s="20">
        <v>19</v>
      </c>
      <c r="R70" s="20">
        <v>1</v>
      </c>
      <c r="S70" s="20">
        <v>1993</v>
      </c>
      <c r="T70" s="38">
        <v>32</v>
      </c>
      <c r="U70" s="55"/>
      <c r="V70" s="20" t="s">
        <v>1384</v>
      </c>
      <c r="W70" s="20" t="s">
        <v>454</v>
      </c>
      <c r="X70" s="46" t="s">
        <v>345</v>
      </c>
      <c r="Y70" s="20" t="s">
        <v>921</v>
      </c>
      <c r="Z70" s="20" t="s">
        <v>347</v>
      </c>
      <c r="AA70" s="20" t="s">
        <v>883</v>
      </c>
      <c r="AB70" s="29">
        <v>12760</v>
      </c>
      <c r="AC70" s="29">
        <v>419.73684210526318</v>
      </c>
      <c r="AD70" s="27">
        <v>420</v>
      </c>
      <c r="AE70" s="47">
        <v>440.70599999999996</v>
      </c>
      <c r="AF70" s="29" t="s">
        <v>313</v>
      </c>
      <c r="AG70" s="20" t="s">
        <v>314</v>
      </c>
      <c r="AH70" s="20">
        <v>90</v>
      </c>
      <c r="AI70" s="20" t="s">
        <v>554</v>
      </c>
      <c r="AJ70" s="20" t="s">
        <v>290</v>
      </c>
      <c r="AK70" s="20" t="s">
        <v>555</v>
      </c>
      <c r="AL70" s="20" t="s">
        <v>317</v>
      </c>
      <c r="AM70" s="20" t="s">
        <v>318</v>
      </c>
      <c r="AN70" s="20" t="s">
        <v>319</v>
      </c>
      <c r="AO70" s="28">
        <v>1513179430</v>
      </c>
      <c r="AP70" s="40" t="s">
        <v>1385</v>
      </c>
      <c r="AQ70" s="28">
        <v>4424395950</v>
      </c>
      <c r="AR70" s="23" t="s">
        <v>1386</v>
      </c>
      <c r="AS70" s="28" t="s">
        <v>1387</v>
      </c>
      <c r="AT70" s="28" t="s">
        <v>381</v>
      </c>
      <c r="AU70" s="55"/>
      <c r="AV70" s="28" t="s">
        <v>398</v>
      </c>
      <c r="AW70" s="28" t="s">
        <v>1388</v>
      </c>
      <c r="AX70" s="28">
        <v>21</v>
      </c>
      <c r="AY70" s="28"/>
      <c r="AZ70" s="28" t="s">
        <v>140</v>
      </c>
      <c r="BA70" s="28" t="s">
        <v>140</v>
      </c>
      <c r="BB70" s="28">
        <v>76020</v>
      </c>
      <c r="BC70" s="25" t="s">
        <v>329</v>
      </c>
      <c r="BD70" s="19"/>
      <c r="BE70" s="25" t="s">
        <v>329</v>
      </c>
      <c r="BF70" s="55"/>
      <c r="BG70" s="55"/>
      <c r="BH70" s="55"/>
      <c r="BI70" s="55"/>
      <c r="BJ70" s="19" t="s">
        <v>53</v>
      </c>
      <c r="BK70" s="24">
        <v>45786</v>
      </c>
      <c r="BL70" s="19" t="s">
        <v>625</v>
      </c>
      <c r="BM70" s="44" t="s">
        <v>1389</v>
      </c>
      <c r="BN70" s="19" t="s">
        <v>1444</v>
      </c>
      <c r="BO70" s="19"/>
      <c r="BP70" s="19"/>
      <c r="BQ70" s="55" t="s">
        <v>1387</v>
      </c>
      <c r="BR70" s="28" t="s">
        <v>381</v>
      </c>
      <c r="BS70" s="28">
        <v>4425692819</v>
      </c>
      <c r="BT70" s="28" t="s">
        <v>333</v>
      </c>
      <c r="BU70" s="28" t="s">
        <v>398</v>
      </c>
      <c r="BV70" s="44">
        <v>1</v>
      </c>
    </row>
    <row r="71" spans="1:74" x14ac:dyDescent="0.25">
      <c r="A71" s="19">
        <v>724</v>
      </c>
      <c r="B71" s="52" t="s">
        <v>1390</v>
      </c>
      <c r="C71" s="20" t="s">
        <v>281</v>
      </c>
      <c r="D71" s="35">
        <v>41098920410</v>
      </c>
      <c r="E71" s="21">
        <v>45569</v>
      </c>
      <c r="F71" s="36">
        <v>45659</v>
      </c>
      <c r="G71" s="37">
        <v>45569</v>
      </c>
      <c r="H71" s="19" t="s">
        <v>291</v>
      </c>
      <c r="I71" s="19" t="s">
        <v>337</v>
      </c>
      <c r="J71" s="19" t="s">
        <v>960</v>
      </c>
      <c r="K71" s="19" t="s">
        <v>1391</v>
      </c>
      <c r="L71" s="55" t="s">
        <v>1392</v>
      </c>
      <c r="M71" s="19" t="s">
        <v>1393</v>
      </c>
      <c r="N71" s="19" t="s">
        <v>1394</v>
      </c>
      <c r="O71" s="19" t="s">
        <v>633</v>
      </c>
      <c r="P71" s="24">
        <v>32691</v>
      </c>
      <c r="Q71" s="20">
        <v>2</v>
      </c>
      <c r="R71" s="20">
        <v>7</v>
      </c>
      <c r="S71" s="20">
        <v>89</v>
      </c>
      <c r="T71" s="38">
        <v>35</v>
      </c>
      <c r="U71" s="55" t="s">
        <v>452</v>
      </c>
      <c r="V71" s="20" t="s">
        <v>1395</v>
      </c>
      <c r="W71" s="20" t="s">
        <v>310</v>
      </c>
      <c r="X71" s="46" t="s">
        <v>1396</v>
      </c>
      <c r="Y71" s="20" t="s">
        <v>263</v>
      </c>
      <c r="Z71" s="20" t="s">
        <v>636</v>
      </c>
      <c r="AA71" s="20" t="s">
        <v>1397</v>
      </c>
      <c r="AB71" s="29"/>
      <c r="AC71" s="29"/>
      <c r="AD71" s="27">
        <v>312</v>
      </c>
      <c r="AE71" s="47">
        <v>327.38159999999999</v>
      </c>
      <c r="AF71" s="29" t="s">
        <v>313</v>
      </c>
      <c r="AG71" s="20" t="s">
        <v>314</v>
      </c>
      <c r="AH71" s="20">
        <v>90</v>
      </c>
      <c r="AI71" s="20" t="s">
        <v>375</v>
      </c>
      <c r="AJ71" s="20" t="s">
        <v>291</v>
      </c>
      <c r="AK71" s="34" t="s">
        <v>1398</v>
      </c>
      <c r="AL71" s="20" t="s">
        <v>317</v>
      </c>
      <c r="AM71" s="20" t="s">
        <v>318</v>
      </c>
      <c r="AN71" s="20" t="s">
        <v>319</v>
      </c>
      <c r="AO71" s="19">
        <v>1486420125</v>
      </c>
      <c r="AP71" s="19" t="s">
        <v>1399</v>
      </c>
      <c r="AQ71" s="20" t="s">
        <v>1400</v>
      </c>
      <c r="AR71" s="23" t="s">
        <v>1401</v>
      </c>
      <c r="AS71" s="19" t="s">
        <v>1402</v>
      </c>
      <c r="AT71" s="19" t="s">
        <v>560</v>
      </c>
      <c r="AU71" s="19"/>
      <c r="AV71" s="20" t="s">
        <v>480</v>
      </c>
      <c r="AW71" s="20" t="s">
        <v>1403</v>
      </c>
      <c r="AX71" s="19">
        <v>245</v>
      </c>
      <c r="AY71" s="20" t="s">
        <v>328</v>
      </c>
      <c r="AZ71" s="20" t="s">
        <v>483</v>
      </c>
      <c r="BA71" s="20" t="s">
        <v>483</v>
      </c>
      <c r="BB71" s="20">
        <v>78394</v>
      </c>
      <c r="BC71" s="19" t="s">
        <v>357</v>
      </c>
      <c r="BD71" s="19"/>
      <c r="BE71" s="25" t="s">
        <v>329</v>
      </c>
      <c r="BF71" s="19"/>
      <c r="BG71" s="19"/>
      <c r="BH71" s="19"/>
      <c r="BI71" s="19"/>
      <c r="BJ71" s="19" t="s">
        <v>53</v>
      </c>
      <c r="BK71" s="24">
        <v>45789</v>
      </c>
      <c r="BL71" s="19" t="s">
        <v>56</v>
      </c>
      <c r="BM71" s="44" t="s">
        <v>1404</v>
      </c>
      <c r="BN71" s="19" t="s">
        <v>1444</v>
      </c>
      <c r="BO71" s="19"/>
      <c r="BP71" s="19"/>
      <c r="BQ71" s="19" t="s">
        <v>1402</v>
      </c>
      <c r="BR71" s="19" t="s">
        <v>560</v>
      </c>
      <c r="BS71" s="19" t="s">
        <v>1405</v>
      </c>
      <c r="BT71" s="20" t="s">
        <v>1406</v>
      </c>
      <c r="BU71" s="20" t="s">
        <v>334</v>
      </c>
      <c r="BV71" s="66">
        <v>2</v>
      </c>
    </row>
    <row r="72" spans="1:74" x14ac:dyDescent="0.25">
      <c r="A72" s="19">
        <v>1039</v>
      </c>
      <c r="B72" s="52" t="s">
        <v>299</v>
      </c>
      <c r="C72" s="20" t="s">
        <v>300</v>
      </c>
      <c r="D72" s="35">
        <v>41128813734</v>
      </c>
      <c r="E72" s="21">
        <v>45705</v>
      </c>
      <c r="F72" s="36">
        <v>45795</v>
      </c>
      <c r="G72" s="37">
        <v>45705</v>
      </c>
      <c r="H72" s="19" t="s">
        <v>291</v>
      </c>
      <c r="I72" s="19" t="s">
        <v>1407</v>
      </c>
      <c r="J72" s="19" t="s">
        <v>1408</v>
      </c>
      <c r="K72" s="19" t="s">
        <v>1409</v>
      </c>
      <c r="L72" s="55" t="s">
        <v>1410</v>
      </c>
      <c r="M72" s="19" t="s">
        <v>1411</v>
      </c>
      <c r="N72" s="19" t="s">
        <v>1412</v>
      </c>
      <c r="O72" s="19" t="s">
        <v>571</v>
      </c>
      <c r="P72" s="24">
        <v>32278</v>
      </c>
      <c r="Q72" s="20">
        <v>15</v>
      </c>
      <c r="R72" s="20">
        <v>5</v>
      </c>
      <c r="S72" s="20">
        <v>1988</v>
      </c>
      <c r="T72" s="38">
        <v>36</v>
      </c>
      <c r="U72" s="55" t="s">
        <v>452</v>
      </c>
      <c r="V72" s="20" t="s">
        <v>1413</v>
      </c>
      <c r="W72" s="20" t="s">
        <v>1327</v>
      </c>
      <c r="X72" s="46" t="s">
        <v>208</v>
      </c>
      <c r="Y72" s="20" t="s">
        <v>183</v>
      </c>
      <c r="Z72" s="20" t="s">
        <v>311</v>
      </c>
      <c r="AA72" s="20" t="s">
        <v>1414</v>
      </c>
      <c r="AB72" s="29">
        <v>21000</v>
      </c>
      <c r="AC72" s="29">
        <v>690.78947368421052</v>
      </c>
      <c r="AD72" s="27">
        <v>312</v>
      </c>
      <c r="AE72" s="68">
        <v>327.38159999999999</v>
      </c>
      <c r="AF72" s="20" t="s">
        <v>313</v>
      </c>
      <c r="AG72" s="20" t="s">
        <v>314</v>
      </c>
      <c r="AH72" s="20">
        <v>90</v>
      </c>
      <c r="AI72" s="20" t="s">
        <v>315</v>
      </c>
      <c r="AJ72" s="20" t="s">
        <v>291</v>
      </c>
      <c r="AK72" s="20" t="s">
        <v>1329</v>
      </c>
      <c r="AL72" s="20" t="s">
        <v>317</v>
      </c>
      <c r="AM72" s="20" t="s">
        <v>318</v>
      </c>
      <c r="AN72" s="20" t="s">
        <v>319</v>
      </c>
      <c r="AO72" s="28">
        <v>1537430011</v>
      </c>
      <c r="AP72" s="40" t="s">
        <v>1415</v>
      </c>
      <c r="AQ72" s="28">
        <v>4441955415</v>
      </c>
      <c r="AR72" s="23" t="s">
        <v>1416</v>
      </c>
      <c r="AS72" s="28" t="s">
        <v>1417</v>
      </c>
      <c r="AT72" s="28" t="s">
        <v>602</v>
      </c>
      <c r="AU72" s="55"/>
      <c r="AV72" s="28" t="s">
        <v>398</v>
      </c>
      <c r="AW72" s="28" t="s">
        <v>1418</v>
      </c>
      <c r="AX72" s="28">
        <v>112</v>
      </c>
      <c r="AY72" s="28"/>
      <c r="AZ72" s="28" t="s">
        <v>483</v>
      </c>
      <c r="BA72" s="28" t="s">
        <v>483</v>
      </c>
      <c r="BB72" s="28">
        <v>78140</v>
      </c>
      <c r="BC72" s="32" t="s">
        <v>329</v>
      </c>
      <c r="BD72" s="20"/>
      <c r="BE72" s="32" t="s">
        <v>329</v>
      </c>
      <c r="BF72" s="67"/>
      <c r="BG72" s="67"/>
      <c r="BH72" s="67"/>
      <c r="BI72" s="55"/>
      <c r="BJ72" s="19" t="s">
        <v>53</v>
      </c>
      <c r="BK72" s="24">
        <v>45783</v>
      </c>
      <c r="BL72" s="19" t="s">
        <v>56</v>
      </c>
      <c r="BM72" s="44" t="s">
        <v>463</v>
      </c>
      <c r="BN72" s="19" t="s">
        <v>1444</v>
      </c>
      <c r="BO72" s="19"/>
      <c r="BP72" s="19"/>
      <c r="BQ72" s="55" t="s">
        <v>1417</v>
      </c>
      <c r="BR72" s="28" t="s">
        <v>381</v>
      </c>
      <c r="BS72" s="28">
        <v>4441915697</v>
      </c>
      <c r="BT72" s="28" t="s">
        <v>333</v>
      </c>
      <c r="BU72" s="28" t="s">
        <v>327</v>
      </c>
      <c r="BV72" s="44">
        <v>2</v>
      </c>
    </row>
    <row r="73" spans="1:74" x14ac:dyDescent="0.25">
      <c r="A73" s="19">
        <v>467</v>
      </c>
      <c r="B73" s="52" t="s">
        <v>363</v>
      </c>
      <c r="C73" s="20" t="s">
        <v>364</v>
      </c>
      <c r="D73" s="35">
        <v>41099033031</v>
      </c>
      <c r="E73" s="21">
        <v>45075</v>
      </c>
      <c r="F73" s="36">
        <v>45165</v>
      </c>
      <c r="G73" s="37">
        <v>45075</v>
      </c>
      <c r="H73" s="19" t="s">
        <v>291</v>
      </c>
      <c r="I73" s="19" t="s">
        <v>1419</v>
      </c>
      <c r="J73" s="19" t="s">
        <v>1420</v>
      </c>
      <c r="K73" s="19" t="s">
        <v>1421</v>
      </c>
      <c r="L73" s="55" t="s">
        <v>1422</v>
      </c>
      <c r="M73" s="19" t="s">
        <v>1423</v>
      </c>
      <c r="N73" s="19" t="s">
        <v>1424</v>
      </c>
      <c r="O73" s="19" t="s">
        <v>633</v>
      </c>
      <c r="P73" s="24">
        <v>32945</v>
      </c>
      <c r="Q73" s="20">
        <v>13</v>
      </c>
      <c r="R73" s="20">
        <v>3</v>
      </c>
      <c r="S73" s="20">
        <v>90</v>
      </c>
      <c r="T73" s="38">
        <v>33</v>
      </c>
      <c r="U73" s="55" t="s">
        <v>452</v>
      </c>
      <c r="V73" s="20" t="s">
        <v>1425</v>
      </c>
      <c r="W73" s="20" t="s">
        <v>1426</v>
      </c>
      <c r="X73" s="46" t="s">
        <v>1427</v>
      </c>
      <c r="Y73" s="20" t="s">
        <v>88</v>
      </c>
      <c r="Z73" s="20" t="s">
        <v>857</v>
      </c>
      <c r="AA73" s="20" t="s">
        <v>1428</v>
      </c>
      <c r="AB73" s="29">
        <v>13000</v>
      </c>
      <c r="AC73" s="29">
        <v>427.63157894736844</v>
      </c>
      <c r="AD73" s="27">
        <v>259</v>
      </c>
      <c r="AE73" s="68">
        <v>271.76869999999997</v>
      </c>
      <c r="AF73" s="20" t="s">
        <v>313</v>
      </c>
      <c r="AG73" s="20" t="s">
        <v>314</v>
      </c>
      <c r="AH73" s="20">
        <v>90</v>
      </c>
      <c r="AI73" s="20" t="s">
        <v>375</v>
      </c>
      <c r="AJ73" s="20" t="s">
        <v>291</v>
      </c>
      <c r="AK73" s="20" t="s">
        <v>473</v>
      </c>
      <c r="AL73" s="20" t="s">
        <v>317</v>
      </c>
      <c r="AM73" s="20" t="s">
        <v>318</v>
      </c>
      <c r="AN73" s="20"/>
      <c r="AO73" s="28"/>
      <c r="AP73" s="40"/>
      <c r="AQ73" s="28" t="s">
        <v>1429</v>
      </c>
      <c r="AR73" s="23" t="s">
        <v>1430</v>
      </c>
      <c r="AS73" s="28" t="s">
        <v>1431</v>
      </c>
      <c r="AT73" s="28" t="s">
        <v>325</v>
      </c>
      <c r="AU73" s="55" t="s">
        <v>1432</v>
      </c>
      <c r="AV73" s="28" t="s">
        <v>604</v>
      </c>
      <c r="AW73" s="28" t="s">
        <v>1433</v>
      </c>
      <c r="AX73" s="28">
        <v>314</v>
      </c>
      <c r="AY73" s="28" t="s">
        <v>328</v>
      </c>
      <c r="AZ73" s="28" t="s">
        <v>483</v>
      </c>
      <c r="BA73" s="28" t="s">
        <v>483</v>
      </c>
      <c r="BB73" s="28">
        <v>78377</v>
      </c>
      <c r="BC73" s="32" t="s">
        <v>357</v>
      </c>
      <c r="BD73" s="20" t="s">
        <v>357</v>
      </c>
      <c r="BE73" s="32" t="s">
        <v>330</v>
      </c>
      <c r="BF73" s="67"/>
      <c r="BG73" s="67"/>
      <c r="BH73" s="67"/>
      <c r="BI73" s="55"/>
      <c r="BJ73" s="19" t="s">
        <v>53</v>
      </c>
      <c r="BK73" s="24">
        <v>45786</v>
      </c>
      <c r="BL73" s="19" t="s">
        <v>56</v>
      </c>
      <c r="BM73" s="44" t="s">
        <v>1434</v>
      </c>
      <c r="BN73" s="19" t="s">
        <v>1444</v>
      </c>
      <c r="BO73" s="19"/>
      <c r="BP73" s="19"/>
      <c r="BQ73" s="55" t="s">
        <v>1435</v>
      </c>
      <c r="BR73" s="28" t="s">
        <v>622</v>
      </c>
      <c r="BS73" s="28" t="s">
        <v>1436</v>
      </c>
      <c r="BT73" s="28" t="s">
        <v>488</v>
      </c>
      <c r="BU73" s="28" t="s">
        <v>334</v>
      </c>
      <c r="BV73" s="66">
        <v>1</v>
      </c>
    </row>
    <row r="74" spans="1:74" x14ac:dyDescent="0.25">
      <c r="A74" s="70">
        <v>843</v>
      </c>
      <c r="B74" s="62" t="s">
        <v>564</v>
      </c>
      <c r="C74" s="60" t="s">
        <v>565</v>
      </c>
      <c r="D74" s="72">
        <v>4129222016</v>
      </c>
      <c r="E74" s="21">
        <v>45768</v>
      </c>
      <c r="F74" s="36" t="s">
        <v>1437</v>
      </c>
      <c r="G74" s="71">
        <v>45768</v>
      </c>
      <c r="H74" s="70" t="s">
        <v>290</v>
      </c>
      <c r="I74" s="70" t="s">
        <v>1438</v>
      </c>
      <c r="J74" s="70" t="s">
        <v>1239</v>
      </c>
      <c r="K74" s="70" t="s">
        <v>1439</v>
      </c>
      <c r="L74" s="55" t="s">
        <v>1440</v>
      </c>
      <c r="M74" s="70" t="s">
        <v>1441</v>
      </c>
      <c r="N74" s="70" t="s">
        <v>1442</v>
      </c>
      <c r="O74" s="19" t="s">
        <v>571</v>
      </c>
      <c r="P74" s="19"/>
      <c r="Q74" s="28"/>
      <c r="R74" s="28"/>
      <c r="S74" s="55"/>
      <c r="T74" s="38"/>
      <c r="U74" s="55"/>
      <c r="V74" s="55"/>
      <c r="W74" s="55"/>
      <c r="X74" s="46" t="s">
        <v>617</v>
      </c>
      <c r="Y74" s="20" t="s">
        <v>260</v>
      </c>
      <c r="Z74" s="20" t="s">
        <v>532</v>
      </c>
      <c r="AA74" s="20" t="s">
        <v>574</v>
      </c>
      <c r="AB74" s="29">
        <v>10640</v>
      </c>
      <c r="AC74" s="29">
        <v>350</v>
      </c>
      <c r="AD74" s="27">
        <v>350</v>
      </c>
      <c r="AE74" s="47">
        <v>367.26</v>
      </c>
      <c r="AF74" s="20" t="s">
        <v>313</v>
      </c>
      <c r="AG74" s="20" t="s">
        <v>314</v>
      </c>
      <c r="AH74" s="20">
        <v>90</v>
      </c>
      <c r="AI74" s="20" t="s">
        <v>710</v>
      </c>
      <c r="AJ74" s="20" t="s">
        <v>290</v>
      </c>
      <c r="AK74" s="20" t="s">
        <v>575</v>
      </c>
      <c r="AL74" s="20" t="s">
        <v>317</v>
      </c>
      <c r="AM74" s="20" t="s">
        <v>318</v>
      </c>
      <c r="AN74" s="55"/>
      <c r="AO74" s="55"/>
      <c r="AP74" s="28"/>
      <c r="AQ74" s="28"/>
      <c r="AR74" s="55"/>
      <c r="AS74" s="28"/>
      <c r="AT74" s="19"/>
      <c r="AU74" s="28"/>
      <c r="AV74" s="28"/>
      <c r="AW74" s="28"/>
      <c r="AX74" s="55"/>
      <c r="AY74" s="55"/>
      <c r="AZ74" s="28"/>
      <c r="BA74" s="28"/>
      <c r="BB74" s="28"/>
      <c r="BC74" s="32"/>
      <c r="BD74" s="20"/>
      <c r="BE74" s="32"/>
      <c r="BF74" s="19"/>
      <c r="BG74" s="19"/>
      <c r="BH74" s="55"/>
      <c r="BI74" s="55"/>
      <c r="BJ74" s="19" t="s">
        <v>53</v>
      </c>
      <c r="BK74" s="24">
        <v>45786</v>
      </c>
      <c r="BL74" s="19" t="s">
        <v>625</v>
      </c>
      <c r="BM74" s="44" t="s">
        <v>1443</v>
      </c>
      <c r="BN74" s="19" t="s">
        <v>1444</v>
      </c>
      <c r="BP74" s="19" t="s">
        <v>1444</v>
      </c>
      <c r="BQ74" s="19"/>
      <c r="BR74" s="19"/>
      <c r="BS74" s="55"/>
      <c r="BT74" s="28"/>
      <c r="BU74" s="28"/>
      <c r="BV74" s="44"/>
    </row>
    <row r="75" spans="1:74" x14ac:dyDescent="0.25">
      <c r="A75" s="19">
        <v>694</v>
      </c>
      <c r="B75" s="52" t="s">
        <v>335</v>
      </c>
      <c r="C75" s="20" t="s">
        <v>140</v>
      </c>
      <c r="D75" s="31">
        <v>12078812745</v>
      </c>
      <c r="E75" s="21">
        <v>45502</v>
      </c>
      <c r="F75" s="36">
        <v>45592</v>
      </c>
      <c r="G75" s="53">
        <v>45502</v>
      </c>
      <c r="H75" s="19" t="s">
        <v>291</v>
      </c>
      <c r="I75" s="19" t="s">
        <v>1280</v>
      </c>
      <c r="J75" s="19" t="s">
        <v>1445</v>
      </c>
      <c r="K75" s="19" t="s">
        <v>1446</v>
      </c>
      <c r="L75" s="55" t="s">
        <v>1447</v>
      </c>
      <c r="M75" s="19" t="s">
        <v>1448</v>
      </c>
      <c r="N75" s="19" t="s">
        <v>1449</v>
      </c>
      <c r="O75" s="19" t="s">
        <v>633</v>
      </c>
      <c r="P75" s="22">
        <v>32409</v>
      </c>
      <c r="Q75" s="20">
        <v>23</v>
      </c>
      <c r="R75" s="20">
        <v>9</v>
      </c>
      <c r="S75" s="20">
        <v>88</v>
      </c>
      <c r="T75" s="26">
        <v>35</v>
      </c>
      <c r="U75" s="20" t="s">
        <v>1450</v>
      </c>
      <c r="V75" s="19" t="s">
        <v>1451</v>
      </c>
      <c r="W75" s="20" t="s">
        <v>310</v>
      </c>
      <c r="X75" s="46" t="s">
        <v>1452</v>
      </c>
      <c r="Y75" s="20" t="s">
        <v>238</v>
      </c>
      <c r="Z75" s="20" t="s">
        <v>857</v>
      </c>
      <c r="AA75" s="20" t="s">
        <v>934</v>
      </c>
      <c r="AB75" s="29">
        <v>13000</v>
      </c>
      <c r="AC75" s="29">
        <v>427.63157894736844</v>
      </c>
      <c r="AD75" s="73">
        <v>312</v>
      </c>
      <c r="AE75" s="74">
        <v>327.38159999999999</v>
      </c>
      <c r="AF75" s="20" t="s">
        <v>313</v>
      </c>
      <c r="AG75" s="20" t="s">
        <v>314</v>
      </c>
      <c r="AH75" s="20">
        <v>90</v>
      </c>
      <c r="AI75" s="19" t="s">
        <v>554</v>
      </c>
      <c r="AJ75" s="19" t="s">
        <v>291</v>
      </c>
      <c r="AK75" s="19" t="s">
        <v>555</v>
      </c>
      <c r="AL75" s="20" t="s">
        <v>317</v>
      </c>
      <c r="AM75" s="20" t="s">
        <v>318</v>
      </c>
      <c r="AN75" s="20" t="s">
        <v>319</v>
      </c>
      <c r="AO75" s="19">
        <v>1523240532</v>
      </c>
      <c r="AP75" s="19" t="s">
        <v>1453</v>
      </c>
      <c r="AQ75" s="20" t="s">
        <v>1454</v>
      </c>
      <c r="AR75" s="23" t="s">
        <v>1455</v>
      </c>
      <c r="AS75" s="20" t="s">
        <v>1456</v>
      </c>
      <c r="AT75" s="20" t="s">
        <v>560</v>
      </c>
      <c r="AU75" s="55"/>
      <c r="AV75" s="20" t="s">
        <v>480</v>
      </c>
      <c r="AW75" s="20" t="s">
        <v>1457</v>
      </c>
      <c r="AX75" s="20">
        <v>730</v>
      </c>
      <c r="AY75" s="20" t="s">
        <v>328</v>
      </c>
      <c r="AZ75" s="20" t="s">
        <v>1375</v>
      </c>
      <c r="BA75" s="20" t="s">
        <v>681</v>
      </c>
      <c r="BB75" s="31" t="s">
        <v>1458</v>
      </c>
      <c r="BC75" s="32" t="s">
        <v>357</v>
      </c>
      <c r="BD75" s="20" t="s">
        <v>357</v>
      </c>
      <c r="BE75" s="32" t="s">
        <v>357</v>
      </c>
      <c r="BF75" s="55"/>
      <c r="BG75" s="55"/>
      <c r="BH75" s="55"/>
      <c r="BI75" s="55"/>
      <c r="BJ75" s="19" t="s">
        <v>1459</v>
      </c>
      <c r="BK75" s="24">
        <v>45786</v>
      </c>
      <c r="BL75" s="19" t="s">
        <v>56</v>
      </c>
      <c r="BM75" s="44" t="s">
        <v>1460</v>
      </c>
      <c r="BN75" s="19" t="s">
        <v>1444</v>
      </c>
      <c r="BO75" s="19"/>
      <c r="BP75" s="19"/>
      <c r="BQ75" s="19" t="s">
        <v>1456</v>
      </c>
      <c r="BR75" s="19" t="s">
        <v>560</v>
      </c>
      <c r="BS75" s="19" t="s">
        <v>1461</v>
      </c>
      <c r="BT75" s="19" t="s">
        <v>1462</v>
      </c>
      <c r="BU75" s="20" t="s">
        <v>1463</v>
      </c>
      <c r="BV75" s="66">
        <v>0</v>
      </c>
    </row>
    <row r="76" spans="1:74" x14ac:dyDescent="0.25">
      <c r="A76" s="19">
        <v>1040</v>
      </c>
      <c r="B76" s="52" t="s">
        <v>299</v>
      </c>
      <c r="C76" s="20" t="s">
        <v>300</v>
      </c>
      <c r="D76" s="31">
        <v>43059013409</v>
      </c>
      <c r="E76" s="21">
        <v>45705</v>
      </c>
      <c r="F76" s="36">
        <v>45795</v>
      </c>
      <c r="G76" s="53">
        <v>45705</v>
      </c>
      <c r="H76" s="19" t="s">
        <v>291</v>
      </c>
      <c r="I76" s="19" t="s">
        <v>337</v>
      </c>
      <c r="J76" s="19" t="s">
        <v>1464</v>
      </c>
      <c r="K76" s="19" t="s">
        <v>915</v>
      </c>
      <c r="L76" s="55" t="s">
        <v>1465</v>
      </c>
      <c r="M76" s="19" t="s">
        <v>1466</v>
      </c>
      <c r="N76" s="19" t="s">
        <v>1467</v>
      </c>
      <c r="O76" s="19" t="s">
        <v>571</v>
      </c>
      <c r="P76" s="22">
        <v>33087</v>
      </c>
      <c r="Q76" s="20">
        <v>2</v>
      </c>
      <c r="R76" s="20">
        <v>8</v>
      </c>
      <c r="S76" s="20">
        <v>1990</v>
      </c>
      <c r="T76" s="26">
        <v>34</v>
      </c>
      <c r="U76" s="20" t="s">
        <v>342</v>
      </c>
      <c r="V76" s="19" t="s">
        <v>1468</v>
      </c>
      <c r="W76" s="20" t="s">
        <v>530</v>
      </c>
      <c r="X76" s="46" t="s">
        <v>496</v>
      </c>
      <c r="Y76" s="20" t="s">
        <v>183</v>
      </c>
      <c r="Z76" s="20" t="s">
        <v>311</v>
      </c>
      <c r="AA76" s="20" t="s">
        <v>497</v>
      </c>
      <c r="AB76" s="29">
        <v>13600</v>
      </c>
      <c r="AC76" s="29">
        <v>447.36842105263162</v>
      </c>
      <c r="AD76" s="73">
        <v>312</v>
      </c>
      <c r="AE76" s="74">
        <v>326.10239999999999</v>
      </c>
      <c r="AF76" s="20" t="s">
        <v>313</v>
      </c>
      <c r="AG76" s="20" t="s">
        <v>314</v>
      </c>
      <c r="AH76" s="20">
        <v>90</v>
      </c>
      <c r="AI76" s="19" t="s">
        <v>315</v>
      </c>
      <c r="AJ76" s="19" t="s">
        <v>291</v>
      </c>
      <c r="AK76" s="19" t="s">
        <v>316</v>
      </c>
      <c r="AL76" s="20" t="s">
        <v>317</v>
      </c>
      <c r="AM76" s="20" t="s">
        <v>318</v>
      </c>
      <c r="AN76" s="20" t="s">
        <v>319</v>
      </c>
      <c r="AO76" s="19">
        <v>1530595952</v>
      </c>
      <c r="AP76" s="19" t="s">
        <v>1469</v>
      </c>
      <c r="AQ76" s="20">
        <v>4445061064</v>
      </c>
      <c r="AR76" s="23" t="s">
        <v>1470</v>
      </c>
      <c r="AS76" s="20" t="s">
        <v>1471</v>
      </c>
      <c r="AT76" s="20" t="s">
        <v>381</v>
      </c>
      <c r="AU76" s="55"/>
      <c r="AV76" s="20" t="s">
        <v>398</v>
      </c>
      <c r="AW76" s="20" t="s">
        <v>1472</v>
      </c>
      <c r="AX76" s="20">
        <v>101</v>
      </c>
      <c r="AY76" s="20"/>
      <c r="AZ76" s="20" t="s">
        <v>1473</v>
      </c>
      <c r="BA76" s="20" t="s">
        <v>681</v>
      </c>
      <c r="BB76" s="31" t="s">
        <v>1474</v>
      </c>
      <c r="BC76" s="32" t="s">
        <v>329</v>
      </c>
      <c r="BD76" s="20"/>
      <c r="BE76" s="32" t="s">
        <v>329</v>
      </c>
      <c r="BF76" s="55"/>
      <c r="BG76" s="55"/>
      <c r="BH76" s="55"/>
      <c r="BI76" s="55"/>
      <c r="BJ76" s="19" t="s">
        <v>53</v>
      </c>
      <c r="BK76" s="24">
        <v>45793</v>
      </c>
      <c r="BL76" s="19" t="s">
        <v>584</v>
      </c>
      <c r="BM76" s="44" t="s">
        <v>1475</v>
      </c>
      <c r="BN76" s="19" t="s">
        <v>1444</v>
      </c>
      <c r="BO76" s="19"/>
      <c r="BP76" s="19"/>
      <c r="BQ76" s="19" t="s">
        <v>1476</v>
      </c>
      <c r="BR76" s="19" t="s">
        <v>381</v>
      </c>
      <c r="BS76" s="19">
        <v>4442429185</v>
      </c>
      <c r="BT76" s="19" t="s">
        <v>685</v>
      </c>
      <c r="BU76" s="20" t="s">
        <v>334</v>
      </c>
      <c r="BV76" s="44">
        <v>3</v>
      </c>
    </row>
    <row r="77" spans="1:74" x14ac:dyDescent="0.25">
      <c r="A77" s="19">
        <v>806</v>
      </c>
      <c r="B77" s="52" t="s">
        <v>363</v>
      </c>
      <c r="C77" s="20" t="s">
        <v>364</v>
      </c>
      <c r="D77" s="31">
        <v>86180405762</v>
      </c>
      <c r="E77" s="21">
        <v>45695</v>
      </c>
      <c r="F77" s="36">
        <v>45785</v>
      </c>
      <c r="G77" s="53">
        <v>45695</v>
      </c>
      <c r="H77" s="19" t="s">
        <v>290</v>
      </c>
      <c r="I77" s="19" t="s">
        <v>1477</v>
      </c>
      <c r="J77" s="19" t="s">
        <v>1280</v>
      </c>
      <c r="K77" s="19" t="s">
        <v>1478</v>
      </c>
      <c r="L77" s="55" t="s">
        <v>1479</v>
      </c>
      <c r="M77" s="19" t="s">
        <v>1480</v>
      </c>
      <c r="N77" s="19" t="s">
        <v>1481</v>
      </c>
      <c r="O77" s="19" t="s">
        <v>571</v>
      </c>
      <c r="P77" s="22">
        <v>37993</v>
      </c>
      <c r="Q77" s="20">
        <v>7</v>
      </c>
      <c r="R77" s="20">
        <v>1</v>
      </c>
      <c r="S77" s="20">
        <v>2004</v>
      </c>
      <c r="T77" s="26">
        <v>21</v>
      </c>
      <c r="U77" s="20" t="s">
        <v>389</v>
      </c>
      <c r="V77" s="19" t="s">
        <v>1482</v>
      </c>
      <c r="W77" s="20" t="s">
        <v>530</v>
      </c>
      <c r="X77" s="46" t="s">
        <v>91</v>
      </c>
      <c r="Y77" s="20" t="s">
        <v>816</v>
      </c>
      <c r="Z77" s="20" t="s">
        <v>392</v>
      </c>
      <c r="AA77" s="20" t="s">
        <v>374</v>
      </c>
      <c r="AB77" s="29">
        <v>10600</v>
      </c>
      <c r="AC77" s="29">
        <v>348.68421052631578</v>
      </c>
      <c r="AD77" s="73">
        <v>348.68</v>
      </c>
      <c r="AE77" s="74">
        <v>365.86992399999997</v>
      </c>
      <c r="AF77" s="20" t="s">
        <v>313</v>
      </c>
      <c r="AG77" s="20" t="s">
        <v>314</v>
      </c>
      <c r="AH77" s="20">
        <v>90</v>
      </c>
      <c r="AI77" s="19" t="s">
        <v>375</v>
      </c>
      <c r="AJ77" s="19" t="s">
        <v>290</v>
      </c>
      <c r="AK77" s="19" t="s">
        <v>473</v>
      </c>
      <c r="AL77" s="20" t="s">
        <v>317</v>
      </c>
      <c r="AM77" s="20" t="s">
        <v>318</v>
      </c>
      <c r="AN77" s="20" t="s">
        <v>673</v>
      </c>
      <c r="AO77" s="19">
        <v>56907377691</v>
      </c>
      <c r="AP77" s="19" t="s">
        <v>1483</v>
      </c>
      <c r="AQ77" s="20">
        <v>4442830783</v>
      </c>
      <c r="AR77" s="23" t="s">
        <v>1484</v>
      </c>
      <c r="AS77" s="20" t="s">
        <v>1485</v>
      </c>
      <c r="AT77" s="20" t="s">
        <v>776</v>
      </c>
      <c r="AU77" s="55"/>
      <c r="AV77" s="20" t="s">
        <v>398</v>
      </c>
      <c r="AW77" s="20" t="s">
        <v>1486</v>
      </c>
      <c r="AX77" s="20" t="s">
        <v>1487</v>
      </c>
      <c r="AY77" s="20"/>
      <c r="AZ77" s="20" t="s">
        <v>1488</v>
      </c>
      <c r="BA77" s="20" t="s">
        <v>483</v>
      </c>
      <c r="BB77" s="31">
        <v>78983</v>
      </c>
      <c r="BC77" s="32" t="s">
        <v>329</v>
      </c>
      <c r="BD77" s="20"/>
      <c r="BE77" s="32" t="s">
        <v>329</v>
      </c>
      <c r="BF77" s="55"/>
      <c r="BG77" s="55"/>
      <c r="BH77" s="55"/>
      <c r="BI77" s="55"/>
      <c r="BJ77" s="19" t="s">
        <v>53</v>
      </c>
      <c r="BK77" s="24">
        <v>45803</v>
      </c>
      <c r="BL77" s="19" t="s">
        <v>56</v>
      </c>
      <c r="BM77" s="44" t="s">
        <v>1489</v>
      </c>
      <c r="BN77" s="19" t="s">
        <v>1444</v>
      </c>
      <c r="BO77" s="19"/>
      <c r="BP77" s="19"/>
      <c r="BQ77" s="19" t="s">
        <v>1485</v>
      </c>
      <c r="BR77" s="19" t="s">
        <v>776</v>
      </c>
      <c r="BS77" s="19">
        <v>4445730009</v>
      </c>
      <c r="BT77" s="19" t="s">
        <v>333</v>
      </c>
      <c r="BU77" s="20" t="s">
        <v>334</v>
      </c>
      <c r="BV77" s="66">
        <v>0</v>
      </c>
    </row>
    <row r="78" spans="1:74" x14ac:dyDescent="0.25">
      <c r="A78" s="19">
        <v>544</v>
      </c>
      <c r="B78" s="52" t="s">
        <v>564</v>
      </c>
      <c r="C78" s="20" t="s">
        <v>565</v>
      </c>
      <c r="D78" s="31" t="s">
        <v>1490</v>
      </c>
      <c r="E78" s="21">
        <v>45258</v>
      </c>
      <c r="F78" s="36">
        <v>45348</v>
      </c>
      <c r="G78" s="53">
        <v>45258</v>
      </c>
      <c r="H78" s="19" t="s">
        <v>290</v>
      </c>
      <c r="I78" s="19" t="s">
        <v>1491</v>
      </c>
      <c r="J78" s="19" t="s">
        <v>366</v>
      </c>
      <c r="K78" s="19" t="s">
        <v>1492</v>
      </c>
      <c r="L78" s="55" t="s">
        <v>1493</v>
      </c>
      <c r="M78" s="19" t="s">
        <v>1494</v>
      </c>
      <c r="N78" s="19" t="s">
        <v>1495</v>
      </c>
      <c r="O78" s="19" t="s">
        <v>571</v>
      </c>
      <c r="P78" s="22">
        <v>34522</v>
      </c>
      <c r="Q78" s="20">
        <v>7</v>
      </c>
      <c r="R78" s="20">
        <v>7</v>
      </c>
      <c r="S78" s="20">
        <v>94</v>
      </c>
      <c r="T78" s="26">
        <v>29</v>
      </c>
      <c r="U78" s="20" t="s">
        <v>342</v>
      </c>
      <c r="V78" s="19" t="s">
        <v>1496</v>
      </c>
      <c r="W78" s="20" t="s">
        <v>1497</v>
      </c>
      <c r="X78" s="46" t="s">
        <v>1498</v>
      </c>
      <c r="Y78" s="20" t="s">
        <v>260</v>
      </c>
      <c r="Z78" s="20" t="s">
        <v>532</v>
      </c>
      <c r="AA78" s="20" t="s">
        <v>574</v>
      </c>
      <c r="AB78" s="29">
        <v>14258</v>
      </c>
      <c r="AC78" s="29">
        <v>469.01315789473688</v>
      </c>
      <c r="AD78" s="73">
        <v>469</v>
      </c>
      <c r="AE78" s="74">
        <v>492.12169999999998</v>
      </c>
      <c r="AF78" s="20" t="s">
        <v>313</v>
      </c>
      <c r="AG78" s="20" t="s">
        <v>314</v>
      </c>
      <c r="AH78" s="20">
        <v>90</v>
      </c>
      <c r="AI78" s="19" t="s">
        <v>350</v>
      </c>
      <c r="AJ78" s="19" t="s">
        <v>290</v>
      </c>
      <c r="AK78" s="19" t="s">
        <v>575</v>
      </c>
      <c r="AL78" s="20" t="s">
        <v>317</v>
      </c>
      <c r="AM78" s="20" t="s">
        <v>318</v>
      </c>
      <c r="AN78" s="20" t="s">
        <v>319</v>
      </c>
      <c r="AO78" s="19">
        <v>1567652247</v>
      </c>
      <c r="AP78" s="19" t="s">
        <v>1499</v>
      </c>
      <c r="AQ78" s="20" t="s">
        <v>1500</v>
      </c>
      <c r="AR78" s="23" t="s">
        <v>1501</v>
      </c>
      <c r="AS78" s="20" t="s">
        <v>1502</v>
      </c>
      <c r="AT78" s="20" t="s">
        <v>381</v>
      </c>
      <c r="AU78" s="55">
        <v>34731</v>
      </c>
      <c r="AV78" s="20" t="s">
        <v>398</v>
      </c>
      <c r="AW78" s="20" t="s">
        <v>1335</v>
      </c>
      <c r="AX78" s="20">
        <v>278</v>
      </c>
      <c r="AY78" s="20" t="s">
        <v>642</v>
      </c>
      <c r="AZ78" s="20" t="s">
        <v>717</v>
      </c>
      <c r="BA78" s="20" t="s">
        <v>583</v>
      </c>
      <c r="BB78" s="31">
        <v>45400</v>
      </c>
      <c r="BC78" s="32" t="s">
        <v>357</v>
      </c>
      <c r="BD78" s="20" t="s">
        <v>357</v>
      </c>
      <c r="BE78" s="32" t="s">
        <v>357</v>
      </c>
      <c r="BF78" s="55"/>
      <c r="BG78" s="55"/>
      <c r="BH78" s="55"/>
      <c r="BI78" s="55"/>
      <c r="BJ78" s="19" t="s">
        <v>53</v>
      </c>
      <c r="BK78" s="24">
        <v>45806</v>
      </c>
      <c r="BL78" s="19" t="s">
        <v>625</v>
      </c>
      <c r="BM78" s="44" t="s">
        <v>1503</v>
      </c>
      <c r="BN78" s="19" t="s">
        <v>1444</v>
      </c>
      <c r="BO78" s="19"/>
      <c r="BP78" s="19"/>
      <c r="BQ78" s="19" t="s">
        <v>1502</v>
      </c>
      <c r="BR78" s="19" t="s">
        <v>381</v>
      </c>
      <c r="BS78" s="19" t="s">
        <v>1500</v>
      </c>
      <c r="BT78" s="19" t="s">
        <v>488</v>
      </c>
      <c r="BU78" s="20" t="s">
        <v>334</v>
      </c>
      <c r="BV78" s="44">
        <v>3</v>
      </c>
    </row>
    <row r="79" spans="1:74" x14ac:dyDescent="0.25">
      <c r="A79" s="19">
        <v>615</v>
      </c>
      <c r="B79" s="52" t="s">
        <v>564</v>
      </c>
      <c r="C79" s="20" t="s">
        <v>565</v>
      </c>
      <c r="D79" s="31">
        <v>56169950146</v>
      </c>
      <c r="E79" s="21">
        <v>45351</v>
      </c>
      <c r="F79" s="36">
        <v>45441</v>
      </c>
      <c r="G79" s="53">
        <v>45351</v>
      </c>
      <c r="H79" s="19" t="s">
        <v>290</v>
      </c>
      <c r="I79" s="19" t="s">
        <v>1504</v>
      </c>
      <c r="J79" s="19" t="s">
        <v>1505</v>
      </c>
      <c r="K79" s="19" t="s">
        <v>1506</v>
      </c>
      <c r="L79" s="55" t="s">
        <v>1507</v>
      </c>
      <c r="M79" s="19" t="s">
        <v>1508</v>
      </c>
      <c r="N79" s="19" t="s">
        <v>1509</v>
      </c>
      <c r="O79" s="19" t="s">
        <v>571</v>
      </c>
      <c r="P79" s="22">
        <v>36221</v>
      </c>
      <c r="Q79" s="20">
        <v>2</v>
      </c>
      <c r="R79" s="20">
        <v>3</v>
      </c>
      <c r="S79" s="20">
        <v>99</v>
      </c>
      <c r="T79" s="26">
        <v>24</v>
      </c>
      <c r="U79" s="20" t="s">
        <v>342</v>
      </c>
      <c r="V79" s="19" t="s">
        <v>1510</v>
      </c>
      <c r="W79" s="20" t="s">
        <v>454</v>
      </c>
      <c r="X79" s="46" t="s">
        <v>617</v>
      </c>
      <c r="Y79" s="20" t="s">
        <v>260</v>
      </c>
      <c r="Z79" s="20" t="s">
        <v>532</v>
      </c>
      <c r="AA79" s="20" t="s">
        <v>574</v>
      </c>
      <c r="AB79" s="29">
        <v>8451</v>
      </c>
      <c r="AC79" s="29">
        <v>277.99342105263162</v>
      </c>
      <c r="AD79" s="73">
        <v>278</v>
      </c>
      <c r="AE79" s="74">
        <v>291.7054</v>
      </c>
      <c r="AF79" s="20" t="s">
        <v>313</v>
      </c>
      <c r="AG79" s="20" t="s">
        <v>314</v>
      </c>
      <c r="AH79" s="20">
        <v>90</v>
      </c>
      <c r="AI79" s="19" t="s">
        <v>350</v>
      </c>
      <c r="AJ79" s="19" t="s">
        <v>290</v>
      </c>
      <c r="AK79" s="19" t="s">
        <v>575</v>
      </c>
      <c r="AL79" s="20" t="s">
        <v>317</v>
      </c>
      <c r="AM79" s="20" t="s">
        <v>318</v>
      </c>
      <c r="AN79" s="20" t="s">
        <v>319</v>
      </c>
      <c r="AO79" s="19">
        <v>1521690899</v>
      </c>
      <c r="AP79" s="19" t="s">
        <v>1511</v>
      </c>
      <c r="AQ79" s="20" t="s">
        <v>1512</v>
      </c>
      <c r="AR79" s="23" t="s">
        <v>1513</v>
      </c>
      <c r="AS79" s="20" t="s">
        <v>1514</v>
      </c>
      <c r="AT79" s="20" t="s">
        <v>381</v>
      </c>
      <c r="AU79" s="55"/>
      <c r="AV79" s="20" t="s">
        <v>398</v>
      </c>
      <c r="AW79" s="20" t="s">
        <v>1515</v>
      </c>
      <c r="AX79" s="20">
        <v>390</v>
      </c>
      <c r="AY79" s="20" t="s">
        <v>362</v>
      </c>
      <c r="AZ79" s="20" t="s">
        <v>116</v>
      </c>
      <c r="BA79" s="20" t="s">
        <v>583</v>
      </c>
      <c r="BB79" s="31">
        <v>44840</v>
      </c>
      <c r="BC79" s="32" t="s">
        <v>357</v>
      </c>
      <c r="BD79" s="20" t="s">
        <v>357</v>
      </c>
      <c r="BE79" s="32" t="s">
        <v>357</v>
      </c>
      <c r="BF79" s="55"/>
      <c r="BG79" s="55"/>
      <c r="BH79" s="55"/>
      <c r="BI79" s="55"/>
      <c r="BJ79" s="19" t="s">
        <v>53</v>
      </c>
      <c r="BK79" s="24">
        <v>45796</v>
      </c>
      <c r="BL79" s="19" t="s">
        <v>56</v>
      </c>
      <c r="BM79" s="44" t="s">
        <v>1516</v>
      </c>
      <c r="BN79" s="19" t="s">
        <v>1444</v>
      </c>
      <c r="BO79" s="19"/>
      <c r="BP79" s="19"/>
      <c r="BQ79" s="19" t="s">
        <v>1514</v>
      </c>
      <c r="BR79" s="19" t="s">
        <v>381</v>
      </c>
      <c r="BS79" s="19" t="s">
        <v>1517</v>
      </c>
      <c r="BT79" s="19" t="s">
        <v>333</v>
      </c>
      <c r="BU79" s="20" t="s">
        <v>334</v>
      </c>
      <c r="BV79" s="66">
        <v>2</v>
      </c>
    </row>
    <row r="80" spans="1:74" x14ac:dyDescent="0.25">
      <c r="A80" s="19">
        <v>801</v>
      </c>
      <c r="B80" s="52" t="s">
        <v>564</v>
      </c>
      <c r="C80" s="20" t="s">
        <v>565</v>
      </c>
      <c r="D80" s="31" t="s">
        <v>1518</v>
      </c>
      <c r="E80" s="21">
        <v>45692</v>
      </c>
      <c r="F80" s="36">
        <v>45782</v>
      </c>
      <c r="G80" s="53">
        <v>45692</v>
      </c>
      <c r="H80" s="19" t="s">
        <v>290</v>
      </c>
      <c r="I80" s="19" t="s">
        <v>1519</v>
      </c>
      <c r="J80" s="19" t="s">
        <v>590</v>
      </c>
      <c r="K80" s="19" t="s">
        <v>1520</v>
      </c>
      <c r="L80" s="55" t="s">
        <v>1521</v>
      </c>
      <c r="M80" s="19" t="s">
        <v>1522</v>
      </c>
      <c r="N80" s="19" t="s">
        <v>1523</v>
      </c>
      <c r="O80" s="19" t="s">
        <v>571</v>
      </c>
      <c r="P80" s="22">
        <v>31149</v>
      </c>
      <c r="Q80" s="20">
        <v>12</v>
      </c>
      <c r="R80" s="20">
        <v>4</v>
      </c>
      <c r="S80" s="20">
        <v>1985</v>
      </c>
      <c r="T80" s="26">
        <v>39</v>
      </c>
      <c r="U80" s="20" t="s">
        <v>342</v>
      </c>
      <c r="V80" s="19" t="s">
        <v>1524</v>
      </c>
      <c r="W80" s="20" t="s">
        <v>454</v>
      </c>
      <c r="X80" s="46" t="s">
        <v>552</v>
      </c>
      <c r="Y80" s="20" t="s">
        <v>260</v>
      </c>
      <c r="Z80" s="20" t="s">
        <v>532</v>
      </c>
      <c r="AA80" s="20" t="s">
        <v>574</v>
      </c>
      <c r="AB80" s="29">
        <v>14448</v>
      </c>
      <c r="AC80" s="29">
        <v>475.26315789473688</v>
      </c>
      <c r="AD80" s="73">
        <v>475.27</v>
      </c>
      <c r="AE80" s="74">
        <v>498.70081099999993</v>
      </c>
      <c r="AF80" s="20" t="s">
        <v>313</v>
      </c>
      <c r="AG80" s="20" t="s">
        <v>314</v>
      </c>
      <c r="AH80" s="20">
        <v>90</v>
      </c>
      <c r="AI80" s="19" t="s">
        <v>350</v>
      </c>
      <c r="AJ80" s="19" t="s">
        <v>290</v>
      </c>
      <c r="AK80" s="19" t="s">
        <v>575</v>
      </c>
      <c r="AL80" s="20" t="s">
        <v>317</v>
      </c>
      <c r="AM80" s="20" t="s">
        <v>318</v>
      </c>
      <c r="AN80" s="20" t="s">
        <v>1035</v>
      </c>
      <c r="AO80" s="19">
        <v>1583330636</v>
      </c>
      <c r="AP80" s="19" t="s">
        <v>1525</v>
      </c>
      <c r="AQ80" s="20">
        <v>3315018769</v>
      </c>
      <c r="AR80" s="23" t="s">
        <v>1526</v>
      </c>
      <c r="AS80" s="20" t="s">
        <v>1527</v>
      </c>
      <c r="AT80" s="20" t="s">
        <v>560</v>
      </c>
      <c r="AU80" s="55"/>
      <c r="AV80" s="20" t="s">
        <v>398</v>
      </c>
      <c r="AW80" s="20" t="s">
        <v>1528</v>
      </c>
      <c r="AX80" s="20">
        <v>2885</v>
      </c>
      <c r="AY80" s="20"/>
      <c r="AZ80" s="20" t="s">
        <v>116</v>
      </c>
      <c r="BA80" s="20" t="s">
        <v>583</v>
      </c>
      <c r="BB80" s="31">
        <v>44490</v>
      </c>
      <c r="BC80" s="32" t="s">
        <v>329</v>
      </c>
      <c r="BD80" s="20"/>
      <c r="BE80" s="32" t="s">
        <v>329</v>
      </c>
      <c r="BF80" s="55"/>
      <c r="BG80" s="55"/>
      <c r="BH80" s="55"/>
      <c r="BI80" s="55"/>
      <c r="BJ80" s="19" t="s">
        <v>53</v>
      </c>
      <c r="BK80" s="24">
        <v>45803</v>
      </c>
      <c r="BL80" s="19" t="s">
        <v>56</v>
      </c>
      <c r="BM80" s="44" t="s">
        <v>1529</v>
      </c>
      <c r="BN80" s="19" t="s">
        <v>1444</v>
      </c>
      <c r="BO80" s="19"/>
      <c r="BP80" s="19"/>
      <c r="BQ80" s="19" t="s">
        <v>1530</v>
      </c>
      <c r="BR80" s="19" t="s">
        <v>1531</v>
      </c>
      <c r="BS80" s="19">
        <v>3317614894</v>
      </c>
      <c r="BT80" s="19" t="s">
        <v>333</v>
      </c>
      <c r="BU80" s="20" t="s">
        <v>334</v>
      </c>
      <c r="BV80" s="44">
        <v>3</v>
      </c>
    </row>
    <row r="81" spans="1:74" x14ac:dyDescent="0.25">
      <c r="A81" s="19">
        <v>835</v>
      </c>
      <c r="B81" s="52" t="s">
        <v>564</v>
      </c>
      <c r="C81" s="20" t="s">
        <v>565</v>
      </c>
      <c r="D81" s="31" t="s">
        <v>1532</v>
      </c>
      <c r="E81" s="21">
        <v>45740</v>
      </c>
      <c r="F81" s="36">
        <v>45830</v>
      </c>
      <c r="G81" s="53">
        <v>45740</v>
      </c>
      <c r="H81" s="19" t="s">
        <v>290</v>
      </c>
      <c r="I81" s="19" t="s">
        <v>1533</v>
      </c>
      <c r="J81" s="19" t="s">
        <v>1534</v>
      </c>
      <c r="K81" s="19" t="s">
        <v>1535</v>
      </c>
      <c r="L81" s="55" t="s">
        <v>1536</v>
      </c>
      <c r="M81" s="19" t="s">
        <v>1537</v>
      </c>
      <c r="N81" s="19" t="s">
        <v>1538</v>
      </c>
      <c r="O81" s="19" t="s">
        <v>571</v>
      </c>
      <c r="P81" s="22">
        <v>34610</v>
      </c>
      <c r="Q81" s="20">
        <v>3</v>
      </c>
      <c r="R81" s="20">
        <v>10</v>
      </c>
      <c r="S81" s="20">
        <v>1994</v>
      </c>
      <c r="T81" s="26">
        <v>30</v>
      </c>
      <c r="U81" s="20" t="s">
        <v>452</v>
      </c>
      <c r="V81" s="19" t="s">
        <v>1539</v>
      </c>
      <c r="W81" s="20" t="s">
        <v>454</v>
      </c>
      <c r="X81" s="46" t="s">
        <v>552</v>
      </c>
      <c r="Y81" s="20" t="s">
        <v>260</v>
      </c>
      <c r="Z81" s="20" t="s">
        <v>532</v>
      </c>
      <c r="AA81" s="20" t="s">
        <v>574</v>
      </c>
      <c r="AB81" s="29">
        <v>14448</v>
      </c>
      <c r="AC81" s="29">
        <v>475.26315789473688</v>
      </c>
      <c r="AD81" s="73">
        <v>475.27</v>
      </c>
      <c r="AE81" s="74">
        <v>498.70081099999993</v>
      </c>
      <c r="AF81" s="20" t="s">
        <v>313</v>
      </c>
      <c r="AG81" s="20" t="s">
        <v>314</v>
      </c>
      <c r="AH81" s="20">
        <v>90</v>
      </c>
      <c r="AI81" s="19" t="s">
        <v>350</v>
      </c>
      <c r="AJ81" s="19" t="s">
        <v>290</v>
      </c>
      <c r="AK81" s="19" t="s">
        <v>575</v>
      </c>
      <c r="AL81" s="20" t="s">
        <v>317</v>
      </c>
      <c r="AM81" s="20" t="s">
        <v>318</v>
      </c>
      <c r="AN81" s="20" t="s">
        <v>1035</v>
      </c>
      <c r="AO81" s="19">
        <v>1571590154</v>
      </c>
      <c r="AP81" s="19" t="s">
        <v>1540</v>
      </c>
      <c r="AQ81" s="20">
        <v>3330728639</v>
      </c>
      <c r="AR81" s="23" t="s">
        <v>1541</v>
      </c>
      <c r="AS81" s="20" t="s">
        <v>1542</v>
      </c>
      <c r="AT81" s="20" t="s">
        <v>560</v>
      </c>
      <c r="AU81" s="55"/>
      <c r="AV81" s="20" t="s">
        <v>398</v>
      </c>
      <c r="AW81" s="20" t="s">
        <v>1543</v>
      </c>
      <c r="AX81" s="20">
        <v>800</v>
      </c>
      <c r="AY81" s="20"/>
      <c r="AZ81" s="20" t="s">
        <v>606</v>
      </c>
      <c r="BA81" s="20" t="s">
        <v>583</v>
      </c>
      <c r="BB81" s="31">
        <v>45590</v>
      </c>
      <c r="BC81" s="32" t="s">
        <v>357</v>
      </c>
      <c r="BD81" s="20"/>
      <c r="BE81" s="32" t="s">
        <v>357</v>
      </c>
      <c r="BF81" s="55"/>
      <c r="BG81" s="55"/>
      <c r="BH81" s="55"/>
      <c r="BI81" s="55"/>
      <c r="BJ81" s="19" t="s">
        <v>53</v>
      </c>
      <c r="BK81" s="24">
        <v>45793</v>
      </c>
      <c r="BL81" s="19" t="s">
        <v>56</v>
      </c>
      <c r="BM81" s="44" t="s">
        <v>1544</v>
      </c>
      <c r="BN81" s="19" t="s">
        <v>1444</v>
      </c>
      <c r="BO81" s="19"/>
      <c r="BP81" s="19"/>
      <c r="BQ81" s="19" t="s">
        <v>1545</v>
      </c>
      <c r="BR81" s="19" t="s">
        <v>401</v>
      </c>
      <c r="BS81" s="19">
        <v>3328679875</v>
      </c>
      <c r="BT81" s="19" t="s">
        <v>685</v>
      </c>
      <c r="BU81" s="20" t="s">
        <v>334</v>
      </c>
      <c r="BV81" s="66">
        <v>3</v>
      </c>
    </row>
    <row r="82" spans="1:74" x14ac:dyDescent="0.25">
      <c r="A82" s="19">
        <v>846</v>
      </c>
      <c r="B82" s="52" t="s">
        <v>564</v>
      </c>
      <c r="C82" s="20" t="s">
        <v>565</v>
      </c>
      <c r="D82" s="31">
        <v>4008268288</v>
      </c>
      <c r="E82" s="21">
        <v>45775</v>
      </c>
      <c r="F82" s="36">
        <v>45865</v>
      </c>
      <c r="G82" s="53">
        <v>45775</v>
      </c>
      <c r="H82" s="19" t="s">
        <v>290</v>
      </c>
      <c r="I82" s="19" t="s">
        <v>1079</v>
      </c>
      <c r="J82" s="19" t="s">
        <v>1546</v>
      </c>
      <c r="K82" s="19" t="s">
        <v>1547</v>
      </c>
      <c r="L82" s="55" t="s">
        <v>1548</v>
      </c>
      <c r="M82" s="19" t="s">
        <v>1549</v>
      </c>
      <c r="N82" s="19" t="s">
        <v>1550</v>
      </c>
      <c r="O82" s="19" t="s">
        <v>571</v>
      </c>
      <c r="P82" s="22">
        <v>30171</v>
      </c>
      <c r="Q82" s="20">
        <v>8</v>
      </c>
      <c r="R82" s="20">
        <v>8</v>
      </c>
      <c r="S82" s="20">
        <v>1982</v>
      </c>
      <c r="T82" s="26">
        <v>42</v>
      </c>
      <c r="U82" s="20" t="s">
        <v>389</v>
      </c>
      <c r="V82" s="19" t="s">
        <v>1551</v>
      </c>
      <c r="W82" s="20" t="s">
        <v>693</v>
      </c>
      <c r="X82" s="46" t="s">
        <v>617</v>
      </c>
      <c r="Y82" s="20" t="s">
        <v>260</v>
      </c>
      <c r="Z82" s="20" t="s">
        <v>532</v>
      </c>
      <c r="AA82" s="20" t="s">
        <v>574</v>
      </c>
      <c r="AB82" s="29">
        <v>10640</v>
      </c>
      <c r="AC82" s="29">
        <v>350</v>
      </c>
      <c r="AD82" s="73">
        <v>350</v>
      </c>
      <c r="AE82" s="74">
        <v>367.25499999999994</v>
      </c>
      <c r="AF82" s="20" t="s">
        <v>313</v>
      </c>
      <c r="AG82" s="20" t="s">
        <v>314</v>
      </c>
      <c r="AH82" s="20">
        <v>90</v>
      </c>
      <c r="AI82" s="19" t="s">
        <v>710</v>
      </c>
      <c r="AJ82" s="19" t="s">
        <v>290</v>
      </c>
      <c r="AK82" s="19" t="s">
        <v>575</v>
      </c>
      <c r="AL82" s="20" t="s">
        <v>317</v>
      </c>
      <c r="AM82" s="20" t="s">
        <v>318</v>
      </c>
      <c r="AN82" s="20" t="s">
        <v>1035</v>
      </c>
      <c r="AO82" s="19">
        <v>1572807235</v>
      </c>
      <c r="AP82" s="19" t="s">
        <v>1552</v>
      </c>
      <c r="AQ82" s="20">
        <v>3337323306</v>
      </c>
      <c r="AR82" s="23" t="s">
        <v>1553</v>
      </c>
      <c r="AS82" s="20" t="s">
        <v>1554</v>
      </c>
      <c r="AT82" s="20" t="s">
        <v>401</v>
      </c>
      <c r="AU82" s="55"/>
      <c r="AV82" s="20"/>
      <c r="AW82" s="20" t="s">
        <v>1555</v>
      </c>
      <c r="AX82" s="20">
        <v>7</v>
      </c>
      <c r="AY82" s="20"/>
      <c r="AZ82" s="20" t="s">
        <v>116</v>
      </c>
      <c r="BA82" s="20" t="s">
        <v>583</v>
      </c>
      <c r="BB82" s="31">
        <v>44100</v>
      </c>
      <c r="BC82" s="32" t="s">
        <v>329</v>
      </c>
      <c r="BD82" s="20"/>
      <c r="BE82" s="32" t="s">
        <v>329</v>
      </c>
      <c r="BF82" s="55"/>
      <c r="BG82" s="55"/>
      <c r="BH82" s="55"/>
      <c r="BI82" s="55"/>
      <c r="BJ82" s="19" t="s">
        <v>53</v>
      </c>
      <c r="BK82" s="24">
        <v>45805</v>
      </c>
      <c r="BL82" s="19" t="s">
        <v>584</v>
      </c>
      <c r="BM82" s="44" t="s">
        <v>1556</v>
      </c>
      <c r="BN82" s="19" t="s">
        <v>1444</v>
      </c>
      <c r="BO82" s="19"/>
      <c r="BP82" s="19"/>
      <c r="BQ82" s="19" t="s">
        <v>1557</v>
      </c>
      <c r="BR82" s="19" t="s">
        <v>325</v>
      </c>
      <c r="BS82" s="19">
        <v>3337323306</v>
      </c>
      <c r="BT82" s="19" t="s">
        <v>642</v>
      </c>
      <c r="BU82" s="20" t="s">
        <v>1558</v>
      </c>
      <c r="BV82" s="44">
        <v>0</v>
      </c>
    </row>
    <row r="83" spans="1:74" x14ac:dyDescent="0.25">
      <c r="A83" s="19">
        <v>445</v>
      </c>
      <c r="B83" s="52" t="s">
        <v>335</v>
      </c>
      <c r="C83" s="20" t="s">
        <v>145</v>
      </c>
      <c r="D83" s="31">
        <v>27149008479</v>
      </c>
      <c r="E83" s="21">
        <v>45026</v>
      </c>
      <c r="F83" s="36">
        <v>45116</v>
      </c>
      <c r="G83" s="53">
        <v>45026</v>
      </c>
      <c r="H83" s="19" t="s">
        <v>291</v>
      </c>
      <c r="I83" s="19" t="s">
        <v>1094</v>
      </c>
      <c r="J83" s="19" t="s">
        <v>507</v>
      </c>
      <c r="K83" s="19" t="s">
        <v>1559</v>
      </c>
      <c r="L83" s="55" t="s">
        <v>1560</v>
      </c>
      <c r="M83" s="19" t="s">
        <v>1561</v>
      </c>
      <c r="N83" s="19" t="s">
        <v>1562</v>
      </c>
      <c r="O83" s="19" t="s">
        <v>633</v>
      </c>
      <c r="P83" s="22">
        <v>33176</v>
      </c>
      <c r="Q83" s="20">
        <v>30</v>
      </c>
      <c r="R83" s="20">
        <v>10</v>
      </c>
      <c r="S83" s="20">
        <v>90</v>
      </c>
      <c r="T83" s="26">
        <v>34.62191780821918</v>
      </c>
      <c r="U83" s="20" t="s">
        <v>308</v>
      </c>
      <c r="V83" s="19" t="s">
        <v>1563</v>
      </c>
      <c r="W83" s="20" t="s">
        <v>1497</v>
      </c>
      <c r="X83" s="46" t="s">
        <v>1564</v>
      </c>
      <c r="Y83" s="20" t="s">
        <v>146</v>
      </c>
      <c r="Z83" s="20" t="s">
        <v>636</v>
      </c>
      <c r="AA83" s="20" t="s">
        <v>948</v>
      </c>
      <c r="AB83" s="29">
        <v>9000</v>
      </c>
      <c r="AC83" s="29">
        <v>296.0526315789474</v>
      </c>
      <c r="AD83" s="73">
        <v>259</v>
      </c>
      <c r="AE83" s="74">
        <v>271.76869999999997</v>
      </c>
      <c r="AF83" s="20" t="s">
        <v>313</v>
      </c>
      <c r="AG83" s="20" t="s">
        <v>314</v>
      </c>
      <c r="AH83" s="20">
        <v>90</v>
      </c>
      <c r="AI83" s="19" t="s">
        <v>1565</v>
      </c>
      <c r="AJ83" s="19" t="s">
        <v>291</v>
      </c>
      <c r="AK83" s="19" t="s">
        <v>950</v>
      </c>
      <c r="AL83" s="20" t="s">
        <v>317</v>
      </c>
      <c r="AM83" s="20" t="s">
        <v>318</v>
      </c>
      <c r="AN83" s="20" t="s">
        <v>319</v>
      </c>
      <c r="AO83" s="19">
        <v>1566997397</v>
      </c>
      <c r="AP83" s="19" t="s">
        <v>1566</v>
      </c>
      <c r="AQ83" s="20" t="s">
        <v>1567</v>
      </c>
      <c r="AR83" s="23" t="s">
        <v>1568</v>
      </c>
      <c r="AS83" s="20" t="s">
        <v>1569</v>
      </c>
      <c r="AT83" s="20" t="s">
        <v>439</v>
      </c>
      <c r="AU83" s="55" t="s">
        <v>1570</v>
      </c>
      <c r="AV83" s="20" t="s">
        <v>398</v>
      </c>
      <c r="AW83" s="20" t="s">
        <v>1571</v>
      </c>
      <c r="AX83" s="20" t="s">
        <v>1572</v>
      </c>
      <c r="AY83" s="20" t="s">
        <v>880</v>
      </c>
      <c r="AZ83" s="20" t="s">
        <v>1573</v>
      </c>
      <c r="BA83" s="20" t="s">
        <v>483</v>
      </c>
      <c r="BB83" s="31">
        <v>79660</v>
      </c>
      <c r="BC83" s="32" t="s">
        <v>357</v>
      </c>
      <c r="BD83" s="20" t="s">
        <v>357</v>
      </c>
      <c r="BE83" s="32" t="s">
        <v>330</v>
      </c>
      <c r="BF83" s="55"/>
      <c r="BG83" s="55"/>
      <c r="BH83" s="55"/>
      <c r="BI83" s="55"/>
      <c r="BJ83" s="19" t="s">
        <v>53</v>
      </c>
      <c r="BK83" s="24">
        <v>45793</v>
      </c>
      <c r="BL83" s="19" t="s">
        <v>56</v>
      </c>
      <c r="BM83" s="44" t="s">
        <v>1574</v>
      </c>
      <c r="BN83" s="19" t="s">
        <v>1444</v>
      </c>
      <c r="BO83" s="19"/>
      <c r="BP83" s="19"/>
      <c r="BQ83" s="19" t="s">
        <v>1569</v>
      </c>
      <c r="BR83" s="19" t="s">
        <v>439</v>
      </c>
      <c r="BS83" s="19" t="s">
        <v>1575</v>
      </c>
      <c r="BT83" s="19" t="s">
        <v>1349</v>
      </c>
      <c r="BU83" s="20" t="s">
        <v>334</v>
      </c>
      <c r="BV83" s="66">
        <v>0</v>
      </c>
    </row>
    <row r="84" spans="1:74" x14ac:dyDescent="0.25">
      <c r="A84" s="19">
        <v>581</v>
      </c>
      <c r="B84" s="52" t="s">
        <v>335</v>
      </c>
      <c r="C84" s="20" t="s">
        <v>133</v>
      </c>
      <c r="D84" s="31">
        <v>22139999860</v>
      </c>
      <c r="E84" s="21">
        <v>45314</v>
      </c>
      <c r="F84" s="36">
        <v>45404</v>
      </c>
      <c r="G84" s="53">
        <v>45314</v>
      </c>
      <c r="H84" s="19" t="s">
        <v>291</v>
      </c>
      <c r="I84" s="19" t="s">
        <v>1576</v>
      </c>
      <c r="J84" s="19" t="s">
        <v>1577</v>
      </c>
      <c r="K84" s="19" t="s">
        <v>1578</v>
      </c>
      <c r="L84" s="55" t="s">
        <v>1579</v>
      </c>
      <c r="M84" s="19" t="s">
        <v>1580</v>
      </c>
      <c r="N84" s="19" t="s">
        <v>1581</v>
      </c>
      <c r="O84" s="19" t="s">
        <v>571</v>
      </c>
      <c r="P84" s="22">
        <v>36487</v>
      </c>
      <c r="Q84" s="20">
        <v>23</v>
      </c>
      <c r="R84" s="20">
        <v>11</v>
      </c>
      <c r="S84" s="20">
        <v>99</v>
      </c>
      <c r="T84" s="26">
        <v>24</v>
      </c>
      <c r="U84" s="20" t="s">
        <v>342</v>
      </c>
      <c r="V84" s="19" t="s">
        <v>1582</v>
      </c>
      <c r="W84" s="20" t="s">
        <v>1497</v>
      </c>
      <c r="X84" s="46" t="s">
        <v>217</v>
      </c>
      <c r="Y84" s="20" t="s">
        <v>138</v>
      </c>
      <c r="Z84" s="20" t="s">
        <v>636</v>
      </c>
      <c r="AA84" s="20" t="s">
        <v>1583</v>
      </c>
      <c r="AB84" s="29">
        <v>15000</v>
      </c>
      <c r="AC84" s="29">
        <v>493.42105263157896</v>
      </c>
      <c r="AD84" s="73">
        <v>259</v>
      </c>
      <c r="AE84" s="74">
        <v>271.76869999999997</v>
      </c>
      <c r="AF84" s="20" t="s">
        <v>313</v>
      </c>
      <c r="AG84" s="20" t="s">
        <v>314</v>
      </c>
      <c r="AH84" s="20">
        <v>90</v>
      </c>
      <c r="AI84" s="19" t="s">
        <v>671</v>
      </c>
      <c r="AJ84" s="19" t="s">
        <v>290</v>
      </c>
      <c r="AK84" s="19" t="s">
        <v>672</v>
      </c>
      <c r="AL84" s="20" t="s">
        <v>317</v>
      </c>
      <c r="AM84" s="20" t="s">
        <v>318</v>
      </c>
      <c r="AN84" s="20" t="s">
        <v>319</v>
      </c>
      <c r="AO84" s="19">
        <v>1588857362</v>
      </c>
      <c r="AP84" s="19" t="s">
        <v>1584</v>
      </c>
      <c r="AQ84" s="20" t="s">
        <v>1585</v>
      </c>
      <c r="AR84" s="23" t="s">
        <v>1586</v>
      </c>
      <c r="AS84" s="20" t="s">
        <v>1587</v>
      </c>
      <c r="AT84" s="20" t="s">
        <v>381</v>
      </c>
      <c r="AU84" s="55" t="s">
        <v>1588</v>
      </c>
      <c r="AV84" s="20" t="s">
        <v>398</v>
      </c>
      <c r="AW84" s="20" t="s">
        <v>1589</v>
      </c>
      <c r="AX84" s="20">
        <v>409</v>
      </c>
      <c r="AY84" s="20" t="s">
        <v>328</v>
      </c>
      <c r="AZ84" s="20" t="s">
        <v>1590</v>
      </c>
      <c r="BA84" s="20" t="s">
        <v>912</v>
      </c>
      <c r="BB84" s="31">
        <v>66064</v>
      </c>
      <c r="BC84" s="32" t="s">
        <v>329</v>
      </c>
      <c r="BD84" s="20"/>
      <c r="BE84" s="32" t="s">
        <v>330</v>
      </c>
      <c r="BF84" s="55"/>
      <c r="BG84" s="55"/>
      <c r="BH84" s="55"/>
      <c r="BI84" s="55"/>
      <c r="BJ84" s="19" t="s">
        <v>53</v>
      </c>
      <c r="BK84" s="24">
        <v>45797</v>
      </c>
      <c r="BL84" s="19" t="s">
        <v>56</v>
      </c>
      <c r="BM84" s="44" t="s">
        <v>486</v>
      </c>
      <c r="BN84" s="19" t="s">
        <v>1444</v>
      </c>
      <c r="BO84" s="19"/>
      <c r="BP84" s="19"/>
      <c r="BQ84" s="19" t="s">
        <v>1587</v>
      </c>
      <c r="BR84" s="19" t="s">
        <v>381</v>
      </c>
      <c r="BS84" s="19" t="s">
        <v>1591</v>
      </c>
      <c r="BT84" s="19" t="s">
        <v>333</v>
      </c>
      <c r="BU84" s="20" t="s">
        <v>334</v>
      </c>
      <c r="BV84" s="44">
        <v>0</v>
      </c>
    </row>
    <row r="85" spans="1:74" x14ac:dyDescent="0.25">
      <c r="A85" s="19">
        <v>790</v>
      </c>
      <c r="B85" s="52" t="s">
        <v>335</v>
      </c>
      <c r="C85" s="20" t="s">
        <v>116</v>
      </c>
      <c r="D85" s="31">
        <v>75079059418</v>
      </c>
      <c r="E85" s="21">
        <v>45670</v>
      </c>
      <c r="F85" s="36">
        <v>45760</v>
      </c>
      <c r="G85" s="53">
        <v>45670</v>
      </c>
      <c r="H85" s="19" t="s">
        <v>290</v>
      </c>
      <c r="I85" s="19" t="s">
        <v>1592</v>
      </c>
      <c r="J85" s="19" t="s">
        <v>1593</v>
      </c>
      <c r="K85" s="19" t="s">
        <v>1594</v>
      </c>
      <c r="L85" s="55" t="s">
        <v>1595</v>
      </c>
      <c r="M85" s="19" t="s">
        <v>1596</v>
      </c>
      <c r="N85" s="19" t="s">
        <v>1597</v>
      </c>
      <c r="O85" s="19" t="s">
        <v>571</v>
      </c>
      <c r="P85" s="22">
        <v>33223</v>
      </c>
      <c r="Q85" s="20">
        <v>16</v>
      </c>
      <c r="R85" s="20">
        <v>12</v>
      </c>
      <c r="S85" s="20">
        <v>1990</v>
      </c>
      <c r="T85" s="26">
        <v>34</v>
      </c>
      <c r="U85" s="20" t="s">
        <v>452</v>
      </c>
      <c r="V85" s="19" t="s">
        <v>1598</v>
      </c>
      <c r="W85" s="20" t="s">
        <v>454</v>
      </c>
      <c r="X85" s="46" t="s">
        <v>1599</v>
      </c>
      <c r="Y85" s="20" t="s">
        <v>118</v>
      </c>
      <c r="Z85" s="20" t="s">
        <v>347</v>
      </c>
      <c r="AA85" s="20"/>
      <c r="AB85" s="29">
        <v>12760</v>
      </c>
      <c r="AC85" s="29">
        <v>419.73684210526318</v>
      </c>
      <c r="AD85" s="73">
        <v>420</v>
      </c>
      <c r="AE85" s="74">
        <v>440.70599999999996</v>
      </c>
      <c r="AF85" s="20" t="s">
        <v>313</v>
      </c>
      <c r="AG85" s="20" t="s">
        <v>314</v>
      </c>
      <c r="AH85" s="20">
        <v>90</v>
      </c>
      <c r="AI85" s="19" t="s">
        <v>350</v>
      </c>
      <c r="AJ85" s="19" t="s">
        <v>290</v>
      </c>
      <c r="AK85" s="19" t="s">
        <v>351</v>
      </c>
      <c r="AL85" s="20" t="s">
        <v>317</v>
      </c>
      <c r="AM85" s="20" t="s">
        <v>318</v>
      </c>
      <c r="AN85" s="20" t="s">
        <v>1035</v>
      </c>
      <c r="AO85" s="19">
        <v>1542151884</v>
      </c>
      <c r="AP85" s="19" t="s">
        <v>1600</v>
      </c>
      <c r="AQ85" s="20">
        <v>3325091818</v>
      </c>
      <c r="AR85" s="23" t="s">
        <v>1601</v>
      </c>
      <c r="AS85" s="20" t="s">
        <v>1602</v>
      </c>
      <c r="AT85" s="20" t="s">
        <v>602</v>
      </c>
      <c r="AU85" s="55"/>
      <c r="AV85" s="20" t="s">
        <v>398</v>
      </c>
      <c r="AW85" s="20" t="s">
        <v>880</v>
      </c>
      <c r="AX85" s="20" t="s">
        <v>699</v>
      </c>
      <c r="AY85" s="20"/>
      <c r="AZ85" s="20" t="s">
        <v>624</v>
      </c>
      <c r="BA85" s="20" t="s">
        <v>583</v>
      </c>
      <c r="BB85" s="31">
        <v>45690</v>
      </c>
      <c r="BC85" s="32" t="s">
        <v>329</v>
      </c>
      <c r="BD85" s="20"/>
      <c r="BE85" s="32" t="s">
        <v>329</v>
      </c>
      <c r="BF85" s="55"/>
      <c r="BG85" s="55"/>
      <c r="BH85" s="55"/>
      <c r="BI85" s="55"/>
      <c r="BJ85" s="19" t="s">
        <v>53</v>
      </c>
      <c r="BK85" s="24">
        <v>45796</v>
      </c>
      <c r="BL85" s="19" t="s">
        <v>56</v>
      </c>
      <c r="BM85" s="44" t="s">
        <v>1603</v>
      </c>
      <c r="BN85" s="19" t="s">
        <v>1444</v>
      </c>
      <c r="BO85" s="19"/>
      <c r="BP85" s="19"/>
      <c r="BQ85" s="19" t="s">
        <v>1604</v>
      </c>
      <c r="BR85" s="19" t="s">
        <v>602</v>
      </c>
      <c r="BS85" s="19">
        <v>3325091818</v>
      </c>
      <c r="BT85" s="19" t="s">
        <v>1349</v>
      </c>
      <c r="BU85" s="20" t="s">
        <v>334</v>
      </c>
      <c r="BV85" s="66">
        <v>3</v>
      </c>
    </row>
    <row r="86" spans="1:74" x14ac:dyDescent="0.25">
      <c r="A86" s="19">
        <v>794</v>
      </c>
      <c r="B86" s="52" t="s">
        <v>335</v>
      </c>
      <c r="C86" s="20" t="s">
        <v>116</v>
      </c>
      <c r="D86" s="31" t="s">
        <v>1605</v>
      </c>
      <c r="E86" s="21">
        <v>45678</v>
      </c>
      <c r="F86" s="36">
        <v>45768</v>
      </c>
      <c r="G86" s="53">
        <v>45678</v>
      </c>
      <c r="H86" s="19" t="s">
        <v>290</v>
      </c>
      <c r="I86" s="19" t="s">
        <v>1606</v>
      </c>
      <c r="J86" s="19" t="s">
        <v>590</v>
      </c>
      <c r="K86" s="19" t="s">
        <v>1607</v>
      </c>
      <c r="L86" s="55" t="s">
        <v>1608</v>
      </c>
      <c r="M86" s="19" t="s">
        <v>1609</v>
      </c>
      <c r="N86" s="19" t="s">
        <v>1610</v>
      </c>
      <c r="O86" s="19" t="s">
        <v>571</v>
      </c>
      <c r="P86" s="22">
        <v>38188</v>
      </c>
      <c r="Q86" s="20">
        <v>20</v>
      </c>
      <c r="R86" s="20">
        <v>7</v>
      </c>
      <c r="S86" s="20">
        <v>2004</v>
      </c>
      <c r="T86" s="26">
        <v>20</v>
      </c>
      <c r="U86" s="20" t="s">
        <v>389</v>
      </c>
      <c r="V86" s="19" t="s">
        <v>1611</v>
      </c>
      <c r="W86" s="20" t="s">
        <v>454</v>
      </c>
      <c r="X86" s="46" t="s">
        <v>115</v>
      </c>
      <c r="Y86" s="20" t="s">
        <v>346</v>
      </c>
      <c r="Z86" s="20" t="s">
        <v>347</v>
      </c>
      <c r="AA86" s="20" t="s">
        <v>348</v>
      </c>
      <c r="AB86" s="29">
        <v>8970</v>
      </c>
      <c r="AC86" s="29">
        <v>295.06578947368422</v>
      </c>
      <c r="AD86" s="73">
        <v>295</v>
      </c>
      <c r="AE86" s="74">
        <v>309.54349999999999</v>
      </c>
      <c r="AF86" s="20" t="s">
        <v>313</v>
      </c>
      <c r="AG86" s="20" t="s">
        <v>349</v>
      </c>
      <c r="AH86" s="20">
        <v>90</v>
      </c>
      <c r="AI86" s="19" t="s">
        <v>350</v>
      </c>
      <c r="AJ86" s="19" t="s">
        <v>290</v>
      </c>
      <c r="AK86" s="19" t="s">
        <v>351</v>
      </c>
      <c r="AL86" s="20" t="s">
        <v>317</v>
      </c>
      <c r="AM86" s="20" t="s">
        <v>318</v>
      </c>
      <c r="AN86" s="20" t="s">
        <v>319</v>
      </c>
      <c r="AO86" s="19">
        <v>1500887911</v>
      </c>
      <c r="AP86" s="19" t="s">
        <v>1612</v>
      </c>
      <c r="AQ86" s="20">
        <v>6635585777</v>
      </c>
      <c r="AR86" s="23" t="s">
        <v>1613</v>
      </c>
      <c r="AS86" s="20" t="s">
        <v>1614</v>
      </c>
      <c r="AT86" s="20" t="s">
        <v>1615</v>
      </c>
      <c r="AU86" s="55"/>
      <c r="AV86" s="20" t="s">
        <v>398</v>
      </c>
      <c r="AW86" s="20" t="s">
        <v>1616</v>
      </c>
      <c r="AX86" s="20" t="s">
        <v>1617</v>
      </c>
      <c r="AY86" s="20"/>
      <c r="AZ86" s="20" t="s">
        <v>1132</v>
      </c>
      <c r="BA86" s="20" t="s">
        <v>583</v>
      </c>
      <c r="BB86" s="31">
        <v>45200</v>
      </c>
      <c r="BC86" s="32" t="s">
        <v>329</v>
      </c>
      <c r="BD86" s="20"/>
      <c r="BE86" s="32" t="s">
        <v>329</v>
      </c>
      <c r="BF86" s="55"/>
      <c r="BG86" s="55"/>
      <c r="BH86" s="55"/>
      <c r="BI86" s="55"/>
      <c r="BJ86" s="19" t="s">
        <v>53</v>
      </c>
      <c r="BK86" s="24">
        <v>45803</v>
      </c>
      <c r="BL86" s="19" t="s">
        <v>56</v>
      </c>
      <c r="BM86" s="44" t="s">
        <v>1618</v>
      </c>
      <c r="BN86" s="19" t="s">
        <v>1444</v>
      </c>
      <c r="BO86" s="19"/>
      <c r="BP86" s="19"/>
      <c r="BQ86" s="19" t="s">
        <v>1619</v>
      </c>
      <c r="BR86" s="19" t="s">
        <v>776</v>
      </c>
      <c r="BS86" s="19">
        <v>3312927425</v>
      </c>
      <c r="BT86" s="19" t="s">
        <v>488</v>
      </c>
      <c r="BU86" s="20" t="s">
        <v>334</v>
      </c>
      <c r="BV86" s="44">
        <v>2</v>
      </c>
    </row>
  </sheetData>
  <phoneticPr fontId="1" type="noConversion"/>
  <hyperlinks>
    <hyperlink ref="AR3" r:id="rId1" xr:uid="{9005CBB2-BF40-4400-AB65-A9DB8E0DF98F}"/>
    <hyperlink ref="AR11" r:id="rId2" display="tapis19931febrero@gmail.com" xr:uid="{DC122516-9D89-4CDE-A9D3-92D85027DD78}"/>
    <hyperlink ref="AR13" r:id="rId3" xr:uid="{C1FAB5C7-9DB1-4015-A7B1-BBCA2583C13C}"/>
    <hyperlink ref="AR15" r:id="rId4" xr:uid="{2DC2D59B-0AF6-412A-8856-C93191E4AD94}"/>
    <hyperlink ref="AR19" r:id="rId5" xr:uid="{BAB3F01C-D2FA-4613-B55A-78F5F0750A53}"/>
    <hyperlink ref="AR14" r:id="rId6" xr:uid="{4DB11876-6F73-43E2-AD10-910D097400E8}"/>
    <hyperlink ref="AR20" r:id="rId7" xr:uid="{7864E3FC-5A40-443F-BF87-73A9CB9AC26D}"/>
    <hyperlink ref="AR21" r:id="rId8" xr:uid="{BF8AA2AC-F60F-46A0-9C49-6706CC133821}"/>
    <hyperlink ref="AR22" r:id="rId9" xr:uid="{D1F8A31B-3B9E-40AC-99FF-3A351E76AAAF}"/>
    <hyperlink ref="AR23" r:id="rId10" xr:uid="{9536AD73-C3BA-4EA2-BD22-D010B3A11593}"/>
    <hyperlink ref="AR24" r:id="rId11" xr:uid="{1E1B2101-134C-42B9-870D-760C0585D5DD}"/>
    <hyperlink ref="AR66" r:id="rId12" xr:uid="{D8384D3C-1E74-4E53-A32A-1464E6206865}"/>
    <hyperlink ref="AR28" r:id="rId13" xr:uid="{9D59D005-96EB-4022-8F53-70D5F12B1346}"/>
    <hyperlink ref="AR29" r:id="rId14" xr:uid="{380EDE15-2509-4E14-8FE8-54853234FB82}"/>
    <hyperlink ref="AR31" r:id="rId15" xr:uid="{E0C100E7-3CB0-4141-BE48-09961630FB39}"/>
    <hyperlink ref="AR32" r:id="rId16" xr:uid="{8F03CB23-EFD3-4638-A8B9-735353845D0F}"/>
    <hyperlink ref="AR33" r:id="rId17" xr:uid="{CA455C83-BCF8-4E15-AF98-0DC13986848F}"/>
    <hyperlink ref="AR34" r:id="rId18" xr:uid="{3DEAA30F-498A-4ED3-BAF4-E907D19BD087}"/>
    <hyperlink ref="AR35" r:id="rId19" xr:uid="{E38C7192-25D4-4E8A-A808-30ACE464BC0C}"/>
    <hyperlink ref="AR36" r:id="rId20" xr:uid="{1D5E1639-4AE8-4EE1-A6EC-072246477314}"/>
    <hyperlink ref="AR37" r:id="rId21" xr:uid="{DC203B09-BE13-40E8-87C3-8C5CBFF39066}"/>
    <hyperlink ref="AR38" r:id="rId22" xr:uid="{00DC9B67-A70D-4B47-B1F5-D5267336A5E7}"/>
    <hyperlink ref="AR39" r:id="rId23" xr:uid="{B6BCEB99-E81F-4026-AF30-4E5C0FF6F945}"/>
    <hyperlink ref="AR41" r:id="rId24" xr:uid="{3C05FE40-58DE-484F-BE38-EAF28095D603}"/>
    <hyperlink ref="AR42" r:id="rId25" xr:uid="{25454838-17EB-4D65-B50E-895645508041}"/>
    <hyperlink ref="AR43" r:id="rId26" xr:uid="{768D1DE8-61D5-4D81-B7A9-716803E4F987}"/>
    <hyperlink ref="AR44" r:id="rId27" xr:uid="{F33B73EC-C302-43BB-924A-E45EFF3EC9B2}"/>
    <hyperlink ref="AR45" r:id="rId28" xr:uid="{1F33E908-35A3-4B60-B2E8-24492233D839}"/>
    <hyperlink ref="AR47" r:id="rId29" xr:uid="{B0812939-6CDE-45B5-9A52-BDAB6B9E12B0}"/>
    <hyperlink ref="AR48" r:id="rId30" xr:uid="{74CADFDB-B420-4F2C-B998-4785DCC5D65F}"/>
    <hyperlink ref="AR68" r:id="rId31" xr:uid="{6F123C8F-299C-4237-937D-03DAF12AFFD6}"/>
    <hyperlink ref="AR49" r:id="rId32" xr:uid="{CED27379-3255-431B-91ED-0BF2A95EE6A1}"/>
    <hyperlink ref="AR50" r:id="rId33" xr:uid="{562B5E6D-B818-4FB0-8EC3-0E16E38BC564}"/>
    <hyperlink ref="AR51" r:id="rId34" xr:uid="{D55224EB-4F87-4436-AEA4-5DE2BB736FAA}"/>
    <hyperlink ref="AR52" r:id="rId35" xr:uid="{77310B57-7EC1-453B-AB53-51AFE0823D2D}"/>
    <hyperlink ref="AR53" r:id="rId36" xr:uid="{BF05E38A-18E7-4F2E-98A6-94D41E9745E8}"/>
    <hyperlink ref="AR54" r:id="rId37" xr:uid="{A47E60B6-4FD2-4B9D-9B4B-0F89DFEAD05E}"/>
    <hyperlink ref="AR55" r:id="rId38" xr:uid="{EFCCE516-468F-4B2D-8D28-E07830CF11A0}"/>
    <hyperlink ref="AR57" r:id="rId39" xr:uid="{EB3EB7A3-1D0C-424A-BAF0-E26E056B838C}"/>
    <hyperlink ref="AR59" r:id="rId40" xr:uid="{7C1B0E69-999E-4505-B504-0EE619499502}"/>
    <hyperlink ref="AR61" r:id="rId41" xr:uid="{7B8E4408-F221-4E3C-AD28-D8AE17410ECC}"/>
    <hyperlink ref="AR62" r:id="rId42" xr:uid="{8F51F4B2-1D14-4623-93A0-AC54E3E9D63D}"/>
    <hyperlink ref="AR63" r:id="rId43" xr:uid="{ABD9F82D-1C27-4FBF-9309-5D03D178F836}"/>
    <hyperlink ref="AR64" r:id="rId44" xr:uid="{2B41E712-CD2B-4E2B-83CD-16DFC56BF01D}"/>
    <hyperlink ref="AR65" r:id="rId45" xr:uid="{86400FA2-F216-4A54-B21E-15425857BC08}"/>
    <hyperlink ref="AR18" r:id="rId46" xr:uid="{65A0B72B-DB64-43E0-ACE7-0F05F0A3D63E}"/>
    <hyperlink ref="AR16" r:id="rId47" xr:uid="{5D15CA7B-26A8-4088-BA09-7EB354423704}"/>
    <hyperlink ref="AR17" r:id="rId48" xr:uid="{234A6C05-B307-46B0-8C11-E262890B4CCD}"/>
    <hyperlink ref="AR25" r:id="rId49" xr:uid="{9075F387-3D2B-4384-8546-6E1ED91B5146}"/>
    <hyperlink ref="AR26" r:id="rId50" xr:uid="{ECB08059-015F-46F8-B071-3FFC69C08EC7}"/>
    <hyperlink ref="AR27" r:id="rId51" xr:uid="{76B26EF0-9477-40C2-A193-E2598AE09F10}"/>
    <hyperlink ref="AR56" r:id="rId52" xr:uid="{64AF188D-E965-4D0A-AB59-6B6FBD6853F6}"/>
    <hyperlink ref="AR67" r:id="rId53" xr:uid="{57965B49-CD39-4606-9C86-F6C00BE6B690}"/>
    <hyperlink ref="AR10" r:id="rId54" xr:uid="{0588CD0F-5E59-4498-98A3-09438B147EAF}"/>
    <hyperlink ref="AR7" r:id="rId55" xr:uid="{F63967C1-1E3A-4467-BFBD-DB8AA53C3D24}"/>
    <hyperlink ref="AR69" r:id="rId56" xr:uid="{BE8362F4-0B30-474C-BAB4-EC0AF31F147C}"/>
    <hyperlink ref="AR70" r:id="rId57" xr:uid="{88B5AFFF-C403-434E-9CC8-5A4259519EBF}"/>
    <hyperlink ref="AR71" r:id="rId58" xr:uid="{ADC68BB4-0F36-4F29-A201-36285248C96D}"/>
    <hyperlink ref="AR72" r:id="rId59" xr:uid="{A9C73C63-590A-410C-AFAE-1C7E0FE420AC}"/>
    <hyperlink ref="AR73" r:id="rId60" display="mailto:berenice_cb@yahoo.es" xr:uid="{90B2623F-6BA9-4DC1-B4CD-BB9754E5E0CE}"/>
    <hyperlink ref="AR75" r:id="rId61" xr:uid="{D2A1E8AF-AE5F-4B47-AAB7-5C889BEDAEFE}"/>
    <hyperlink ref="AR77" r:id="rId62" xr:uid="{0F7F6692-0BE8-41A0-BA47-3719E0BDF6D6}"/>
    <hyperlink ref="AR78" r:id="rId63" xr:uid="{05CDA45A-1BCC-49A0-8DEF-ED41109AA431}"/>
    <hyperlink ref="AR79" r:id="rId64" xr:uid="{B8744BD5-DA1A-4161-875E-518E5A47C9B7}"/>
    <hyperlink ref="AR80" r:id="rId65" xr:uid="{9AB894C7-933C-405B-BC31-634DDEF031E4}"/>
    <hyperlink ref="AR81" r:id="rId66" xr:uid="{0B1BCE8E-F2DD-4AE2-87EA-B676CC342016}"/>
    <hyperlink ref="AR82" r:id="rId67" xr:uid="{85BFEDDC-2CEB-4B33-9464-09F5CCAD0F89}"/>
    <hyperlink ref="AR83" r:id="rId68" xr:uid="{922253DE-6AAC-4D17-A738-6E3FAB665574}"/>
    <hyperlink ref="AR76" r:id="rId69" xr:uid="{B325F196-CBA1-464C-94F1-E5A9CE94406D}"/>
    <hyperlink ref="AR84" r:id="rId70" xr:uid="{A006E05D-9B0B-4ED4-8A96-64BCFAEBA625}"/>
    <hyperlink ref="AR85" r:id="rId71" xr:uid="{356D8B4B-2D03-4B4E-9B47-400B985D545D}"/>
    <hyperlink ref="AR86" r:id="rId72" xr:uid="{774653B0-FFD8-4366-BE20-358C2C6EF9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ACTIVOS</vt:lpstr>
      <vt:lpstr>BAJAS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Martha María Vera Martínez</dc:creator>
  <cp:lastModifiedBy>Enrique Alvarez</cp:lastModifiedBy>
  <cp:lastPrinted>2026-07-13T17:43:51Z</cp:lastPrinted>
  <dcterms:created xsi:type="dcterms:W3CDTF">2025-04-02T18:23:34Z</dcterms:created>
  <dcterms:modified xsi:type="dcterms:W3CDTF">2026-10-12T21:23:03Z</dcterms:modified>
</cp:coreProperties>
</file>